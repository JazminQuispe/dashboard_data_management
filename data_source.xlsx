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statkraft-my.sharepoint.com/personal/u63055_energycorp_com/Documents/Documents/assets/"/>
    </mc:Choice>
  </mc:AlternateContent>
  <xr:revisionPtr revIDLastSave="0" documentId="8_{14C31C6B-2D31-4013-8E91-D4E4A6A5F65E}" xr6:coauthVersionLast="47" xr6:coauthVersionMax="47" xr10:uidLastSave="{00000000-0000-0000-0000-000000000000}"/>
  <bookViews>
    <workbookView xWindow="-108" yWindow="-108" windowWidth="23256" windowHeight="13896" tabRatio="872" firstSheet="10" activeTab="6" xr2:uid="{00000000-000D-0000-FFFF-FFFF00000000}"/>
  </bookViews>
  <sheets>
    <sheet name="Instructions" sheetId="1" r:id="rId1"/>
    <sheet name="Portfolio" sheetId="2" r:id="rId2"/>
    <sheet name="Weekly_Data" sheetId="3" r:id="rId3"/>
    <sheet name="Weeks" sheetId="4" r:id="rId4"/>
    <sheet name="Phases" sheetId="5" r:id="rId5"/>
    <sheet name="Milestones" sheetId="6" r:id="rId6"/>
    <sheet name="Tasks" sheetId="7" r:id="rId7"/>
    <sheet name="Governance_Domains" sheetId="8" r:id="rId8"/>
    <sheet name="Governance_Datasets" sheetId="9" r:id="rId9"/>
    <sheet name="Governance_Plan" sheetId="10" r:id="rId10"/>
    <sheet name="Executive_Cycle_Current" sheetId="11" r:id="rId11"/>
    <sheet name="Executive_Cycle_History" sheetId="12" r:id="rId12"/>
    <sheet name="Executive_TeamReadiness" sheetId="13" r:id="rId13"/>
    <sheet name="Executive_Incidents" sheetId="14" r:id="rId14"/>
    <sheet name="Executive_KPI_Status" sheetId="15" r:id="rId15"/>
    <sheet name="Team_Load" sheetId="16" r:id="rId16"/>
  </sheets>
  <definedNames>
    <definedName name="_xlnm._FilterDatabase" localSheetId="5" hidden="1">Milestones!$A$1:$G$59</definedName>
    <definedName name="_xlnm._FilterDatabase" localSheetId="4" hidden="1">Phases!$A$1:$H$3017</definedName>
    <definedName name="_xlnm._FilterDatabase" localSheetId="2" hidden="1">Weekly_Data!$A$1:$J$985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3" i="16" l="1"/>
  <c r="D193" i="16"/>
  <c r="E192" i="16"/>
  <c r="D192" i="16"/>
  <c r="E191" i="16"/>
  <c r="D191" i="16"/>
  <c r="E190" i="16"/>
  <c r="D190" i="16"/>
  <c r="E189" i="16"/>
  <c r="D189" i="16"/>
  <c r="E188" i="16"/>
  <c r="D188" i="16"/>
  <c r="E187" i="16"/>
  <c r="D187" i="16"/>
  <c r="E186" i="16"/>
  <c r="D186" i="16"/>
  <c r="E185" i="16"/>
  <c r="D185" i="16"/>
  <c r="E184" i="16"/>
  <c r="D184" i="16"/>
  <c r="E183" i="16"/>
  <c r="D183" i="16"/>
  <c r="E182" i="16"/>
  <c r="D182" i="16"/>
  <c r="E181" i="16"/>
  <c r="D181" i="16"/>
  <c r="E180" i="16"/>
  <c r="D180" i="16"/>
  <c r="E179" i="16"/>
  <c r="D179" i="16"/>
  <c r="E178" i="16"/>
  <c r="D178" i="16"/>
  <c r="E177" i="16"/>
  <c r="D177" i="16"/>
  <c r="E176" i="16"/>
  <c r="D176" i="16"/>
  <c r="E175" i="16"/>
  <c r="D175" i="16"/>
  <c r="E174" i="16"/>
  <c r="D174" i="16"/>
  <c r="E173" i="16"/>
  <c r="D173" i="16"/>
  <c r="E172" i="16"/>
  <c r="D172" i="16"/>
  <c r="E171" i="16"/>
  <c r="D171" i="16"/>
  <c r="E170" i="16"/>
  <c r="D170" i="16"/>
  <c r="E169" i="16"/>
  <c r="D169" i="16"/>
  <c r="E168" i="16"/>
  <c r="D168" i="16"/>
  <c r="E167" i="16"/>
  <c r="D167" i="16"/>
  <c r="E166" i="16"/>
  <c r="D166" i="16"/>
  <c r="E165" i="16"/>
  <c r="D165" i="16"/>
  <c r="E164" i="16"/>
  <c r="D164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54" i="16"/>
  <c r="D154" i="16"/>
  <c r="E153" i="16"/>
  <c r="D153" i="16"/>
  <c r="E152" i="16"/>
  <c r="D152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45" i="16"/>
  <c r="D145" i="16"/>
  <c r="E144" i="16"/>
  <c r="D144" i="16"/>
  <c r="E143" i="16"/>
  <c r="D143" i="16"/>
  <c r="E142" i="16"/>
  <c r="D142" i="16"/>
  <c r="E141" i="16"/>
  <c r="D141" i="16"/>
  <c r="E140" i="16"/>
  <c r="D140" i="16"/>
  <c r="E139" i="16"/>
  <c r="D139" i="16"/>
  <c r="E138" i="16"/>
  <c r="D138" i="16"/>
  <c r="E137" i="16"/>
  <c r="D137" i="16"/>
  <c r="E136" i="16"/>
  <c r="D136" i="16"/>
  <c r="E135" i="16"/>
  <c r="D135" i="16"/>
  <c r="E134" i="16"/>
  <c r="D134" i="16"/>
  <c r="E133" i="16"/>
  <c r="D133" i="16"/>
  <c r="E132" i="16"/>
  <c r="D132" i="16"/>
  <c r="E131" i="16"/>
  <c r="D131" i="16"/>
  <c r="E130" i="16"/>
  <c r="D130" i="16"/>
  <c r="E129" i="16"/>
  <c r="D129" i="16"/>
  <c r="E128" i="16"/>
  <c r="D128" i="16"/>
  <c r="E127" i="16"/>
  <c r="D127" i="16"/>
  <c r="E126" i="16"/>
  <c r="D126" i="16"/>
  <c r="E125" i="16"/>
  <c r="D125" i="16"/>
  <c r="E124" i="16"/>
  <c r="D124" i="16"/>
  <c r="E123" i="16"/>
  <c r="D123" i="16"/>
  <c r="E122" i="16"/>
  <c r="D122" i="16"/>
  <c r="E121" i="16"/>
  <c r="D121" i="16"/>
  <c r="E120" i="16"/>
  <c r="D120" i="16"/>
  <c r="E119" i="16"/>
  <c r="D119" i="16"/>
  <c r="E118" i="16"/>
  <c r="D118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11" i="16"/>
  <c r="D111" i="16"/>
  <c r="E110" i="16"/>
  <c r="D110" i="16"/>
  <c r="E109" i="16"/>
  <c r="D109" i="16"/>
  <c r="E108" i="16"/>
  <c r="D108" i="16"/>
  <c r="E107" i="16"/>
  <c r="D107" i="16"/>
  <c r="E106" i="16"/>
  <c r="D106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96" i="16"/>
  <c r="D96" i="16"/>
  <c r="E95" i="16"/>
  <c r="D95" i="16"/>
  <c r="E94" i="16"/>
  <c r="D94" i="16"/>
  <c r="E93" i="16"/>
  <c r="D93" i="16"/>
  <c r="E92" i="16"/>
  <c r="D92" i="16"/>
  <c r="E91" i="16"/>
  <c r="D91" i="16"/>
  <c r="E90" i="16"/>
  <c r="D90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E79" i="16"/>
  <c r="D79" i="16"/>
  <c r="E78" i="16"/>
  <c r="D78" i="16"/>
  <c r="E77" i="16"/>
  <c r="D77" i="16"/>
  <c r="E76" i="16"/>
  <c r="D76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65" i="16"/>
  <c r="D65" i="16"/>
  <c r="E64" i="16"/>
  <c r="D64" i="16"/>
  <c r="E63" i="16"/>
  <c r="D63" i="16"/>
  <c r="E62" i="16"/>
  <c r="D62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52" i="16"/>
  <c r="D52" i="16"/>
  <c r="E51" i="16"/>
  <c r="D51" i="16"/>
  <c r="E50" i="16"/>
  <c r="D50" i="16"/>
  <c r="E49" i="16"/>
  <c r="D49" i="16"/>
  <c r="E48" i="16"/>
  <c r="D48" i="16"/>
  <c r="E47" i="16"/>
  <c r="D47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7" i="16"/>
  <c r="D37" i="16"/>
  <c r="E36" i="16"/>
  <c r="D36" i="16"/>
  <c r="E35" i="16"/>
  <c r="D35" i="16"/>
  <c r="E34" i="16"/>
  <c r="D34" i="16"/>
  <c r="E33" i="16"/>
  <c r="D33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D8" i="16"/>
  <c r="E7" i="16"/>
  <c r="D7" i="16"/>
  <c r="E6" i="16"/>
  <c r="D6" i="16"/>
  <c r="E5" i="16"/>
  <c r="D5" i="16"/>
  <c r="E4" i="16"/>
  <c r="D4" i="16"/>
  <c r="E3" i="16"/>
  <c r="D3" i="16"/>
  <c r="E2" i="16"/>
  <c r="D2" i="16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J989" i="3"/>
  <c r="I989" i="3"/>
  <c r="G989" i="3"/>
  <c r="F989" i="3"/>
  <c r="J988" i="3"/>
  <c r="I988" i="3"/>
  <c r="G988" i="3"/>
  <c r="F988" i="3"/>
  <c r="J987" i="3"/>
  <c r="I987" i="3"/>
  <c r="G987" i="3"/>
  <c r="F987" i="3"/>
  <c r="J986" i="3"/>
  <c r="I986" i="3"/>
  <c r="G986" i="3"/>
  <c r="F986" i="3"/>
  <c r="J985" i="3"/>
  <c r="I985" i="3"/>
  <c r="G985" i="3"/>
  <c r="F985" i="3"/>
  <c r="J984" i="3"/>
  <c r="I984" i="3"/>
  <c r="G984" i="3"/>
  <c r="F984" i="3"/>
  <c r="J983" i="3"/>
  <c r="I983" i="3"/>
  <c r="G983" i="3"/>
  <c r="F983" i="3"/>
  <c r="J982" i="3"/>
  <c r="I982" i="3"/>
  <c r="G982" i="3"/>
  <c r="F982" i="3"/>
  <c r="J981" i="3"/>
  <c r="I981" i="3"/>
  <c r="G981" i="3"/>
  <c r="F981" i="3"/>
  <c r="J980" i="3"/>
  <c r="I980" i="3"/>
  <c r="G980" i="3"/>
  <c r="F980" i="3"/>
  <c r="J979" i="3"/>
  <c r="I979" i="3"/>
  <c r="G979" i="3"/>
  <c r="F979" i="3"/>
  <c r="J978" i="3"/>
  <c r="I978" i="3"/>
  <c r="G978" i="3"/>
  <c r="F978" i="3"/>
  <c r="J977" i="3"/>
  <c r="I977" i="3"/>
  <c r="G977" i="3"/>
  <c r="F977" i="3"/>
  <c r="J976" i="3"/>
  <c r="I976" i="3"/>
  <c r="G976" i="3"/>
  <c r="F976" i="3"/>
  <c r="J975" i="3"/>
  <c r="I975" i="3"/>
  <c r="G975" i="3"/>
  <c r="F975" i="3"/>
  <c r="J974" i="3"/>
  <c r="I974" i="3"/>
  <c r="G974" i="3"/>
  <c r="F974" i="3"/>
  <c r="J973" i="3"/>
  <c r="I973" i="3"/>
  <c r="G973" i="3"/>
  <c r="F973" i="3"/>
  <c r="J972" i="3"/>
  <c r="I972" i="3"/>
  <c r="G972" i="3"/>
  <c r="F972" i="3"/>
  <c r="J971" i="3"/>
  <c r="I971" i="3"/>
  <c r="G971" i="3"/>
  <c r="F971" i="3"/>
  <c r="J970" i="3"/>
  <c r="I970" i="3"/>
  <c r="G970" i="3"/>
  <c r="F970" i="3"/>
  <c r="J969" i="3"/>
  <c r="I969" i="3"/>
  <c r="G969" i="3"/>
  <c r="F969" i="3"/>
  <c r="J968" i="3"/>
  <c r="I968" i="3"/>
  <c r="G968" i="3"/>
  <c r="F968" i="3"/>
  <c r="J967" i="3"/>
  <c r="I967" i="3"/>
  <c r="G967" i="3"/>
  <c r="F967" i="3"/>
  <c r="J966" i="3"/>
  <c r="I966" i="3"/>
  <c r="G966" i="3"/>
  <c r="F966" i="3"/>
  <c r="J965" i="3"/>
  <c r="I965" i="3"/>
  <c r="G965" i="3"/>
  <c r="F965" i="3"/>
  <c r="J964" i="3"/>
  <c r="I964" i="3"/>
  <c r="G964" i="3"/>
  <c r="F964" i="3"/>
  <c r="J963" i="3"/>
  <c r="I963" i="3"/>
  <c r="G963" i="3"/>
  <c r="F963" i="3"/>
  <c r="J962" i="3"/>
  <c r="I962" i="3"/>
  <c r="G962" i="3"/>
  <c r="F962" i="3"/>
  <c r="J961" i="3"/>
  <c r="I961" i="3"/>
  <c r="G961" i="3"/>
  <c r="F961" i="3"/>
  <c r="J960" i="3"/>
  <c r="I960" i="3"/>
  <c r="G960" i="3"/>
  <c r="F960" i="3"/>
  <c r="J959" i="3"/>
  <c r="I959" i="3"/>
  <c r="G959" i="3"/>
  <c r="F959" i="3"/>
  <c r="J958" i="3"/>
  <c r="I958" i="3"/>
  <c r="G958" i="3"/>
  <c r="F958" i="3"/>
  <c r="J957" i="3"/>
  <c r="I957" i="3"/>
  <c r="G957" i="3"/>
  <c r="F957" i="3"/>
  <c r="J956" i="3"/>
  <c r="I956" i="3"/>
  <c r="G956" i="3"/>
  <c r="F956" i="3"/>
  <c r="J955" i="3"/>
  <c r="I955" i="3"/>
  <c r="G955" i="3"/>
  <c r="F955" i="3"/>
  <c r="J954" i="3"/>
  <c r="I954" i="3"/>
  <c r="G954" i="3"/>
  <c r="F954" i="3"/>
  <c r="J953" i="3"/>
  <c r="I953" i="3"/>
  <c r="G953" i="3"/>
  <c r="F953" i="3"/>
  <c r="J952" i="3"/>
  <c r="I952" i="3"/>
  <c r="G952" i="3"/>
  <c r="F952" i="3"/>
  <c r="J951" i="3"/>
  <c r="I951" i="3"/>
  <c r="G951" i="3"/>
  <c r="F951" i="3"/>
  <c r="J950" i="3"/>
  <c r="I950" i="3"/>
  <c r="G950" i="3"/>
  <c r="F950" i="3"/>
  <c r="J949" i="3"/>
  <c r="I949" i="3"/>
  <c r="G949" i="3"/>
  <c r="F949" i="3"/>
  <c r="J948" i="3"/>
  <c r="I948" i="3"/>
  <c r="G948" i="3"/>
  <c r="F948" i="3"/>
  <c r="J947" i="3"/>
  <c r="I947" i="3"/>
  <c r="G947" i="3"/>
  <c r="F947" i="3"/>
  <c r="J946" i="3"/>
  <c r="I946" i="3"/>
  <c r="G946" i="3"/>
  <c r="F946" i="3"/>
  <c r="J945" i="3"/>
  <c r="I945" i="3"/>
  <c r="G945" i="3"/>
  <c r="F945" i="3"/>
  <c r="J944" i="3"/>
  <c r="I944" i="3"/>
  <c r="G944" i="3"/>
  <c r="F944" i="3"/>
  <c r="J943" i="3"/>
  <c r="I943" i="3"/>
  <c r="G943" i="3"/>
  <c r="F943" i="3"/>
  <c r="J942" i="3"/>
  <c r="I942" i="3"/>
  <c r="G942" i="3"/>
  <c r="F942" i="3"/>
  <c r="J941" i="3"/>
  <c r="I941" i="3"/>
  <c r="G941" i="3"/>
  <c r="F941" i="3"/>
  <c r="J940" i="3"/>
  <c r="I940" i="3"/>
  <c r="G940" i="3"/>
  <c r="F940" i="3"/>
  <c r="J939" i="3"/>
  <c r="I939" i="3"/>
  <c r="G939" i="3"/>
  <c r="F939" i="3"/>
  <c r="J938" i="3"/>
  <c r="I938" i="3"/>
  <c r="G938" i="3"/>
  <c r="F938" i="3"/>
  <c r="J937" i="3"/>
  <c r="I937" i="3"/>
  <c r="G937" i="3"/>
  <c r="F937" i="3"/>
  <c r="J936" i="3"/>
  <c r="I936" i="3"/>
  <c r="G936" i="3"/>
  <c r="F936" i="3"/>
  <c r="F208" i="3" s="1"/>
  <c r="J935" i="3"/>
  <c r="I935" i="3"/>
  <c r="G935" i="3"/>
  <c r="F935" i="3"/>
  <c r="J934" i="3"/>
  <c r="I934" i="3"/>
  <c r="G934" i="3"/>
  <c r="F934" i="3"/>
  <c r="J933" i="3"/>
  <c r="I933" i="3"/>
  <c r="G933" i="3"/>
  <c r="F933" i="3"/>
  <c r="J932" i="3"/>
  <c r="I932" i="3"/>
  <c r="G932" i="3"/>
  <c r="F932" i="3"/>
  <c r="J931" i="3"/>
  <c r="I931" i="3"/>
  <c r="G931" i="3"/>
  <c r="F931" i="3"/>
  <c r="J930" i="3"/>
  <c r="I930" i="3"/>
  <c r="G930" i="3"/>
  <c r="F930" i="3"/>
  <c r="J929" i="3"/>
  <c r="I929" i="3"/>
  <c r="G929" i="3"/>
  <c r="F929" i="3"/>
  <c r="J928" i="3"/>
  <c r="I928" i="3"/>
  <c r="G928" i="3"/>
  <c r="F928" i="3"/>
  <c r="J927" i="3"/>
  <c r="I927" i="3"/>
  <c r="G927" i="3"/>
  <c r="F927" i="3"/>
  <c r="J926" i="3"/>
  <c r="I926" i="3"/>
  <c r="G926" i="3"/>
  <c r="F926" i="3"/>
  <c r="J925" i="3"/>
  <c r="I925" i="3"/>
  <c r="G925" i="3"/>
  <c r="F925" i="3"/>
  <c r="J924" i="3"/>
  <c r="I924" i="3"/>
  <c r="G924" i="3"/>
  <c r="F924" i="3"/>
  <c r="J923" i="3"/>
  <c r="I923" i="3"/>
  <c r="G923" i="3"/>
  <c r="F923" i="3"/>
  <c r="J922" i="3"/>
  <c r="I922" i="3"/>
  <c r="G922" i="3"/>
  <c r="F922" i="3"/>
  <c r="J921" i="3"/>
  <c r="I921" i="3"/>
  <c r="G921" i="3"/>
  <c r="F921" i="3"/>
  <c r="J920" i="3"/>
  <c r="I920" i="3"/>
  <c r="G920" i="3"/>
  <c r="F920" i="3"/>
  <c r="J919" i="3"/>
  <c r="I919" i="3"/>
  <c r="G919" i="3"/>
  <c r="F919" i="3"/>
  <c r="J918" i="3"/>
  <c r="I918" i="3"/>
  <c r="G918" i="3"/>
  <c r="F918" i="3"/>
  <c r="J917" i="3"/>
  <c r="I917" i="3"/>
  <c r="G917" i="3"/>
  <c r="F917" i="3"/>
  <c r="J916" i="3"/>
  <c r="I916" i="3"/>
  <c r="G916" i="3"/>
  <c r="F916" i="3"/>
  <c r="J915" i="3"/>
  <c r="I915" i="3"/>
  <c r="G915" i="3"/>
  <c r="F915" i="3"/>
  <c r="J914" i="3"/>
  <c r="I914" i="3"/>
  <c r="G914" i="3"/>
  <c r="F914" i="3"/>
  <c r="J913" i="3"/>
  <c r="I913" i="3"/>
  <c r="G913" i="3"/>
  <c r="F913" i="3"/>
  <c r="J912" i="3"/>
  <c r="I912" i="3"/>
  <c r="G912" i="3"/>
  <c r="F912" i="3"/>
  <c r="J911" i="3"/>
  <c r="I911" i="3"/>
  <c r="G911" i="3"/>
  <c r="F911" i="3"/>
  <c r="J910" i="3"/>
  <c r="I910" i="3"/>
  <c r="G910" i="3"/>
  <c r="F910" i="3"/>
  <c r="J909" i="3"/>
  <c r="I909" i="3"/>
  <c r="G909" i="3"/>
  <c r="F909" i="3"/>
  <c r="J908" i="3"/>
  <c r="I908" i="3"/>
  <c r="G908" i="3"/>
  <c r="F908" i="3"/>
  <c r="J907" i="3"/>
  <c r="I907" i="3"/>
  <c r="G907" i="3"/>
  <c r="F907" i="3"/>
  <c r="J906" i="3"/>
  <c r="I906" i="3"/>
  <c r="G906" i="3"/>
  <c r="F906" i="3"/>
  <c r="J905" i="3"/>
  <c r="I905" i="3"/>
  <c r="G905" i="3"/>
  <c r="F905" i="3"/>
  <c r="J904" i="3"/>
  <c r="I904" i="3"/>
  <c r="G904" i="3"/>
  <c r="F904" i="3"/>
  <c r="J903" i="3"/>
  <c r="I903" i="3"/>
  <c r="G903" i="3"/>
  <c r="F903" i="3"/>
  <c r="J902" i="3"/>
  <c r="I902" i="3"/>
  <c r="G902" i="3"/>
  <c r="F902" i="3"/>
  <c r="J901" i="3"/>
  <c r="I901" i="3"/>
  <c r="G901" i="3"/>
  <c r="F901" i="3"/>
  <c r="J900" i="3"/>
  <c r="I900" i="3"/>
  <c r="G900" i="3"/>
  <c r="F900" i="3"/>
  <c r="J899" i="3"/>
  <c r="I899" i="3"/>
  <c r="G899" i="3"/>
  <c r="F899" i="3"/>
  <c r="J898" i="3"/>
  <c r="I898" i="3"/>
  <c r="G898" i="3"/>
  <c r="F898" i="3"/>
  <c r="J897" i="3"/>
  <c r="I897" i="3"/>
  <c r="G897" i="3"/>
  <c r="F897" i="3"/>
  <c r="J896" i="3"/>
  <c r="I896" i="3"/>
  <c r="G896" i="3"/>
  <c r="F896" i="3"/>
  <c r="J895" i="3"/>
  <c r="I895" i="3"/>
  <c r="G895" i="3"/>
  <c r="F895" i="3"/>
  <c r="J894" i="3"/>
  <c r="I894" i="3"/>
  <c r="G894" i="3"/>
  <c r="F894" i="3"/>
  <c r="J893" i="3"/>
  <c r="I893" i="3"/>
  <c r="G893" i="3"/>
  <c r="F893" i="3"/>
  <c r="J892" i="3"/>
  <c r="I892" i="3"/>
  <c r="G892" i="3"/>
  <c r="F892" i="3"/>
  <c r="J891" i="3"/>
  <c r="I891" i="3"/>
  <c r="G891" i="3"/>
  <c r="F891" i="3"/>
  <c r="J890" i="3"/>
  <c r="I890" i="3"/>
  <c r="G890" i="3"/>
  <c r="F890" i="3"/>
  <c r="J889" i="3"/>
  <c r="I889" i="3"/>
  <c r="G889" i="3"/>
  <c r="F889" i="3"/>
  <c r="J888" i="3"/>
  <c r="I888" i="3"/>
  <c r="G888" i="3"/>
  <c r="F888" i="3"/>
  <c r="J887" i="3"/>
  <c r="I887" i="3"/>
  <c r="G887" i="3"/>
  <c r="F887" i="3"/>
  <c r="J886" i="3"/>
  <c r="I886" i="3"/>
  <c r="G886" i="3"/>
  <c r="F886" i="3"/>
  <c r="J885" i="3"/>
  <c r="I885" i="3"/>
  <c r="G885" i="3"/>
  <c r="F885" i="3"/>
  <c r="J884" i="3"/>
  <c r="I884" i="3"/>
  <c r="G884" i="3"/>
  <c r="F884" i="3"/>
  <c r="J883" i="3"/>
  <c r="I883" i="3"/>
  <c r="G883" i="3"/>
  <c r="F883" i="3"/>
  <c r="J882" i="3"/>
  <c r="I882" i="3"/>
  <c r="G882" i="3"/>
  <c r="F882" i="3"/>
  <c r="J881" i="3"/>
  <c r="I881" i="3"/>
  <c r="G881" i="3"/>
  <c r="F881" i="3"/>
  <c r="J880" i="3"/>
  <c r="I880" i="3"/>
  <c r="G880" i="3"/>
  <c r="F880" i="3"/>
  <c r="J879" i="3"/>
  <c r="I879" i="3"/>
  <c r="G879" i="3"/>
  <c r="F879" i="3"/>
  <c r="J878" i="3"/>
  <c r="I878" i="3"/>
  <c r="G878" i="3"/>
  <c r="F878" i="3"/>
  <c r="J877" i="3"/>
  <c r="I877" i="3"/>
  <c r="G877" i="3"/>
  <c r="F877" i="3"/>
  <c r="J876" i="3"/>
  <c r="I876" i="3"/>
  <c r="G876" i="3"/>
  <c r="F876" i="3"/>
  <c r="J875" i="3"/>
  <c r="I875" i="3"/>
  <c r="G875" i="3"/>
  <c r="F875" i="3"/>
  <c r="J874" i="3"/>
  <c r="I874" i="3"/>
  <c r="G874" i="3"/>
  <c r="F874" i="3"/>
  <c r="J873" i="3"/>
  <c r="I873" i="3"/>
  <c r="G873" i="3"/>
  <c r="F873" i="3"/>
  <c r="J872" i="3"/>
  <c r="I872" i="3"/>
  <c r="G872" i="3"/>
  <c r="F872" i="3"/>
  <c r="J871" i="3"/>
  <c r="I871" i="3"/>
  <c r="G871" i="3"/>
  <c r="F871" i="3"/>
  <c r="J870" i="3"/>
  <c r="I870" i="3"/>
  <c r="G870" i="3"/>
  <c r="F870" i="3"/>
  <c r="J869" i="3"/>
  <c r="I869" i="3"/>
  <c r="G869" i="3"/>
  <c r="F869" i="3"/>
  <c r="J868" i="3"/>
  <c r="I868" i="3"/>
  <c r="G868" i="3"/>
  <c r="F868" i="3"/>
  <c r="J867" i="3"/>
  <c r="I867" i="3"/>
  <c r="G867" i="3"/>
  <c r="F867" i="3"/>
  <c r="J866" i="3"/>
  <c r="I866" i="3"/>
  <c r="G866" i="3"/>
  <c r="F866" i="3"/>
  <c r="J865" i="3"/>
  <c r="I865" i="3"/>
  <c r="G865" i="3"/>
  <c r="F865" i="3"/>
  <c r="J864" i="3"/>
  <c r="I864" i="3"/>
  <c r="G864" i="3"/>
  <c r="F864" i="3"/>
  <c r="J863" i="3"/>
  <c r="I863" i="3"/>
  <c r="G863" i="3"/>
  <c r="F863" i="3"/>
  <c r="J862" i="3"/>
  <c r="I862" i="3"/>
  <c r="G862" i="3"/>
  <c r="F862" i="3"/>
  <c r="J861" i="3"/>
  <c r="I861" i="3"/>
  <c r="G861" i="3"/>
  <c r="F861" i="3"/>
  <c r="J860" i="3"/>
  <c r="I860" i="3"/>
  <c r="G860" i="3"/>
  <c r="F860" i="3"/>
  <c r="J859" i="3"/>
  <c r="I859" i="3"/>
  <c r="G859" i="3"/>
  <c r="F859" i="3"/>
  <c r="J858" i="3"/>
  <c r="I858" i="3"/>
  <c r="G858" i="3"/>
  <c r="F858" i="3"/>
  <c r="J857" i="3"/>
  <c r="I857" i="3"/>
  <c r="G857" i="3"/>
  <c r="F857" i="3"/>
  <c r="J856" i="3"/>
  <c r="I856" i="3"/>
  <c r="G856" i="3"/>
  <c r="F856" i="3"/>
  <c r="J855" i="3"/>
  <c r="I855" i="3"/>
  <c r="G855" i="3"/>
  <c r="F855" i="3"/>
  <c r="J854" i="3"/>
  <c r="I854" i="3"/>
  <c r="G854" i="3"/>
  <c r="F854" i="3"/>
  <c r="J853" i="3"/>
  <c r="I853" i="3"/>
  <c r="G853" i="3"/>
  <c r="F853" i="3"/>
  <c r="J852" i="3"/>
  <c r="I852" i="3"/>
  <c r="G852" i="3"/>
  <c r="F852" i="3"/>
  <c r="J851" i="3"/>
  <c r="I851" i="3"/>
  <c r="G851" i="3"/>
  <c r="F851" i="3"/>
  <c r="J850" i="3"/>
  <c r="I850" i="3"/>
  <c r="G850" i="3"/>
  <c r="F850" i="3"/>
  <c r="J849" i="3"/>
  <c r="I849" i="3"/>
  <c r="G849" i="3"/>
  <c r="F849" i="3"/>
  <c r="J848" i="3"/>
  <c r="I848" i="3"/>
  <c r="G848" i="3"/>
  <c r="F848" i="3"/>
  <c r="J847" i="3"/>
  <c r="I847" i="3"/>
  <c r="G847" i="3"/>
  <c r="F847" i="3"/>
  <c r="J846" i="3"/>
  <c r="I846" i="3"/>
  <c r="G846" i="3"/>
  <c r="F846" i="3"/>
  <c r="J845" i="3"/>
  <c r="I845" i="3"/>
  <c r="G845" i="3"/>
  <c r="F845" i="3"/>
  <c r="J844" i="3"/>
  <c r="I844" i="3"/>
  <c r="G844" i="3"/>
  <c r="F844" i="3"/>
  <c r="J843" i="3"/>
  <c r="I843" i="3"/>
  <c r="G843" i="3"/>
  <c r="F843" i="3"/>
  <c r="J842" i="3"/>
  <c r="I842" i="3"/>
  <c r="G842" i="3"/>
  <c r="F842" i="3"/>
  <c r="J841" i="3"/>
  <c r="I841" i="3"/>
  <c r="G841" i="3"/>
  <c r="F841" i="3"/>
  <c r="J840" i="3"/>
  <c r="I840" i="3"/>
  <c r="G840" i="3"/>
  <c r="F840" i="3"/>
  <c r="J839" i="3"/>
  <c r="I839" i="3"/>
  <c r="G839" i="3"/>
  <c r="F839" i="3"/>
  <c r="J838" i="3"/>
  <c r="I838" i="3"/>
  <c r="G838" i="3"/>
  <c r="F838" i="3"/>
  <c r="J837" i="3"/>
  <c r="I837" i="3"/>
  <c r="G837" i="3"/>
  <c r="F837" i="3"/>
  <c r="J836" i="3"/>
  <c r="I836" i="3"/>
  <c r="G836" i="3"/>
  <c r="F836" i="3"/>
  <c r="J835" i="3"/>
  <c r="I835" i="3"/>
  <c r="G835" i="3"/>
  <c r="F835" i="3"/>
  <c r="J834" i="3"/>
  <c r="J158" i="3" s="1"/>
  <c r="I834" i="3"/>
  <c r="G834" i="3"/>
  <c r="F834" i="3"/>
  <c r="J833" i="3"/>
  <c r="I833" i="3"/>
  <c r="G833" i="3"/>
  <c r="F833" i="3"/>
  <c r="J832" i="3"/>
  <c r="I832" i="3"/>
  <c r="G832" i="3"/>
  <c r="F832" i="3"/>
  <c r="J831" i="3"/>
  <c r="I831" i="3"/>
  <c r="G831" i="3"/>
  <c r="F831" i="3"/>
  <c r="J830" i="3"/>
  <c r="I830" i="3"/>
  <c r="G830" i="3"/>
  <c r="F830" i="3"/>
  <c r="J829" i="3"/>
  <c r="I829" i="3"/>
  <c r="G829" i="3"/>
  <c r="F829" i="3"/>
  <c r="J828" i="3"/>
  <c r="I828" i="3"/>
  <c r="G828" i="3"/>
  <c r="F828" i="3"/>
  <c r="J827" i="3"/>
  <c r="I827" i="3"/>
  <c r="G827" i="3"/>
  <c r="F827" i="3"/>
  <c r="J826" i="3"/>
  <c r="I826" i="3"/>
  <c r="G826" i="3"/>
  <c r="F826" i="3"/>
  <c r="J825" i="3"/>
  <c r="I825" i="3"/>
  <c r="G825" i="3"/>
  <c r="F825" i="3"/>
  <c r="J824" i="3"/>
  <c r="I824" i="3"/>
  <c r="G824" i="3"/>
  <c r="F824" i="3"/>
  <c r="J823" i="3"/>
  <c r="I823" i="3"/>
  <c r="G823" i="3"/>
  <c r="F823" i="3"/>
  <c r="J822" i="3"/>
  <c r="I822" i="3"/>
  <c r="G822" i="3"/>
  <c r="F822" i="3"/>
  <c r="J821" i="3"/>
  <c r="I821" i="3"/>
  <c r="G821" i="3"/>
  <c r="F821" i="3"/>
  <c r="J820" i="3"/>
  <c r="I820" i="3"/>
  <c r="G820" i="3"/>
  <c r="F820" i="3"/>
  <c r="J819" i="3"/>
  <c r="I819" i="3"/>
  <c r="G819" i="3"/>
  <c r="F819" i="3"/>
  <c r="J818" i="3"/>
  <c r="I818" i="3"/>
  <c r="G818" i="3"/>
  <c r="F818" i="3"/>
  <c r="J817" i="3"/>
  <c r="I817" i="3"/>
  <c r="G817" i="3"/>
  <c r="F817" i="3"/>
  <c r="J816" i="3"/>
  <c r="I816" i="3"/>
  <c r="G816" i="3"/>
  <c r="F816" i="3"/>
  <c r="J815" i="3"/>
  <c r="I815" i="3"/>
  <c r="G815" i="3"/>
  <c r="F815" i="3"/>
  <c r="J814" i="3"/>
  <c r="I814" i="3"/>
  <c r="G814" i="3"/>
  <c r="F814" i="3"/>
  <c r="J813" i="3"/>
  <c r="I813" i="3"/>
  <c r="G813" i="3"/>
  <c r="F813" i="3"/>
  <c r="J812" i="3"/>
  <c r="I812" i="3"/>
  <c r="G812" i="3"/>
  <c r="F812" i="3"/>
  <c r="J811" i="3"/>
  <c r="I811" i="3"/>
  <c r="G811" i="3"/>
  <c r="F811" i="3"/>
  <c r="J810" i="3"/>
  <c r="I810" i="3"/>
  <c r="G810" i="3"/>
  <c r="F810" i="3"/>
  <c r="J809" i="3"/>
  <c r="I809" i="3"/>
  <c r="G809" i="3"/>
  <c r="F809" i="3"/>
  <c r="J808" i="3"/>
  <c r="I808" i="3"/>
  <c r="G808" i="3"/>
  <c r="F808" i="3"/>
  <c r="J807" i="3"/>
  <c r="I807" i="3"/>
  <c r="G807" i="3"/>
  <c r="F807" i="3"/>
  <c r="J806" i="3"/>
  <c r="I806" i="3"/>
  <c r="G806" i="3"/>
  <c r="F806" i="3"/>
  <c r="J805" i="3"/>
  <c r="I805" i="3"/>
  <c r="G805" i="3"/>
  <c r="F805" i="3"/>
  <c r="J804" i="3"/>
  <c r="I804" i="3"/>
  <c r="G804" i="3"/>
  <c r="F804" i="3"/>
  <c r="J803" i="3"/>
  <c r="I803" i="3"/>
  <c r="G803" i="3"/>
  <c r="F803" i="3"/>
  <c r="J802" i="3"/>
  <c r="I802" i="3"/>
  <c r="G802" i="3"/>
  <c r="F802" i="3"/>
  <c r="J801" i="3"/>
  <c r="I801" i="3"/>
  <c r="G801" i="3"/>
  <c r="F801" i="3"/>
  <c r="J800" i="3"/>
  <c r="I800" i="3"/>
  <c r="G800" i="3"/>
  <c r="F800" i="3"/>
  <c r="J799" i="3"/>
  <c r="I799" i="3"/>
  <c r="G799" i="3"/>
  <c r="F799" i="3"/>
  <c r="J798" i="3"/>
  <c r="I798" i="3"/>
  <c r="G798" i="3"/>
  <c r="F798" i="3"/>
  <c r="J797" i="3"/>
  <c r="I797" i="3"/>
  <c r="G797" i="3"/>
  <c r="F797" i="3"/>
  <c r="J796" i="3"/>
  <c r="I796" i="3"/>
  <c r="G796" i="3"/>
  <c r="F796" i="3"/>
  <c r="J795" i="3"/>
  <c r="I795" i="3"/>
  <c r="G795" i="3"/>
  <c r="F795" i="3"/>
  <c r="J794" i="3"/>
  <c r="I794" i="3"/>
  <c r="G794" i="3"/>
  <c r="F794" i="3"/>
  <c r="J793" i="3"/>
  <c r="I793" i="3"/>
  <c r="G793" i="3"/>
  <c r="F793" i="3"/>
  <c r="J792" i="3"/>
  <c r="I792" i="3"/>
  <c r="G792" i="3"/>
  <c r="F792" i="3"/>
  <c r="J791" i="3"/>
  <c r="I791" i="3"/>
  <c r="G791" i="3"/>
  <c r="F791" i="3"/>
  <c r="J790" i="3"/>
  <c r="I790" i="3"/>
  <c r="G790" i="3"/>
  <c r="F790" i="3"/>
  <c r="J789" i="3"/>
  <c r="I789" i="3"/>
  <c r="G789" i="3"/>
  <c r="F789" i="3"/>
  <c r="J788" i="3"/>
  <c r="I788" i="3"/>
  <c r="G788" i="3"/>
  <c r="F788" i="3"/>
  <c r="J787" i="3"/>
  <c r="I787" i="3"/>
  <c r="G787" i="3"/>
  <c r="F787" i="3"/>
  <c r="J786" i="3"/>
  <c r="I786" i="3"/>
  <c r="G786" i="3"/>
  <c r="F786" i="3"/>
  <c r="J785" i="3"/>
  <c r="I785" i="3"/>
  <c r="G785" i="3"/>
  <c r="F785" i="3"/>
  <c r="J784" i="3"/>
  <c r="I784" i="3"/>
  <c r="G784" i="3"/>
  <c r="F784" i="3"/>
  <c r="J783" i="3"/>
  <c r="I783" i="3"/>
  <c r="G783" i="3"/>
  <c r="F783" i="3"/>
  <c r="J782" i="3"/>
  <c r="I782" i="3"/>
  <c r="G782" i="3"/>
  <c r="F782" i="3"/>
  <c r="J781" i="3"/>
  <c r="I781" i="3"/>
  <c r="G781" i="3"/>
  <c r="F781" i="3"/>
  <c r="J780" i="3"/>
  <c r="I780" i="3"/>
  <c r="G780" i="3"/>
  <c r="F780" i="3"/>
  <c r="J779" i="3"/>
  <c r="I779" i="3"/>
  <c r="G779" i="3"/>
  <c r="F779" i="3"/>
  <c r="J778" i="3"/>
  <c r="I778" i="3"/>
  <c r="G778" i="3"/>
  <c r="F778" i="3"/>
  <c r="J777" i="3"/>
  <c r="I777" i="3"/>
  <c r="G777" i="3"/>
  <c r="F777" i="3"/>
  <c r="J776" i="3"/>
  <c r="I776" i="3"/>
  <c r="G776" i="3"/>
  <c r="F776" i="3"/>
  <c r="J775" i="3"/>
  <c r="I775" i="3"/>
  <c r="G775" i="3"/>
  <c r="F775" i="3"/>
  <c r="J774" i="3"/>
  <c r="I774" i="3"/>
  <c r="G774" i="3"/>
  <c r="F774" i="3"/>
  <c r="J773" i="3"/>
  <c r="I773" i="3"/>
  <c r="G773" i="3"/>
  <c r="F773" i="3"/>
  <c r="J772" i="3"/>
  <c r="I772" i="3"/>
  <c r="G772" i="3"/>
  <c r="F772" i="3"/>
  <c r="J771" i="3"/>
  <c r="I771" i="3"/>
  <c r="G771" i="3"/>
  <c r="F771" i="3"/>
  <c r="J770" i="3"/>
  <c r="I770" i="3"/>
  <c r="G770" i="3"/>
  <c r="F770" i="3"/>
  <c r="J769" i="3"/>
  <c r="I769" i="3"/>
  <c r="G769" i="3"/>
  <c r="F769" i="3"/>
  <c r="J768" i="3"/>
  <c r="I768" i="3"/>
  <c r="G768" i="3"/>
  <c r="F768" i="3"/>
  <c r="J767" i="3"/>
  <c r="I767" i="3"/>
  <c r="G767" i="3"/>
  <c r="F767" i="3"/>
  <c r="J766" i="3"/>
  <c r="I766" i="3"/>
  <c r="G766" i="3"/>
  <c r="F766" i="3"/>
  <c r="J765" i="3"/>
  <c r="I765" i="3"/>
  <c r="G765" i="3"/>
  <c r="F765" i="3"/>
  <c r="J764" i="3"/>
  <c r="I764" i="3"/>
  <c r="G764" i="3"/>
  <c r="F764" i="3"/>
  <c r="J763" i="3"/>
  <c r="I763" i="3"/>
  <c r="G763" i="3"/>
  <c r="F763" i="3"/>
  <c r="J762" i="3"/>
  <c r="I762" i="3"/>
  <c r="G762" i="3"/>
  <c r="F762" i="3"/>
  <c r="J761" i="3"/>
  <c r="I761" i="3"/>
  <c r="G761" i="3"/>
  <c r="F761" i="3"/>
  <c r="J760" i="3"/>
  <c r="I760" i="3"/>
  <c r="G760" i="3"/>
  <c r="F760" i="3"/>
  <c r="J759" i="3"/>
  <c r="I759" i="3"/>
  <c r="G759" i="3"/>
  <c r="F759" i="3"/>
  <c r="J758" i="3"/>
  <c r="I758" i="3"/>
  <c r="G758" i="3"/>
  <c r="F758" i="3"/>
  <c r="J757" i="3"/>
  <c r="I757" i="3"/>
  <c r="G757" i="3"/>
  <c r="F757" i="3"/>
  <c r="J756" i="3"/>
  <c r="I756" i="3"/>
  <c r="G756" i="3"/>
  <c r="F756" i="3"/>
  <c r="J755" i="3"/>
  <c r="I755" i="3"/>
  <c r="G755" i="3"/>
  <c r="F755" i="3"/>
  <c r="J754" i="3"/>
  <c r="I754" i="3"/>
  <c r="G754" i="3"/>
  <c r="F754" i="3"/>
  <c r="J753" i="3"/>
  <c r="I753" i="3"/>
  <c r="G753" i="3"/>
  <c r="F753" i="3"/>
  <c r="J752" i="3"/>
  <c r="I752" i="3"/>
  <c r="G752" i="3"/>
  <c r="F752" i="3"/>
  <c r="J751" i="3"/>
  <c r="I751" i="3"/>
  <c r="G751" i="3"/>
  <c r="F751" i="3"/>
  <c r="J750" i="3"/>
  <c r="I750" i="3"/>
  <c r="G750" i="3"/>
  <c r="F750" i="3"/>
  <c r="J749" i="3"/>
  <c r="I749" i="3"/>
  <c r="G749" i="3"/>
  <c r="F749" i="3"/>
  <c r="J748" i="3"/>
  <c r="I748" i="3"/>
  <c r="G748" i="3"/>
  <c r="F748" i="3"/>
  <c r="J747" i="3"/>
  <c r="I747" i="3"/>
  <c r="G747" i="3"/>
  <c r="F747" i="3"/>
  <c r="J746" i="3"/>
  <c r="I746" i="3"/>
  <c r="G746" i="3"/>
  <c r="F746" i="3"/>
  <c r="J745" i="3"/>
  <c r="I745" i="3"/>
  <c r="G745" i="3"/>
  <c r="F745" i="3"/>
  <c r="J744" i="3"/>
  <c r="I744" i="3"/>
  <c r="G744" i="3"/>
  <c r="F744" i="3"/>
  <c r="J743" i="3"/>
  <c r="I743" i="3"/>
  <c r="G743" i="3"/>
  <c r="F743" i="3"/>
  <c r="J742" i="3"/>
  <c r="I742" i="3"/>
  <c r="G742" i="3"/>
  <c r="F742" i="3"/>
  <c r="J741" i="3"/>
  <c r="I741" i="3"/>
  <c r="G741" i="3"/>
  <c r="F741" i="3"/>
  <c r="J740" i="3"/>
  <c r="I740" i="3"/>
  <c r="G740" i="3"/>
  <c r="F740" i="3"/>
  <c r="J739" i="3"/>
  <c r="I739" i="3"/>
  <c r="G739" i="3"/>
  <c r="F739" i="3"/>
  <c r="J738" i="3"/>
  <c r="I738" i="3"/>
  <c r="G738" i="3"/>
  <c r="F738" i="3"/>
  <c r="J737" i="3"/>
  <c r="I737" i="3"/>
  <c r="G737" i="3"/>
  <c r="F737" i="3"/>
  <c r="J736" i="3"/>
  <c r="I736" i="3"/>
  <c r="G736" i="3"/>
  <c r="F736" i="3"/>
  <c r="J735" i="3"/>
  <c r="I735" i="3"/>
  <c r="G735" i="3"/>
  <c r="F735" i="3"/>
  <c r="J734" i="3"/>
  <c r="I734" i="3"/>
  <c r="G734" i="3"/>
  <c r="F734" i="3"/>
  <c r="J733" i="3"/>
  <c r="I733" i="3"/>
  <c r="G733" i="3"/>
  <c r="F733" i="3"/>
  <c r="J732" i="3"/>
  <c r="I732" i="3"/>
  <c r="G732" i="3"/>
  <c r="F732" i="3"/>
  <c r="J731" i="3"/>
  <c r="I731" i="3"/>
  <c r="G731" i="3"/>
  <c r="F731" i="3"/>
  <c r="J730" i="3"/>
  <c r="I730" i="3"/>
  <c r="G730" i="3"/>
  <c r="F730" i="3"/>
  <c r="J729" i="3"/>
  <c r="I729" i="3"/>
  <c r="G729" i="3"/>
  <c r="F729" i="3"/>
  <c r="J728" i="3"/>
  <c r="I728" i="3"/>
  <c r="G728" i="3"/>
  <c r="F728" i="3"/>
  <c r="J727" i="3"/>
  <c r="I727" i="3"/>
  <c r="G727" i="3"/>
  <c r="F727" i="3"/>
  <c r="J726" i="3"/>
  <c r="I726" i="3"/>
  <c r="G726" i="3"/>
  <c r="F726" i="3"/>
  <c r="J725" i="3"/>
  <c r="I725" i="3"/>
  <c r="G725" i="3"/>
  <c r="F725" i="3"/>
  <c r="J724" i="3"/>
  <c r="I724" i="3"/>
  <c r="G724" i="3"/>
  <c r="F724" i="3"/>
  <c r="J723" i="3"/>
  <c r="I723" i="3"/>
  <c r="G723" i="3"/>
  <c r="F723" i="3"/>
  <c r="J722" i="3"/>
  <c r="I722" i="3"/>
  <c r="G722" i="3"/>
  <c r="F722" i="3"/>
  <c r="J721" i="3"/>
  <c r="I721" i="3"/>
  <c r="G721" i="3"/>
  <c r="F721" i="3"/>
  <c r="J720" i="3"/>
  <c r="I720" i="3"/>
  <c r="G720" i="3"/>
  <c r="F720" i="3"/>
  <c r="J719" i="3"/>
  <c r="I719" i="3"/>
  <c r="G719" i="3"/>
  <c r="F719" i="3"/>
  <c r="J718" i="3"/>
  <c r="I718" i="3"/>
  <c r="G718" i="3"/>
  <c r="F718" i="3"/>
  <c r="J717" i="3"/>
  <c r="I717" i="3"/>
  <c r="G717" i="3"/>
  <c r="F717" i="3"/>
  <c r="J716" i="3"/>
  <c r="I716" i="3"/>
  <c r="G716" i="3"/>
  <c r="F716" i="3"/>
  <c r="J715" i="3"/>
  <c r="I715" i="3"/>
  <c r="G715" i="3"/>
  <c r="F715" i="3"/>
  <c r="J714" i="3"/>
  <c r="I714" i="3"/>
  <c r="G714" i="3"/>
  <c r="F714" i="3"/>
  <c r="J713" i="3"/>
  <c r="I713" i="3"/>
  <c r="G713" i="3"/>
  <c r="F713" i="3"/>
  <c r="J712" i="3"/>
  <c r="I712" i="3"/>
  <c r="G712" i="3"/>
  <c r="F712" i="3"/>
  <c r="J711" i="3"/>
  <c r="I711" i="3"/>
  <c r="G711" i="3"/>
  <c r="F711" i="3"/>
  <c r="J710" i="3"/>
  <c r="I710" i="3"/>
  <c r="G710" i="3"/>
  <c r="F710" i="3"/>
  <c r="J709" i="3"/>
  <c r="I709" i="3"/>
  <c r="G709" i="3"/>
  <c r="F709" i="3"/>
  <c r="J708" i="3"/>
  <c r="I708" i="3"/>
  <c r="G708" i="3"/>
  <c r="F708" i="3"/>
  <c r="J707" i="3"/>
  <c r="I707" i="3"/>
  <c r="G707" i="3"/>
  <c r="F707" i="3"/>
  <c r="J706" i="3"/>
  <c r="I706" i="3"/>
  <c r="G706" i="3"/>
  <c r="F706" i="3"/>
  <c r="J705" i="3"/>
  <c r="I705" i="3"/>
  <c r="G705" i="3"/>
  <c r="F705" i="3"/>
  <c r="J704" i="3"/>
  <c r="I704" i="3"/>
  <c r="G704" i="3"/>
  <c r="F704" i="3"/>
  <c r="J703" i="3"/>
  <c r="I703" i="3"/>
  <c r="G703" i="3"/>
  <c r="F703" i="3"/>
  <c r="J702" i="3"/>
  <c r="I702" i="3"/>
  <c r="G702" i="3"/>
  <c r="F702" i="3"/>
  <c r="J701" i="3"/>
  <c r="I701" i="3"/>
  <c r="G701" i="3"/>
  <c r="F701" i="3"/>
  <c r="J700" i="3"/>
  <c r="I700" i="3"/>
  <c r="G700" i="3"/>
  <c r="F700" i="3"/>
  <c r="J699" i="3"/>
  <c r="I699" i="3"/>
  <c r="G699" i="3"/>
  <c r="F699" i="3"/>
  <c r="J698" i="3"/>
  <c r="I698" i="3"/>
  <c r="G698" i="3"/>
  <c r="F698" i="3"/>
  <c r="J697" i="3"/>
  <c r="I697" i="3"/>
  <c r="G697" i="3"/>
  <c r="F697" i="3"/>
  <c r="J696" i="3"/>
  <c r="I696" i="3"/>
  <c r="G696" i="3"/>
  <c r="F696" i="3"/>
  <c r="J695" i="3"/>
  <c r="I695" i="3"/>
  <c r="G695" i="3"/>
  <c r="F695" i="3"/>
  <c r="J694" i="3"/>
  <c r="I694" i="3"/>
  <c r="G694" i="3"/>
  <c r="F694" i="3"/>
  <c r="J693" i="3"/>
  <c r="I693" i="3"/>
  <c r="G693" i="3"/>
  <c r="F693" i="3"/>
  <c r="J692" i="3"/>
  <c r="I692" i="3"/>
  <c r="G692" i="3"/>
  <c r="F692" i="3"/>
  <c r="J691" i="3"/>
  <c r="I691" i="3"/>
  <c r="G691" i="3"/>
  <c r="F691" i="3"/>
  <c r="J690" i="3"/>
  <c r="I690" i="3"/>
  <c r="G690" i="3"/>
  <c r="F690" i="3"/>
  <c r="J689" i="3"/>
  <c r="I689" i="3"/>
  <c r="G689" i="3"/>
  <c r="F689" i="3"/>
  <c r="J688" i="3"/>
  <c r="I688" i="3"/>
  <c r="G688" i="3"/>
  <c r="F688" i="3"/>
  <c r="J687" i="3"/>
  <c r="I687" i="3"/>
  <c r="G687" i="3"/>
  <c r="F687" i="3"/>
  <c r="J686" i="3"/>
  <c r="I686" i="3"/>
  <c r="G686" i="3"/>
  <c r="F686" i="3"/>
  <c r="J685" i="3"/>
  <c r="I685" i="3"/>
  <c r="G685" i="3"/>
  <c r="F685" i="3"/>
  <c r="J684" i="3"/>
  <c r="I684" i="3"/>
  <c r="G684" i="3"/>
  <c r="F684" i="3"/>
  <c r="J683" i="3"/>
  <c r="I683" i="3"/>
  <c r="G683" i="3"/>
  <c r="F683" i="3"/>
  <c r="J682" i="3"/>
  <c r="I682" i="3"/>
  <c r="G682" i="3"/>
  <c r="F682" i="3"/>
  <c r="J681" i="3"/>
  <c r="I681" i="3"/>
  <c r="G681" i="3"/>
  <c r="F681" i="3"/>
  <c r="J680" i="3"/>
  <c r="I680" i="3"/>
  <c r="G680" i="3"/>
  <c r="F680" i="3"/>
  <c r="J679" i="3"/>
  <c r="I679" i="3"/>
  <c r="G679" i="3"/>
  <c r="F679" i="3"/>
  <c r="J678" i="3"/>
  <c r="I678" i="3"/>
  <c r="G678" i="3"/>
  <c r="F678" i="3"/>
  <c r="J677" i="3"/>
  <c r="I677" i="3"/>
  <c r="G677" i="3"/>
  <c r="F677" i="3"/>
  <c r="J676" i="3"/>
  <c r="I676" i="3"/>
  <c r="G676" i="3"/>
  <c r="F676" i="3"/>
  <c r="J675" i="3"/>
  <c r="I675" i="3"/>
  <c r="G675" i="3"/>
  <c r="F675" i="3"/>
  <c r="J674" i="3"/>
  <c r="I674" i="3"/>
  <c r="G674" i="3"/>
  <c r="F674" i="3"/>
  <c r="J673" i="3"/>
  <c r="I673" i="3"/>
  <c r="G673" i="3"/>
  <c r="F673" i="3"/>
  <c r="J672" i="3"/>
  <c r="I672" i="3"/>
  <c r="G672" i="3"/>
  <c r="F672" i="3"/>
  <c r="J671" i="3"/>
  <c r="I671" i="3"/>
  <c r="G671" i="3"/>
  <c r="F671" i="3"/>
  <c r="J670" i="3"/>
  <c r="I670" i="3"/>
  <c r="G670" i="3"/>
  <c r="F670" i="3"/>
  <c r="J669" i="3"/>
  <c r="I669" i="3"/>
  <c r="G669" i="3"/>
  <c r="F669" i="3"/>
  <c r="J668" i="3"/>
  <c r="I668" i="3"/>
  <c r="G668" i="3"/>
  <c r="F668" i="3"/>
  <c r="J667" i="3"/>
  <c r="I667" i="3"/>
  <c r="G667" i="3"/>
  <c r="F667" i="3"/>
  <c r="J666" i="3"/>
  <c r="I666" i="3"/>
  <c r="G666" i="3"/>
  <c r="F666" i="3"/>
  <c r="J665" i="3"/>
  <c r="I665" i="3"/>
  <c r="G665" i="3"/>
  <c r="F665" i="3"/>
  <c r="J664" i="3"/>
  <c r="I664" i="3"/>
  <c r="G664" i="3"/>
  <c r="F664" i="3"/>
  <c r="J663" i="3"/>
  <c r="I663" i="3"/>
  <c r="G663" i="3"/>
  <c r="F663" i="3"/>
  <c r="J662" i="3"/>
  <c r="I662" i="3"/>
  <c r="G662" i="3"/>
  <c r="F662" i="3"/>
  <c r="J661" i="3"/>
  <c r="I661" i="3"/>
  <c r="G661" i="3"/>
  <c r="F661" i="3"/>
  <c r="J660" i="3"/>
  <c r="I660" i="3"/>
  <c r="G660" i="3"/>
  <c r="F660" i="3"/>
  <c r="J659" i="3"/>
  <c r="I659" i="3"/>
  <c r="G659" i="3"/>
  <c r="F659" i="3"/>
  <c r="J658" i="3"/>
  <c r="I658" i="3"/>
  <c r="G658" i="3"/>
  <c r="F658" i="3"/>
  <c r="J657" i="3"/>
  <c r="I657" i="3"/>
  <c r="G657" i="3"/>
  <c r="F657" i="3"/>
  <c r="J656" i="3"/>
  <c r="I656" i="3"/>
  <c r="G656" i="3"/>
  <c r="F656" i="3"/>
  <c r="J655" i="3"/>
  <c r="I655" i="3"/>
  <c r="G655" i="3"/>
  <c r="F655" i="3"/>
  <c r="J654" i="3"/>
  <c r="I654" i="3"/>
  <c r="G654" i="3"/>
  <c r="F654" i="3"/>
  <c r="J653" i="3"/>
  <c r="I653" i="3"/>
  <c r="G653" i="3"/>
  <c r="F653" i="3"/>
  <c r="J652" i="3"/>
  <c r="I652" i="3"/>
  <c r="G652" i="3"/>
  <c r="F652" i="3"/>
  <c r="J651" i="3"/>
  <c r="I651" i="3"/>
  <c r="G651" i="3"/>
  <c r="F651" i="3"/>
  <c r="J650" i="3"/>
  <c r="I650" i="3"/>
  <c r="G650" i="3"/>
  <c r="F650" i="3"/>
  <c r="J649" i="3"/>
  <c r="I649" i="3"/>
  <c r="G649" i="3"/>
  <c r="F649" i="3"/>
  <c r="J648" i="3"/>
  <c r="I648" i="3"/>
  <c r="G648" i="3"/>
  <c r="F648" i="3"/>
  <c r="J647" i="3"/>
  <c r="I647" i="3"/>
  <c r="G647" i="3"/>
  <c r="F647" i="3"/>
  <c r="J646" i="3"/>
  <c r="I646" i="3"/>
  <c r="G646" i="3"/>
  <c r="F646" i="3"/>
  <c r="J645" i="3"/>
  <c r="I645" i="3"/>
  <c r="G645" i="3"/>
  <c r="F645" i="3"/>
  <c r="J644" i="3"/>
  <c r="I644" i="3"/>
  <c r="G644" i="3"/>
  <c r="F644" i="3"/>
  <c r="J643" i="3"/>
  <c r="I643" i="3"/>
  <c r="G643" i="3"/>
  <c r="F643" i="3"/>
  <c r="J642" i="3"/>
  <c r="I642" i="3"/>
  <c r="G642" i="3"/>
  <c r="F642" i="3"/>
  <c r="J641" i="3"/>
  <c r="I641" i="3"/>
  <c r="G641" i="3"/>
  <c r="F641" i="3"/>
  <c r="J640" i="3"/>
  <c r="I640" i="3"/>
  <c r="G640" i="3"/>
  <c r="F640" i="3"/>
  <c r="J639" i="3"/>
  <c r="I639" i="3"/>
  <c r="G639" i="3"/>
  <c r="F639" i="3"/>
  <c r="J638" i="3"/>
  <c r="I638" i="3"/>
  <c r="G638" i="3"/>
  <c r="F638" i="3"/>
  <c r="J637" i="3"/>
  <c r="I637" i="3"/>
  <c r="G637" i="3"/>
  <c r="F637" i="3"/>
  <c r="J636" i="3"/>
  <c r="I636" i="3"/>
  <c r="G636" i="3"/>
  <c r="F636" i="3"/>
  <c r="J635" i="3"/>
  <c r="I635" i="3"/>
  <c r="G635" i="3"/>
  <c r="F635" i="3"/>
  <c r="J634" i="3"/>
  <c r="I634" i="3"/>
  <c r="G634" i="3"/>
  <c r="F634" i="3"/>
  <c r="J633" i="3"/>
  <c r="I633" i="3"/>
  <c r="G633" i="3"/>
  <c r="F633" i="3"/>
  <c r="J632" i="3"/>
  <c r="I632" i="3"/>
  <c r="G632" i="3"/>
  <c r="F632" i="3"/>
  <c r="J631" i="3"/>
  <c r="I631" i="3"/>
  <c r="G631" i="3"/>
  <c r="F631" i="3"/>
  <c r="J630" i="3"/>
  <c r="I630" i="3"/>
  <c r="G630" i="3"/>
  <c r="F630" i="3"/>
  <c r="J629" i="3"/>
  <c r="I629" i="3"/>
  <c r="G629" i="3"/>
  <c r="F629" i="3"/>
  <c r="J628" i="3"/>
  <c r="I628" i="3"/>
  <c r="G628" i="3"/>
  <c r="F628" i="3"/>
  <c r="J627" i="3"/>
  <c r="I627" i="3"/>
  <c r="G627" i="3"/>
  <c r="F627" i="3"/>
  <c r="J626" i="3"/>
  <c r="J106" i="3" s="1"/>
  <c r="I626" i="3"/>
  <c r="G626" i="3"/>
  <c r="F626" i="3"/>
  <c r="J625" i="3"/>
  <c r="I625" i="3"/>
  <c r="G625" i="3"/>
  <c r="F625" i="3"/>
  <c r="J624" i="3"/>
  <c r="I624" i="3"/>
  <c r="G624" i="3"/>
  <c r="F624" i="3"/>
  <c r="J623" i="3"/>
  <c r="I623" i="3"/>
  <c r="G623" i="3"/>
  <c r="F623" i="3"/>
  <c r="J622" i="3"/>
  <c r="I622" i="3"/>
  <c r="G622" i="3"/>
  <c r="F622" i="3"/>
  <c r="J621" i="3"/>
  <c r="I621" i="3"/>
  <c r="G621" i="3"/>
  <c r="F621" i="3"/>
  <c r="J620" i="3"/>
  <c r="I620" i="3"/>
  <c r="G620" i="3"/>
  <c r="F620" i="3"/>
  <c r="J619" i="3"/>
  <c r="I619" i="3"/>
  <c r="G619" i="3"/>
  <c r="F619" i="3"/>
  <c r="J618" i="3"/>
  <c r="I618" i="3"/>
  <c r="G618" i="3"/>
  <c r="F618" i="3"/>
  <c r="J617" i="3"/>
  <c r="I617" i="3"/>
  <c r="G617" i="3"/>
  <c r="F617" i="3"/>
  <c r="J616" i="3"/>
  <c r="I616" i="3"/>
  <c r="G616" i="3"/>
  <c r="F616" i="3"/>
  <c r="J615" i="3"/>
  <c r="I615" i="3"/>
  <c r="G615" i="3"/>
  <c r="F615" i="3"/>
  <c r="J614" i="3"/>
  <c r="I614" i="3"/>
  <c r="G614" i="3"/>
  <c r="F614" i="3"/>
  <c r="J613" i="3"/>
  <c r="I613" i="3"/>
  <c r="G613" i="3"/>
  <c r="F613" i="3"/>
  <c r="J612" i="3"/>
  <c r="I612" i="3"/>
  <c r="G612" i="3"/>
  <c r="F612" i="3"/>
  <c r="J611" i="3"/>
  <c r="I611" i="3"/>
  <c r="G611" i="3"/>
  <c r="F611" i="3"/>
  <c r="J610" i="3"/>
  <c r="I610" i="3"/>
  <c r="G610" i="3"/>
  <c r="F610" i="3"/>
  <c r="J609" i="3"/>
  <c r="I609" i="3"/>
  <c r="G609" i="3"/>
  <c r="F609" i="3"/>
  <c r="J608" i="3"/>
  <c r="I608" i="3"/>
  <c r="G608" i="3"/>
  <c r="F608" i="3"/>
  <c r="J607" i="3"/>
  <c r="I607" i="3"/>
  <c r="G607" i="3"/>
  <c r="F607" i="3"/>
  <c r="J606" i="3"/>
  <c r="I606" i="3"/>
  <c r="G606" i="3"/>
  <c r="F606" i="3"/>
  <c r="J605" i="3"/>
  <c r="I605" i="3"/>
  <c r="G605" i="3"/>
  <c r="F605" i="3"/>
  <c r="J604" i="3"/>
  <c r="I604" i="3"/>
  <c r="G604" i="3"/>
  <c r="F604" i="3"/>
  <c r="J603" i="3"/>
  <c r="I603" i="3"/>
  <c r="G603" i="3"/>
  <c r="F603" i="3"/>
  <c r="J602" i="3"/>
  <c r="I602" i="3"/>
  <c r="G602" i="3"/>
  <c r="F602" i="3"/>
  <c r="J601" i="3"/>
  <c r="I601" i="3"/>
  <c r="G601" i="3"/>
  <c r="F601" i="3"/>
  <c r="J600" i="3"/>
  <c r="I600" i="3"/>
  <c r="G600" i="3"/>
  <c r="F600" i="3"/>
  <c r="J599" i="3"/>
  <c r="I599" i="3"/>
  <c r="G599" i="3"/>
  <c r="F599" i="3"/>
  <c r="J598" i="3"/>
  <c r="I598" i="3"/>
  <c r="G598" i="3"/>
  <c r="F598" i="3"/>
  <c r="J597" i="3"/>
  <c r="I597" i="3"/>
  <c r="G597" i="3"/>
  <c r="F597" i="3"/>
  <c r="J596" i="3"/>
  <c r="I596" i="3"/>
  <c r="G596" i="3"/>
  <c r="F596" i="3"/>
  <c r="J595" i="3"/>
  <c r="I595" i="3"/>
  <c r="G595" i="3"/>
  <c r="F595" i="3"/>
  <c r="J594" i="3"/>
  <c r="I594" i="3"/>
  <c r="G594" i="3"/>
  <c r="F594" i="3"/>
  <c r="J593" i="3"/>
  <c r="I593" i="3"/>
  <c r="G593" i="3"/>
  <c r="F593" i="3"/>
  <c r="J592" i="3"/>
  <c r="I592" i="3"/>
  <c r="G592" i="3"/>
  <c r="F592" i="3"/>
  <c r="J591" i="3"/>
  <c r="I591" i="3"/>
  <c r="G591" i="3"/>
  <c r="F591" i="3"/>
  <c r="J590" i="3"/>
  <c r="I590" i="3"/>
  <c r="G590" i="3"/>
  <c r="F590" i="3"/>
  <c r="J589" i="3"/>
  <c r="I589" i="3"/>
  <c r="G589" i="3"/>
  <c r="F589" i="3"/>
  <c r="J588" i="3"/>
  <c r="I588" i="3"/>
  <c r="G588" i="3"/>
  <c r="F588" i="3"/>
  <c r="J587" i="3"/>
  <c r="I587" i="3"/>
  <c r="G587" i="3"/>
  <c r="F587" i="3"/>
  <c r="J586" i="3"/>
  <c r="I586" i="3"/>
  <c r="G586" i="3"/>
  <c r="F586" i="3"/>
  <c r="J585" i="3"/>
  <c r="I585" i="3"/>
  <c r="G585" i="3"/>
  <c r="F585" i="3"/>
  <c r="J584" i="3"/>
  <c r="I584" i="3"/>
  <c r="G584" i="3"/>
  <c r="F584" i="3"/>
  <c r="J583" i="3"/>
  <c r="I583" i="3"/>
  <c r="G583" i="3"/>
  <c r="F583" i="3"/>
  <c r="J582" i="3"/>
  <c r="I582" i="3"/>
  <c r="G582" i="3"/>
  <c r="F582" i="3"/>
  <c r="J581" i="3"/>
  <c r="I581" i="3"/>
  <c r="G581" i="3"/>
  <c r="F581" i="3"/>
  <c r="J580" i="3"/>
  <c r="I580" i="3"/>
  <c r="G580" i="3"/>
  <c r="F580" i="3"/>
  <c r="J579" i="3"/>
  <c r="I579" i="3"/>
  <c r="G579" i="3"/>
  <c r="F579" i="3"/>
  <c r="J578" i="3"/>
  <c r="I578" i="3"/>
  <c r="G578" i="3"/>
  <c r="F578" i="3"/>
  <c r="J577" i="3"/>
  <c r="I577" i="3"/>
  <c r="G577" i="3"/>
  <c r="F577" i="3"/>
  <c r="J576" i="3"/>
  <c r="I576" i="3"/>
  <c r="G576" i="3"/>
  <c r="F576" i="3"/>
  <c r="J575" i="3"/>
  <c r="I575" i="3"/>
  <c r="G575" i="3"/>
  <c r="F575" i="3"/>
  <c r="J574" i="3"/>
  <c r="I574" i="3"/>
  <c r="G574" i="3"/>
  <c r="F574" i="3"/>
  <c r="J573" i="3"/>
  <c r="I573" i="3"/>
  <c r="G573" i="3"/>
  <c r="F573" i="3"/>
  <c r="J572" i="3"/>
  <c r="I572" i="3"/>
  <c r="G572" i="3"/>
  <c r="F572" i="3"/>
  <c r="J571" i="3"/>
  <c r="I571" i="3"/>
  <c r="G571" i="3"/>
  <c r="F571" i="3"/>
  <c r="J570" i="3"/>
  <c r="I570" i="3"/>
  <c r="G570" i="3"/>
  <c r="F570" i="3"/>
  <c r="J569" i="3"/>
  <c r="I569" i="3"/>
  <c r="G569" i="3"/>
  <c r="F569" i="3"/>
  <c r="J568" i="3"/>
  <c r="I568" i="3"/>
  <c r="G568" i="3"/>
  <c r="F568" i="3"/>
  <c r="J567" i="3"/>
  <c r="I567" i="3"/>
  <c r="G567" i="3"/>
  <c r="F567" i="3"/>
  <c r="J566" i="3"/>
  <c r="I566" i="3"/>
  <c r="G566" i="3"/>
  <c r="F566" i="3"/>
  <c r="J565" i="3"/>
  <c r="I565" i="3"/>
  <c r="G565" i="3"/>
  <c r="F565" i="3"/>
  <c r="J564" i="3"/>
  <c r="I564" i="3"/>
  <c r="G564" i="3"/>
  <c r="F564" i="3"/>
  <c r="J563" i="3"/>
  <c r="I563" i="3"/>
  <c r="G563" i="3"/>
  <c r="F563" i="3"/>
  <c r="J562" i="3"/>
  <c r="I562" i="3"/>
  <c r="G562" i="3"/>
  <c r="F562" i="3"/>
  <c r="J561" i="3"/>
  <c r="I561" i="3"/>
  <c r="G561" i="3"/>
  <c r="F561" i="3"/>
  <c r="J560" i="3"/>
  <c r="I560" i="3"/>
  <c r="G560" i="3"/>
  <c r="F560" i="3"/>
  <c r="J559" i="3"/>
  <c r="I559" i="3"/>
  <c r="G559" i="3"/>
  <c r="F559" i="3"/>
  <c r="J558" i="3"/>
  <c r="I558" i="3"/>
  <c r="G558" i="3"/>
  <c r="F558" i="3"/>
  <c r="J557" i="3"/>
  <c r="I557" i="3"/>
  <c r="G557" i="3"/>
  <c r="F557" i="3"/>
  <c r="J556" i="3"/>
  <c r="I556" i="3"/>
  <c r="G556" i="3"/>
  <c r="F556" i="3"/>
  <c r="J555" i="3"/>
  <c r="I555" i="3"/>
  <c r="G555" i="3"/>
  <c r="F555" i="3"/>
  <c r="J554" i="3"/>
  <c r="I554" i="3"/>
  <c r="G554" i="3"/>
  <c r="F554" i="3"/>
  <c r="J553" i="3"/>
  <c r="I553" i="3"/>
  <c r="G553" i="3"/>
  <c r="F553" i="3"/>
  <c r="J552" i="3"/>
  <c r="I552" i="3"/>
  <c r="G552" i="3"/>
  <c r="F552" i="3"/>
  <c r="J551" i="3"/>
  <c r="I551" i="3"/>
  <c r="G551" i="3"/>
  <c r="F551" i="3"/>
  <c r="J550" i="3"/>
  <c r="I550" i="3"/>
  <c r="G550" i="3"/>
  <c r="F550" i="3"/>
  <c r="J549" i="3"/>
  <c r="I549" i="3"/>
  <c r="G549" i="3"/>
  <c r="F549" i="3"/>
  <c r="J548" i="3"/>
  <c r="I548" i="3"/>
  <c r="G548" i="3"/>
  <c r="F548" i="3"/>
  <c r="J547" i="3"/>
  <c r="I547" i="3"/>
  <c r="G547" i="3"/>
  <c r="F547" i="3"/>
  <c r="J546" i="3"/>
  <c r="I546" i="3"/>
  <c r="G546" i="3"/>
  <c r="F546" i="3"/>
  <c r="J545" i="3"/>
  <c r="I545" i="3"/>
  <c r="G545" i="3"/>
  <c r="F545" i="3"/>
  <c r="J544" i="3"/>
  <c r="I544" i="3"/>
  <c r="G544" i="3"/>
  <c r="F544" i="3"/>
  <c r="J543" i="3"/>
  <c r="I543" i="3"/>
  <c r="G543" i="3"/>
  <c r="F543" i="3"/>
  <c r="J542" i="3"/>
  <c r="I542" i="3"/>
  <c r="G542" i="3"/>
  <c r="F542" i="3"/>
  <c r="J541" i="3"/>
  <c r="I541" i="3"/>
  <c r="G541" i="3"/>
  <c r="F541" i="3"/>
  <c r="J540" i="3"/>
  <c r="I540" i="3"/>
  <c r="G540" i="3"/>
  <c r="F540" i="3"/>
  <c r="J539" i="3"/>
  <c r="I539" i="3"/>
  <c r="G539" i="3"/>
  <c r="F539" i="3"/>
  <c r="J538" i="3"/>
  <c r="I538" i="3"/>
  <c r="G538" i="3"/>
  <c r="F538" i="3"/>
  <c r="J537" i="3"/>
  <c r="I537" i="3"/>
  <c r="G537" i="3"/>
  <c r="F537" i="3"/>
  <c r="J536" i="3"/>
  <c r="I536" i="3"/>
  <c r="G536" i="3"/>
  <c r="F536" i="3"/>
  <c r="J535" i="3"/>
  <c r="I535" i="3"/>
  <c r="G535" i="3"/>
  <c r="F535" i="3"/>
  <c r="J534" i="3"/>
  <c r="I534" i="3"/>
  <c r="G534" i="3"/>
  <c r="F534" i="3"/>
  <c r="J533" i="3"/>
  <c r="I533" i="3"/>
  <c r="G533" i="3"/>
  <c r="F533" i="3"/>
  <c r="J532" i="3"/>
  <c r="I532" i="3"/>
  <c r="G532" i="3"/>
  <c r="F532" i="3"/>
  <c r="J531" i="3"/>
  <c r="I531" i="3"/>
  <c r="G531" i="3"/>
  <c r="F531" i="3"/>
  <c r="J530" i="3"/>
  <c r="I530" i="3"/>
  <c r="G530" i="3"/>
  <c r="F530" i="3"/>
  <c r="J529" i="3"/>
  <c r="I529" i="3"/>
  <c r="G529" i="3"/>
  <c r="F529" i="3"/>
  <c r="J528" i="3"/>
  <c r="I528" i="3"/>
  <c r="G528" i="3"/>
  <c r="F528" i="3"/>
  <c r="J527" i="3"/>
  <c r="I527" i="3"/>
  <c r="G527" i="3"/>
  <c r="F527" i="3"/>
  <c r="J526" i="3"/>
  <c r="I526" i="3"/>
  <c r="G526" i="3"/>
  <c r="F526" i="3"/>
  <c r="J525" i="3"/>
  <c r="I525" i="3"/>
  <c r="G525" i="3"/>
  <c r="F525" i="3"/>
  <c r="J524" i="3"/>
  <c r="I524" i="3"/>
  <c r="G524" i="3"/>
  <c r="F524" i="3"/>
  <c r="J523" i="3"/>
  <c r="I523" i="3"/>
  <c r="G523" i="3"/>
  <c r="F523" i="3"/>
  <c r="J522" i="3"/>
  <c r="I522" i="3"/>
  <c r="G522" i="3"/>
  <c r="F522" i="3"/>
  <c r="J521" i="3"/>
  <c r="I521" i="3"/>
  <c r="G521" i="3"/>
  <c r="F521" i="3"/>
  <c r="J520" i="3"/>
  <c r="I520" i="3"/>
  <c r="G520" i="3"/>
  <c r="F520" i="3"/>
  <c r="J519" i="3"/>
  <c r="I519" i="3"/>
  <c r="G519" i="3"/>
  <c r="F519" i="3"/>
  <c r="F103" i="3" s="1"/>
  <c r="J518" i="3"/>
  <c r="I518" i="3"/>
  <c r="G518" i="3"/>
  <c r="F518" i="3"/>
  <c r="J517" i="3"/>
  <c r="I517" i="3"/>
  <c r="G517" i="3"/>
  <c r="F517" i="3"/>
  <c r="J516" i="3"/>
  <c r="I516" i="3"/>
  <c r="G516" i="3"/>
  <c r="F516" i="3"/>
  <c r="F100" i="3" s="1"/>
  <c r="J515" i="3"/>
  <c r="I515" i="3"/>
  <c r="G515" i="3"/>
  <c r="F515" i="3"/>
  <c r="J514" i="3"/>
  <c r="I514" i="3"/>
  <c r="G514" i="3"/>
  <c r="F514" i="3"/>
  <c r="J513" i="3"/>
  <c r="I513" i="3"/>
  <c r="G513" i="3"/>
  <c r="F513" i="3"/>
  <c r="F97" i="3" s="1"/>
  <c r="J512" i="3"/>
  <c r="I512" i="3"/>
  <c r="G512" i="3"/>
  <c r="F512" i="3"/>
  <c r="J511" i="3"/>
  <c r="I511" i="3"/>
  <c r="G511" i="3"/>
  <c r="F511" i="3"/>
  <c r="J510" i="3"/>
  <c r="I510" i="3"/>
  <c r="G510" i="3"/>
  <c r="F510" i="3"/>
  <c r="F94" i="3" s="1"/>
  <c r="J509" i="3"/>
  <c r="I509" i="3"/>
  <c r="G509" i="3"/>
  <c r="F509" i="3"/>
  <c r="J508" i="3"/>
  <c r="I508" i="3"/>
  <c r="G508" i="3"/>
  <c r="F508" i="3"/>
  <c r="J507" i="3"/>
  <c r="I507" i="3"/>
  <c r="G507" i="3"/>
  <c r="F507" i="3"/>
  <c r="F91" i="3" s="1"/>
  <c r="J506" i="3"/>
  <c r="I506" i="3"/>
  <c r="G506" i="3"/>
  <c r="F506" i="3"/>
  <c r="J505" i="3"/>
  <c r="I505" i="3"/>
  <c r="G505" i="3"/>
  <c r="F505" i="3"/>
  <c r="J504" i="3"/>
  <c r="I504" i="3"/>
  <c r="G504" i="3"/>
  <c r="F504" i="3"/>
  <c r="F88" i="3" s="1"/>
  <c r="J503" i="3"/>
  <c r="I503" i="3"/>
  <c r="G503" i="3"/>
  <c r="F503" i="3"/>
  <c r="J502" i="3"/>
  <c r="I502" i="3"/>
  <c r="G502" i="3"/>
  <c r="F502" i="3"/>
  <c r="J501" i="3"/>
  <c r="I501" i="3"/>
  <c r="G501" i="3"/>
  <c r="F501" i="3"/>
  <c r="F85" i="3" s="1"/>
  <c r="J500" i="3"/>
  <c r="I500" i="3"/>
  <c r="G500" i="3"/>
  <c r="F500" i="3"/>
  <c r="J499" i="3"/>
  <c r="I499" i="3"/>
  <c r="G499" i="3"/>
  <c r="F499" i="3"/>
  <c r="J498" i="3"/>
  <c r="I498" i="3"/>
  <c r="G498" i="3"/>
  <c r="F498" i="3"/>
  <c r="J497" i="3"/>
  <c r="I497" i="3"/>
  <c r="G497" i="3"/>
  <c r="F497" i="3"/>
  <c r="J496" i="3"/>
  <c r="I496" i="3"/>
  <c r="G496" i="3"/>
  <c r="F496" i="3"/>
  <c r="J495" i="3"/>
  <c r="I495" i="3"/>
  <c r="G495" i="3"/>
  <c r="F495" i="3"/>
  <c r="J494" i="3"/>
  <c r="I494" i="3"/>
  <c r="G494" i="3"/>
  <c r="F494" i="3"/>
  <c r="J493" i="3"/>
  <c r="I493" i="3"/>
  <c r="G493" i="3"/>
  <c r="F493" i="3"/>
  <c r="J492" i="3"/>
  <c r="I492" i="3"/>
  <c r="G492" i="3"/>
  <c r="F492" i="3"/>
  <c r="J491" i="3"/>
  <c r="I491" i="3"/>
  <c r="G491" i="3"/>
  <c r="F491" i="3"/>
  <c r="J490" i="3"/>
  <c r="I490" i="3"/>
  <c r="G490" i="3"/>
  <c r="F490" i="3"/>
  <c r="J489" i="3"/>
  <c r="I489" i="3"/>
  <c r="G489" i="3"/>
  <c r="F489" i="3"/>
  <c r="J488" i="3"/>
  <c r="I488" i="3"/>
  <c r="G488" i="3"/>
  <c r="F488" i="3"/>
  <c r="J487" i="3"/>
  <c r="I487" i="3"/>
  <c r="G487" i="3"/>
  <c r="F487" i="3"/>
  <c r="J486" i="3"/>
  <c r="I486" i="3"/>
  <c r="G486" i="3"/>
  <c r="F486" i="3"/>
  <c r="J485" i="3"/>
  <c r="I485" i="3"/>
  <c r="G485" i="3"/>
  <c r="F485" i="3"/>
  <c r="J484" i="3"/>
  <c r="I484" i="3"/>
  <c r="G484" i="3"/>
  <c r="F484" i="3"/>
  <c r="J483" i="3"/>
  <c r="I483" i="3"/>
  <c r="G483" i="3"/>
  <c r="F483" i="3"/>
  <c r="J482" i="3"/>
  <c r="I482" i="3"/>
  <c r="G482" i="3"/>
  <c r="F482" i="3"/>
  <c r="J481" i="3"/>
  <c r="I481" i="3"/>
  <c r="G481" i="3"/>
  <c r="F481" i="3"/>
  <c r="J480" i="3"/>
  <c r="I480" i="3"/>
  <c r="G480" i="3"/>
  <c r="F480" i="3"/>
  <c r="J479" i="3"/>
  <c r="I479" i="3"/>
  <c r="G479" i="3"/>
  <c r="F479" i="3"/>
  <c r="J478" i="3"/>
  <c r="I478" i="3"/>
  <c r="G478" i="3"/>
  <c r="F478" i="3"/>
  <c r="J477" i="3"/>
  <c r="I477" i="3"/>
  <c r="G477" i="3"/>
  <c r="F477" i="3"/>
  <c r="J476" i="3"/>
  <c r="I476" i="3"/>
  <c r="G476" i="3"/>
  <c r="F476" i="3"/>
  <c r="J475" i="3"/>
  <c r="I475" i="3"/>
  <c r="G475" i="3"/>
  <c r="F475" i="3"/>
  <c r="J474" i="3"/>
  <c r="I474" i="3"/>
  <c r="G474" i="3"/>
  <c r="F474" i="3"/>
  <c r="J473" i="3"/>
  <c r="I473" i="3"/>
  <c r="G473" i="3"/>
  <c r="F473" i="3"/>
  <c r="J472" i="3"/>
  <c r="I472" i="3"/>
  <c r="G472" i="3"/>
  <c r="F472" i="3"/>
  <c r="J471" i="3"/>
  <c r="I471" i="3"/>
  <c r="G471" i="3"/>
  <c r="F471" i="3"/>
  <c r="J470" i="3"/>
  <c r="J54" i="3" s="1"/>
  <c r="I470" i="3"/>
  <c r="G470" i="3"/>
  <c r="F470" i="3"/>
  <c r="J469" i="3"/>
  <c r="I469" i="3"/>
  <c r="G469" i="3"/>
  <c r="F469" i="3"/>
  <c r="J468" i="3"/>
  <c r="I468" i="3"/>
  <c r="G468" i="3"/>
  <c r="F468" i="3"/>
  <c r="J467" i="3"/>
  <c r="I467" i="3"/>
  <c r="G467" i="3"/>
  <c r="F467" i="3"/>
  <c r="J466" i="3"/>
  <c r="I466" i="3"/>
  <c r="G466" i="3"/>
  <c r="F466" i="3"/>
  <c r="J465" i="3"/>
  <c r="I465" i="3"/>
  <c r="G465" i="3"/>
  <c r="F465" i="3"/>
  <c r="J464" i="3"/>
  <c r="I464" i="3"/>
  <c r="G464" i="3"/>
  <c r="F464" i="3"/>
  <c r="J463" i="3"/>
  <c r="I463" i="3"/>
  <c r="G463" i="3"/>
  <c r="F463" i="3"/>
  <c r="J462" i="3"/>
  <c r="I462" i="3"/>
  <c r="G462" i="3"/>
  <c r="F462" i="3"/>
  <c r="J461" i="3"/>
  <c r="I461" i="3"/>
  <c r="G461" i="3"/>
  <c r="F461" i="3"/>
  <c r="J460" i="3"/>
  <c r="I460" i="3"/>
  <c r="G460" i="3"/>
  <c r="F460" i="3"/>
  <c r="J459" i="3"/>
  <c r="I459" i="3"/>
  <c r="G459" i="3"/>
  <c r="F459" i="3"/>
  <c r="J458" i="3"/>
  <c r="I458" i="3"/>
  <c r="G458" i="3"/>
  <c r="F458" i="3"/>
  <c r="J457" i="3"/>
  <c r="I457" i="3"/>
  <c r="G457" i="3"/>
  <c r="F457" i="3"/>
  <c r="J456" i="3"/>
  <c r="I456" i="3"/>
  <c r="G456" i="3"/>
  <c r="F456" i="3"/>
  <c r="J455" i="3"/>
  <c r="I455" i="3"/>
  <c r="G455" i="3"/>
  <c r="F455" i="3"/>
  <c r="J454" i="3"/>
  <c r="I454" i="3"/>
  <c r="G454" i="3"/>
  <c r="F454" i="3"/>
  <c r="J453" i="3"/>
  <c r="I453" i="3"/>
  <c r="G453" i="3"/>
  <c r="F453" i="3"/>
  <c r="J452" i="3"/>
  <c r="I452" i="3"/>
  <c r="G452" i="3"/>
  <c r="F452" i="3"/>
  <c r="J451" i="3"/>
  <c r="I451" i="3"/>
  <c r="G451" i="3"/>
  <c r="F451" i="3"/>
  <c r="J450" i="3"/>
  <c r="I450" i="3"/>
  <c r="G450" i="3"/>
  <c r="F450" i="3"/>
  <c r="J449" i="3"/>
  <c r="I449" i="3"/>
  <c r="G449" i="3"/>
  <c r="F449" i="3"/>
  <c r="J448" i="3"/>
  <c r="I448" i="3"/>
  <c r="G448" i="3"/>
  <c r="F448" i="3"/>
  <c r="J447" i="3"/>
  <c r="I447" i="3"/>
  <c r="G447" i="3"/>
  <c r="F447" i="3"/>
  <c r="J446" i="3"/>
  <c r="I446" i="3"/>
  <c r="G446" i="3"/>
  <c r="F446" i="3"/>
  <c r="J445" i="3"/>
  <c r="I445" i="3"/>
  <c r="G445" i="3"/>
  <c r="F445" i="3"/>
  <c r="J444" i="3"/>
  <c r="I444" i="3"/>
  <c r="G444" i="3"/>
  <c r="F444" i="3"/>
  <c r="J443" i="3"/>
  <c r="I443" i="3"/>
  <c r="G443" i="3"/>
  <c r="F443" i="3"/>
  <c r="J442" i="3"/>
  <c r="I442" i="3"/>
  <c r="G442" i="3"/>
  <c r="F442" i="3"/>
  <c r="J441" i="3"/>
  <c r="I441" i="3"/>
  <c r="G441" i="3"/>
  <c r="F441" i="3"/>
  <c r="J440" i="3"/>
  <c r="I440" i="3"/>
  <c r="G440" i="3"/>
  <c r="F440" i="3"/>
  <c r="J439" i="3"/>
  <c r="I439" i="3"/>
  <c r="G439" i="3"/>
  <c r="F439" i="3"/>
  <c r="J438" i="3"/>
  <c r="I438" i="3"/>
  <c r="G438" i="3"/>
  <c r="F438" i="3"/>
  <c r="J437" i="3"/>
  <c r="I437" i="3"/>
  <c r="G437" i="3"/>
  <c r="F437" i="3"/>
  <c r="J436" i="3"/>
  <c r="I436" i="3"/>
  <c r="G436" i="3"/>
  <c r="F436" i="3"/>
  <c r="J435" i="3"/>
  <c r="I435" i="3"/>
  <c r="G435" i="3"/>
  <c r="F435" i="3"/>
  <c r="J434" i="3"/>
  <c r="I434" i="3"/>
  <c r="G434" i="3"/>
  <c r="F434" i="3"/>
  <c r="J433" i="3"/>
  <c r="I433" i="3"/>
  <c r="G433" i="3"/>
  <c r="F433" i="3"/>
  <c r="J432" i="3"/>
  <c r="I432" i="3"/>
  <c r="G432" i="3"/>
  <c r="F432" i="3"/>
  <c r="J431" i="3"/>
  <c r="I431" i="3"/>
  <c r="G431" i="3"/>
  <c r="F431" i="3"/>
  <c r="J430" i="3"/>
  <c r="I430" i="3"/>
  <c r="G430" i="3"/>
  <c r="F430" i="3"/>
  <c r="J429" i="3"/>
  <c r="I429" i="3"/>
  <c r="G429" i="3"/>
  <c r="F429" i="3"/>
  <c r="J428" i="3"/>
  <c r="I428" i="3"/>
  <c r="G428" i="3"/>
  <c r="F428" i="3"/>
  <c r="J427" i="3"/>
  <c r="I427" i="3"/>
  <c r="G427" i="3"/>
  <c r="F427" i="3"/>
  <c r="J426" i="3"/>
  <c r="I426" i="3"/>
  <c r="G426" i="3"/>
  <c r="F426" i="3"/>
  <c r="J425" i="3"/>
  <c r="I425" i="3"/>
  <c r="G425" i="3"/>
  <c r="F425" i="3"/>
  <c r="J424" i="3"/>
  <c r="I424" i="3"/>
  <c r="G424" i="3"/>
  <c r="F424" i="3"/>
  <c r="J423" i="3"/>
  <c r="I423" i="3"/>
  <c r="G423" i="3"/>
  <c r="F423" i="3"/>
  <c r="J422" i="3"/>
  <c r="I422" i="3"/>
  <c r="G422" i="3"/>
  <c r="F422" i="3"/>
  <c r="J421" i="3"/>
  <c r="I421" i="3"/>
  <c r="G421" i="3"/>
  <c r="F421" i="3"/>
  <c r="J420" i="3"/>
  <c r="I420" i="3"/>
  <c r="G420" i="3"/>
  <c r="F420" i="3"/>
  <c r="J419" i="3"/>
  <c r="I419" i="3"/>
  <c r="G419" i="3"/>
  <c r="F419" i="3"/>
  <c r="J418" i="3"/>
  <c r="I418" i="3"/>
  <c r="G418" i="3"/>
  <c r="F418" i="3"/>
  <c r="J417" i="3"/>
  <c r="I417" i="3"/>
  <c r="G417" i="3"/>
  <c r="F417" i="3"/>
  <c r="J416" i="3"/>
  <c r="I416" i="3"/>
  <c r="G416" i="3"/>
  <c r="F416" i="3"/>
  <c r="J415" i="3"/>
  <c r="I415" i="3"/>
  <c r="G415" i="3"/>
  <c r="F415" i="3"/>
  <c r="J414" i="3"/>
  <c r="I414" i="3"/>
  <c r="G414" i="3"/>
  <c r="F414" i="3"/>
  <c r="J413" i="3"/>
  <c r="I413" i="3"/>
  <c r="G413" i="3"/>
  <c r="F413" i="3"/>
  <c r="J412" i="3"/>
  <c r="I412" i="3"/>
  <c r="G412" i="3"/>
  <c r="F412" i="3"/>
  <c r="J411" i="3"/>
  <c r="I411" i="3"/>
  <c r="G411" i="3"/>
  <c r="F411" i="3"/>
  <c r="J410" i="3"/>
  <c r="I410" i="3"/>
  <c r="G410" i="3"/>
  <c r="F410" i="3"/>
  <c r="J409" i="3"/>
  <c r="I409" i="3"/>
  <c r="G409" i="3"/>
  <c r="F409" i="3"/>
  <c r="J408" i="3"/>
  <c r="I408" i="3"/>
  <c r="G408" i="3"/>
  <c r="F408" i="3"/>
  <c r="J407" i="3"/>
  <c r="I407" i="3"/>
  <c r="G407" i="3"/>
  <c r="F407" i="3"/>
  <c r="J406" i="3"/>
  <c r="I406" i="3"/>
  <c r="G406" i="3"/>
  <c r="F406" i="3"/>
  <c r="J405" i="3"/>
  <c r="I405" i="3"/>
  <c r="G405" i="3"/>
  <c r="F405" i="3"/>
  <c r="J404" i="3"/>
  <c r="I404" i="3"/>
  <c r="G404" i="3"/>
  <c r="F404" i="3"/>
  <c r="J403" i="3"/>
  <c r="I403" i="3"/>
  <c r="G403" i="3"/>
  <c r="F403" i="3"/>
  <c r="J402" i="3"/>
  <c r="I402" i="3"/>
  <c r="G402" i="3"/>
  <c r="F402" i="3"/>
  <c r="J401" i="3"/>
  <c r="I401" i="3"/>
  <c r="G401" i="3"/>
  <c r="F401" i="3"/>
  <c r="J400" i="3"/>
  <c r="I400" i="3"/>
  <c r="G400" i="3"/>
  <c r="F400" i="3"/>
  <c r="J399" i="3"/>
  <c r="I399" i="3"/>
  <c r="G399" i="3"/>
  <c r="F399" i="3"/>
  <c r="J398" i="3"/>
  <c r="I398" i="3"/>
  <c r="G398" i="3"/>
  <c r="F398" i="3"/>
  <c r="J397" i="3"/>
  <c r="I397" i="3"/>
  <c r="G397" i="3"/>
  <c r="F397" i="3"/>
  <c r="J396" i="3"/>
  <c r="I396" i="3"/>
  <c r="G396" i="3"/>
  <c r="F396" i="3"/>
  <c r="J395" i="3"/>
  <c r="I395" i="3"/>
  <c r="G395" i="3"/>
  <c r="F395" i="3"/>
  <c r="J394" i="3"/>
  <c r="I394" i="3"/>
  <c r="G394" i="3"/>
  <c r="F394" i="3"/>
  <c r="J393" i="3"/>
  <c r="I393" i="3"/>
  <c r="G393" i="3"/>
  <c r="F393" i="3"/>
  <c r="J392" i="3"/>
  <c r="I392" i="3"/>
  <c r="G392" i="3"/>
  <c r="F392" i="3"/>
  <c r="J391" i="3"/>
  <c r="I391" i="3"/>
  <c r="G391" i="3"/>
  <c r="F391" i="3"/>
  <c r="J390" i="3"/>
  <c r="I390" i="3"/>
  <c r="G390" i="3"/>
  <c r="F390" i="3"/>
  <c r="J389" i="3"/>
  <c r="I389" i="3"/>
  <c r="G389" i="3"/>
  <c r="F389" i="3"/>
  <c r="J388" i="3"/>
  <c r="I388" i="3"/>
  <c r="G388" i="3"/>
  <c r="F388" i="3"/>
  <c r="J387" i="3"/>
  <c r="I387" i="3"/>
  <c r="G387" i="3"/>
  <c r="F387" i="3"/>
  <c r="J386" i="3"/>
  <c r="I386" i="3"/>
  <c r="G386" i="3"/>
  <c r="F386" i="3"/>
  <c r="J385" i="3"/>
  <c r="I385" i="3"/>
  <c r="G385" i="3"/>
  <c r="F385" i="3"/>
  <c r="J384" i="3"/>
  <c r="I384" i="3"/>
  <c r="G384" i="3"/>
  <c r="F384" i="3"/>
  <c r="J383" i="3"/>
  <c r="I383" i="3"/>
  <c r="G383" i="3"/>
  <c r="F383" i="3"/>
  <c r="J382" i="3"/>
  <c r="I382" i="3"/>
  <c r="G382" i="3"/>
  <c r="F382" i="3"/>
  <c r="J381" i="3"/>
  <c r="I381" i="3"/>
  <c r="G381" i="3"/>
  <c r="F381" i="3"/>
  <c r="J380" i="3"/>
  <c r="I380" i="3"/>
  <c r="G380" i="3"/>
  <c r="F380" i="3"/>
  <c r="J379" i="3"/>
  <c r="I379" i="3"/>
  <c r="G379" i="3"/>
  <c r="F379" i="3"/>
  <c r="J378" i="3"/>
  <c r="I378" i="3"/>
  <c r="G378" i="3"/>
  <c r="F378" i="3"/>
  <c r="J377" i="3"/>
  <c r="I377" i="3"/>
  <c r="G377" i="3"/>
  <c r="F377" i="3"/>
  <c r="J376" i="3"/>
  <c r="I376" i="3"/>
  <c r="G376" i="3"/>
  <c r="F376" i="3"/>
  <c r="J375" i="3"/>
  <c r="I375" i="3"/>
  <c r="G375" i="3"/>
  <c r="F375" i="3"/>
  <c r="J374" i="3"/>
  <c r="I374" i="3"/>
  <c r="G374" i="3"/>
  <c r="F374" i="3"/>
  <c r="J373" i="3"/>
  <c r="I373" i="3"/>
  <c r="G373" i="3"/>
  <c r="F373" i="3"/>
  <c r="J372" i="3"/>
  <c r="I372" i="3"/>
  <c r="G372" i="3"/>
  <c r="F372" i="3"/>
  <c r="J371" i="3"/>
  <c r="I371" i="3"/>
  <c r="G371" i="3"/>
  <c r="F371" i="3"/>
  <c r="J370" i="3"/>
  <c r="I370" i="3"/>
  <c r="G370" i="3"/>
  <c r="F370" i="3"/>
  <c r="J369" i="3"/>
  <c r="I369" i="3"/>
  <c r="G369" i="3"/>
  <c r="F369" i="3"/>
  <c r="J368" i="3"/>
  <c r="I368" i="3"/>
  <c r="G368" i="3"/>
  <c r="F368" i="3"/>
  <c r="J367" i="3"/>
  <c r="I367" i="3"/>
  <c r="G367" i="3"/>
  <c r="F367" i="3"/>
  <c r="J366" i="3"/>
  <c r="J2" i="3" s="1"/>
  <c r="I366" i="3"/>
  <c r="G366" i="3"/>
  <c r="F366" i="3"/>
  <c r="J365" i="3"/>
  <c r="I365" i="3"/>
  <c r="G365" i="3"/>
  <c r="F365" i="3"/>
  <c r="J364" i="3"/>
  <c r="J52" i="3" s="1"/>
  <c r="I364" i="3"/>
  <c r="I52" i="3" s="1"/>
  <c r="G364" i="3"/>
  <c r="F364" i="3"/>
  <c r="J363" i="3"/>
  <c r="J51" i="3" s="1"/>
  <c r="I363" i="3"/>
  <c r="G363" i="3"/>
  <c r="F363" i="3"/>
  <c r="J362" i="3"/>
  <c r="I362" i="3"/>
  <c r="G362" i="3"/>
  <c r="F362" i="3"/>
  <c r="J361" i="3"/>
  <c r="J49" i="3" s="1"/>
  <c r="I361" i="3"/>
  <c r="I49" i="3" s="1"/>
  <c r="G361" i="3"/>
  <c r="F361" i="3"/>
  <c r="J360" i="3"/>
  <c r="J48" i="3" s="1"/>
  <c r="I360" i="3"/>
  <c r="G360" i="3"/>
  <c r="F360" i="3"/>
  <c r="J359" i="3"/>
  <c r="I359" i="3"/>
  <c r="G359" i="3"/>
  <c r="F359" i="3"/>
  <c r="J358" i="3"/>
  <c r="J46" i="3" s="1"/>
  <c r="I358" i="3"/>
  <c r="I46" i="3" s="1"/>
  <c r="G358" i="3"/>
  <c r="F358" i="3"/>
  <c r="J357" i="3"/>
  <c r="J45" i="3" s="1"/>
  <c r="I357" i="3"/>
  <c r="G357" i="3"/>
  <c r="F357" i="3"/>
  <c r="J356" i="3"/>
  <c r="I356" i="3"/>
  <c r="G356" i="3"/>
  <c r="F356" i="3"/>
  <c r="J355" i="3"/>
  <c r="J43" i="3" s="1"/>
  <c r="I355" i="3"/>
  <c r="I43" i="3" s="1"/>
  <c r="G355" i="3"/>
  <c r="F355" i="3"/>
  <c r="J354" i="3"/>
  <c r="J42" i="3" s="1"/>
  <c r="I354" i="3"/>
  <c r="G354" i="3"/>
  <c r="F354" i="3"/>
  <c r="J353" i="3"/>
  <c r="I353" i="3"/>
  <c r="G353" i="3"/>
  <c r="F353" i="3"/>
  <c r="J352" i="3"/>
  <c r="J40" i="3" s="1"/>
  <c r="I352" i="3"/>
  <c r="I40" i="3" s="1"/>
  <c r="G352" i="3"/>
  <c r="F352" i="3"/>
  <c r="J351" i="3"/>
  <c r="J39" i="3" s="1"/>
  <c r="I351" i="3"/>
  <c r="G351" i="3"/>
  <c r="F351" i="3"/>
  <c r="J350" i="3"/>
  <c r="I350" i="3"/>
  <c r="G350" i="3"/>
  <c r="F350" i="3"/>
  <c r="J349" i="3"/>
  <c r="J37" i="3" s="1"/>
  <c r="I349" i="3"/>
  <c r="I37" i="3" s="1"/>
  <c r="G349" i="3"/>
  <c r="F349" i="3"/>
  <c r="J348" i="3"/>
  <c r="J36" i="3" s="1"/>
  <c r="I348" i="3"/>
  <c r="G348" i="3"/>
  <c r="F348" i="3"/>
  <c r="J347" i="3"/>
  <c r="I347" i="3"/>
  <c r="G347" i="3"/>
  <c r="F347" i="3"/>
  <c r="J346" i="3"/>
  <c r="J34" i="3" s="1"/>
  <c r="I346" i="3"/>
  <c r="I34" i="3" s="1"/>
  <c r="G346" i="3"/>
  <c r="F346" i="3"/>
  <c r="J345" i="3"/>
  <c r="J33" i="3" s="1"/>
  <c r="I345" i="3"/>
  <c r="G345" i="3"/>
  <c r="F345" i="3"/>
  <c r="J344" i="3"/>
  <c r="I344" i="3"/>
  <c r="G344" i="3"/>
  <c r="F344" i="3"/>
  <c r="J343" i="3"/>
  <c r="J31" i="3" s="1"/>
  <c r="I343" i="3"/>
  <c r="I31" i="3" s="1"/>
  <c r="G343" i="3"/>
  <c r="F343" i="3"/>
  <c r="J342" i="3"/>
  <c r="J30" i="3" s="1"/>
  <c r="I342" i="3"/>
  <c r="G342" i="3"/>
  <c r="F342" i="3"/>
  <c r="J341" i="3"/>
  <c r="I341" i="3"/>
  <c r="G341" i="3"/>
  <c r="F341" i="3"/>
  <c r="J340" i="3"/>
  <c r="J28" i="3" s="1"/>
  <c r="I340" i="3"/>
  <c r="I28" i="3" s="1"/>
  <c r="G340" i="3"/>
  <c r="F340" i="3"/>
  <c r="J339" i="3"/>
  <c r="J27" i="3" s="1"/>
  <c r="I339" i="3"/>
  <c r="G339" i="3"/>
  <c r="F339" i="3"/>
  <c r="J338" i="3"/>
  <c r="I338" i="3"/>
  <c r="G338" i="3"/>
  <c r="F338" i="3"/>
  <c r="J337" i="3"/>
  <c r="J25" i="3" s="1"/>
  <c r="I337" i="3"/>
  <c r="I25" i="3" s="1"/>
  <c r="G337" i="3"/>
  <c r="F337" i="3"/>
  <c r="J336" i="3"/>
  <c r="J24" i="3" s="1"/>
  <c r="I336" i="3"/>
  <c r="G336" i="3"/>
  <c r="F336" i="3"/>
  <c r="J335" i="3"/>
  <c r="I335" i="3"/>
  <c r="G335" i="3"/>
  <c r="F335" i="3"/>
  <c r="J334" i="3"/>
  <c r="J22" i="3" s="1"/>
  <c r="I334" i="3"/>
  <c r="I22" i="3" s="1"/>
  <c r="G334" i="3"/>
  <c r="F334" i="3"/>
  <c r="J333" i="3"/>
  <c r="J21" i="3" s="1"/>
  <c r="I333" i="3"/>
  <c r="G333" i="3"/>
  <c r="F333" i="3"/>
  <c r="J332" i="3"/>
  <c r="I332" i="3"/>
  <c r="G332" i="3"/>
  <c r="F332" i="3"/>
  <c r="J331" i="3"/>
  <c r="J19" i="3" s="1"/>
  <c r="I331" i="3"/>
  <c r="I19" i="3" s="1"/>
  <c r="G331" i="3"/>
  <c r="F331" i="3"/>
  <c r="J330" i="3"/>
  <c r="J18" i="3" s="1"/>
  <c r="I330" i="3"/>
  <c r="G330" i="3"/>
  <c r="F330" i="3"/>
  <c r="J329" i="3"/>
  <c r="I329" i="3"/>
  <c r="G329" i="3"/>
  <c r="F329" i="3"/>
  <c r="J328" i="3"/>
  <c r="J16" i="3" s="1"/>
  <c r="I328" i="3"/>
  <c r="I16" i="3" s="1"/>
  <c r="G328" i="3"/>
  <c r="F328" i="3"/>
  <c r="J327" i="3"/>
  <c r="J15" i="3" s="1"/>
  <c r="I327" i="3"/>
  <c r="G327" i="3"/>
  <c r="F327" i="3"/>
  <c r="J326" i="3"/>
  <c r="I326" i="3"/>
  <c r="G326" i="3"/>
  <c r="F326" i="3"/>
  <c r="J325" i="3"/>
  <c r="J13" i="3" s="1"/>
  <c r="I325" i="3"/>
  <c r="I13" i="3" s="1"/>
  <c r="G325" i="3"/>
  <c r="F325" i="3"/>
  <c r="J324" i="3"/>
  <c r="J12" i="3" s="1"/>
  <c r="I324" i="3"/>
  <c r="G324" i="3"/>
  <c r="F324" i="3"/>
  <c r="J323" i="3"/>
  <c r="I323" i="3"/>
  <c r="G323" i="3"/>
  <c r="F323" i="3"/>
  <c r="J322" i="3"/>
  <c r="J10" i="3" s="1"/>
  <c r="I322" i="3"/>
  <c r="I10" i="3" s="1"/>
  <c r="G322" i="3"/>
  <c r="F322" i="3"/>
  <c r="J321" i="3"/>
  <c r="J9" i="3" s="1"/>
  <c r="I321" i="3"/>
  <c r="G321" i="3"/>
  <c r="F321" i="3"/>
  <c r="J320" i="3"/>
  <c r="I320" i="3"/>
  <c r="G320" i="3"/>
  <c r="F320" i="3"/>
  <c r="J319" i="3"/>
  <c r="J7" i="3" s="1"/>
  <c r="I319" i="3"/>
  <c r="I7" i="3" s="1"/>
  <c r="G319" i="3"/>
  <c r="F319" i="3"/>
  <c r="J318" i="3"/>
  <c r="J6" i="3" s="1"/>
  <c r="I318" i="3"/>
  <c r="G318" i="3"/>
  <c r="F318" i="3"/>
  <c r="J317" i="3"/>
  <c r="I317" i="3"/>
  <c r="G317" i="3"/>
  <c r="F317" i="3"/>
  <c r="J316" i="3"/>
  <c r="J4" i="3" s="1"/>
  <c r="I316" i="3"/>
  <c r="I4" i="3" s="1"/>
  <c r="G316" i="3"/>
  <c r="F316" i="3"/>
  <c r="J315" i="3"/>
  <c r="J3" i="3" s="1"/>
  <c r="I315" i="3"/>
  <c r="G315" i="3"/>
  <c r="F315" i="3"/>
  <c r="J314" i="3"/>
  <c r="I314" i="3"/>
  <c r="G314" i="3"/>
  <c r="F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F285" i="3" s="1"/>
  <c r="I285" i="3"/>
  <c r="G285" i="3"/>
  <c r="J284" i="3"/>
  <c r="F284" i="3" s="1"/>
  <c r="I284" i="3"/>
  <c r="G284" i="3" s="1"/>
  <c r="J283" i="3"/>
  <c r="F283" i="3" s="1"/>
  <c r="I283" i="3"/>
  <c r="G283" i="3" s="1"/>
  <c r="J282" i="3"/>
  <c r="F282" i="3" s="1"/>
  <c r="I282" i="3"/>
  <c r="G282" i="3"/>
  <c r="J281" i="3"/>
  <c r="F281" i="3" s="1"/>
  <c r="I281" i="3"/>
  <c r="G281" i="3" s="1"/>
  <c r="J280" i="3"/>
  <c r="F280" i="3" s="1"/>
  <c r="I280" i="3"/>
  <c r="G280" i="3" s="1"/>
  <c r="J279" i="3"/>
  <c r="F279" i="3" s="1"/>
  <c r="I279" i="3"/>
  <c r="G279" i="3"/>
  <c r="J278" i="3"/>
  <c r="F278" i="3" s="1"/>
  <c r="I278" i="3"/>
  <c r="G278" i="3" s="1"/>
  <c r="J277" i="3"/>
  <c r="F277" i="3" s="1"/>
  <c r="I277" i="3"/>
  <c r="G277" i="3" s="1"/>
  <c r="J276" i="3"/>
  <c r="F276" i="3" s="1"/>
  <c r="I276" i="3"/>
  <c r="G276" i="3"/>
  <c r="J275" i="3"/>
  <c r="F275" i="3" s="1"/>
  <c r="I275" i="3"/>
  <c r="G275" i="3" s="1"/>
  <c r="J274" i="3"/>
  <c r="F274" i="3" s="1"/>
  <c r="I274" i="3"/>
  <c r="G274" i="3" s="1"/>
  <c r="J273" i="3"/>
  <c r="F273" i="3" s="1"/>
  <c r="I273" i="3"/>
  <c r="G273" i="3"/>
  <c r="J272" i="3"/>
  <c r="F272" i="3" s="1"/>
  <c r="I272" i="3"/>
  <c r="G272" i="3" s="1"/>
  <c r="J271" i="3"/>
  <c r="F271" i="3" s="1"/>
  <c r="I271" i="3"/>
  <c r="G271" i="3" s="1"/>
  <c r="J270" i="3"/>
  <c r="F270" i="3" s="1"/>
  <c r="I270" i="3"/>
  <c r="G270" i="3"/>
  <c r="J269" i="3"/>
  <c r="F269" i="3" s="1"/>
  <c r="I269" i="3"/>
  <c r="G269" i="3" s="1"/>
  <c r="J268" i="3"/>
  <c r="F268" i="3" s="1"/>
  <c r="I268" i="3"/>
  <c r="G268" i="3" s="1"/>
  <c r="J267" i="3"/>
  <c r="F267" i="3" s="1"/>
  <c r="I267" i="3"/>
  <c r="G267" i="3"/>
  <c r="J266" i="3"/>
  <c r="F266" i="3" s="1"/>
  <c r="I266" i="3"/>
  <c r="G266" i="3" s="1"/>
  <c r="J265" i="3"/>
  <c r="F265" i="3" s="1"/>
  <c r="I265" i="3"/>
  <c r="G265" i="3" s="1"/>
  <c r="J264" i="3"/>
  <c r="F264" i="3" s="1"/>
  <c r="I264" i="3"/>
  <c r="G264" i="3"/>
  <c r="J263" i="3"/>
  <c r="F263" i="3" s="1"/>
  <c r="I263" i="3"/>
  <c r="G263" i="3" s="1"/>
  <c r="J262" i="3"/>
  <c r="F262" i="3" s="1"/>
  <c r="I262" i="3"/>
  <c r="G262" i="3" s="1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J209" i="3"/>
  <c r="I209" i="3"/>
  <c r="G209" i="3"/>
  <c r="F209" i="3"/>
  <c r="J208" i="3"/>
  <c r="I208" i="3"/>
  <c r="G208" i="3"/>
  <c r="J207" i="3"/>
  <c r="I207" i="3"/>
  <c r="G207" i="3"/>
  <c r="F207" i="3"/>
  <c r="J206" i="3"/>
  <c r="I206" i="3"/>
  <c r="G206" i="3"/>
  <c r="F206" i="3"/>
  <c r="J205" i="3"/>
  <c r="I205" i="3"/>
  <c r="G205" i="3"/>
  <c r="F205" i="3"/>
  <c r="J204" i="3"/>
  <c r="I204" i="3"/>
  <c r="G204" i="3"/>
  <c r="F204" i="3"/>
  <c r="J203" i="3"/>
  <c r="I203" i="3"/>
  <c r="G203" i="3"/>
  <c r="F203" i="3"/>
  <c r="J202" i="3"/>
  <c r="I202" i="3"/>
  <c r="G202" i="3"/>
  <c r="F202" i="3"/>
  <c r="J201" i="3"/>
  <c r="I201" i="3"/>
  <c r="G201" i="3"/>
  <c r="F201" i="3"/>
  <c r="J200" i="3"/>
  <c r="I200" i="3"/>
  <c r="G200" i="3"/>
  <c r="F200" i="3"/>
  <c r="J199" i="3"/>
  <c r="I199" i="3"/>
  <c r="G199" i="3"/>
  <c r="F199" i="3"/>
  <c r="J198" i="3"/>
  <c r="I198" i="3"/>
  <c r="G198" i="3"/>
  <c r="F198" i="3"/>
  <c r="J197" i="3"/>
  <c r="I197" i="3"/>
  <c r="G197" i="3"/>
  <c r="F197" i="3"/>
  <c r="J196" i="3"/>
  <c r="I196" i="3"/>
  <c r="G196" i="3"/>
  <c r="F196" i="3"/>
  <c r="J195" i="3"/>
  <c r="I195" i="3"/>
  <c r="G195" i="3"/>
  <c r="F195" i="3"/>
  <c r="J194" i="3"/>
  <c r="I194" i="3"/>
  <c r="G194" i="3"/>
  <c r="F194" i="3"/>
  <c r="J193" i="3"/>
  <c r="I193" i="3"/>
  <c r="G193" i="3"/>
  <c r="F193" i="3"/>
  <c r="J192" i="3"/>
  <c r="I192" i="3"/>
  <c r="G192" i="3"/>
  <c r="F192" i="3"/>
  <c r="J191" i="3"/>
  <c r="I191" i="3"/>
  <c r="G191" i="3"/>
  <c r="F191" i="3"/>
  <c r="J190" i="3"/>
  <c r="I190" i="3"/>
  <c r="G190" i="3"/>
  <c r="F190" i="3"/>
  <c r="J189" i="3"/>
  <c r="I189" i="3"/>
  <c r="G189" i="3"/>
  <c r="F189" i="3"/>
  <c r="J188" i="3"/>
  <c r="I188" i="3"/>
  <c r="G188" i="3"/>
  <c r="F188" i="3"/>
  <c r="J187" i="3"/>
  <c r="I187" i="3"/>
  <c r="G187" i="3"/>
  <c r="F187" i="3"/>
  <c r="J186" i="3"/>
  <c r="I186" i="3"/>
  <c r="G186" i="3"/>
  <c r="F186" i="3"/>
  <c r="J185" i="3"/>
  <c r="I185" i="3"/>
  <c r="G185" i="3"/>
  <c r="F185" i="3"/>
  <c r="J184" i="3"/>
  <c r="I184" i="3"/>
  <c r="G184" i="3"/>
  <c r="F184" i="3"/>
  <c r="J183" i="3"/>
  <c r="I183" i="3"/>
  <c r="G183" i="3"/>
  <c r="F183" i="3"/>
  <c r="J182" i="3"/>
  <c r="I182" i="3"/>
  <c r="G182" i="3"/>
  <c r="F182" i="3"/>
  <c r="J181" i="3"/>
  <c r="I181" i="3"/>
  <c r="G181" i="3"/>
  <c r="F181" i="3"/>
  <c r="J180" i="3"/>
  <c r="I180" i="3"/>
  <c r="G180" i="3"/>
  <c r="F180" i="3"/>
  <c r="J179" i="3"/>
  <c r="I179" i="3"/>
  <c r="G179" i="3"/>
  <c r="F179" i="3"/>
  <c r="J178" i="3"/>
  <c r="I178" i="3"/>
  <c r="G178" i="3"/>
  <c r="F178" i="3"/>
  <c r="J177" i="3"/>
  <c r="I177" i="3"/>
  <c r="G177" i="3"/>
  <c r="F177" i="3"/>
  <c r="J176" i="3"/>
  <c r="I176" i="3"/>
  <c r="G176" i="3"/>
  <c r="F176" i="3"/>
  <c r="J175" i="3"/>
  <c r="I175" i="3"/>
  <c r="G175" i="3"/>
  <c r="F175" i="3"/>
  <c r="J174" i="3"/>
  <c r="I174" i="3"/>
  <c r="G174" i="3"/>
  <c r="F174" i="3"/>
  <c r="J173" i="3"/>
  <c r="I173" i="3"/>
  <c r="G173" i="3"/>
  <c r="F173" i="3"/>
  <c r="J172" i="3"/>
  <c r="I172" i="3"/>
  <c r="G172" i="3"/>
  <c r="F172" i="3"/>
  <c r="J171" i="3"/>
  <c r="I171" i="3"/>
  <c r="G171" i="3"/>
  <c r="F171" i="3"/>
  <c r="J170" i="3"/>
  <c r="I170" i="3"/>
  <c r="G170" i="3"/>
  <c r="F170" i="3"/>
  <c r="J169" i="3"/>
  <c r="I169" i="3"/>
  <c r="G169" i="3"/>
  <c r="F169" i="3"/>
  <c r="J168" i="3"/>
  <c r="I168" i="3"/>
  <c r="G168" i="3"/>
  <c r="F168" i="3"/>
  <c r="J167" i="3"/>
  <c r="I167" i="3"/>
  <c r="G167" i="3"/>
  <c r="F167" i="3"/>
  <c r="J166" i="3"/>
  <c r="I166" i="3"/>
  <c r="G166" i="3"/>
  <c r="F166" i="3"/>
  <c r="J165" i="3"/>
  <c r="I165" i="3"/>
  <c r="G165" i="3"/>
  <c r="F165" i="3"/>
  <c r="J164" i="3"/>
  <c r="I164" i="3"/>
  <c r="G164" i="3"/>
  <c r="F164" i="3"/>
  <c r="J163" i="3"/>
  <c r="I163" i="3"/>
  <c r="G163" i="3"/>
  <c r="F163" i="3"/>
  <c r="J162" i="3"/>
  <c r="I162" i="3"/>
  <c r="G162" i="3"/>
  <c r="F162" i="3"/>
  <c r="J161" i="3"/>
  <c r="I161" i="3"/>
  <c r="G161" i="3"/>
  <c r="F161" i="3"/>
  <c r="J160" i="3"/>
  <c r="I160" i="3"/>
  <c r="G160" i="3"/>
  <c r="F160" i="3"/>
  <c r="J159" i="3"/>
  <c r="I159" i="3"/>
  <c r="G159" i="3"/>
  <c r="F159" i="3"/>
  <c r="I158" i="3"/>
  <c r="G158" i="3"/>
  <c r="F158" i="3"/>
  <c r="J157" i="3"/>
  <c r="I157" i="3"/>
  <c r="G157" i="3"/>
  <c r="F157" i="3"/>
  <c r="J156" i="3"/>
  <c r="I156" i="3"/>
  <c r="G156" i="3"/>
  <c r="F156" i="3"/>
  <c r="J155" i="3"/>
  <c r="I155" i="3"/>
  <c r="G155" i="3"/>
  <c r="F155" i="3"/>
  <c r="J154" i="3"/>
  <c r="I154" i="3"/>
  <c r="G154" i="3"/>
  <c r="F154" i="3"/>
  <c r="J153" i="3"/>
  <c r="I153" i="3"/>
  <c r="G153" i="3"/>
  <c r="F153" i="3"/>
  <c r="J152" i="3"/>
  <c r="I152" i="3"/>
  <c r="G152" i="3"/>
  <c r="F152" i="3"/>
  <c r="J151" i="3"/>
  <c r="I151" i="3"/>
  <c r="G151" i="3"/>
  <c r="F151" i="3"/>
  <c r="J150" i="3"/>
  <c r="I150" i="3"/>
  <c r="G150" i="3"/>
  <c r="F150" i="3"/>
  <c r="J149" i="3"/>
  <c r="I149" i="3"/>
  <c r="G149" i="3"/>
  <c r="F149" i="3"/>
  <c r="J148" i="3"/>
  <c r="I148" i="3"/>
  <c r="G148" i="3"/>
  <c r="F148" i="3"/>
  <c r="J147" i="3"/>
  <c r="I147" i="3"/>
  <c r="G147" i="3"/>
  <c r="F147" i="3"/>
  <c r="J146" i="3"/>
  <c r="I146" i="3"/>
  <c r="G146" i="3"/>
  <c r="F146" i="3"/>
  <c r="J145" i="3"/>
  <c r="I145" i="3"/>
  <c r="G145" i="3"/>
  <c r="F145" i="3"/>
  <c r="J144" i="3"/>
  <c r="I144" i="3"/>
  <c r="G144" i="3"/>
  <c r="F144" i="3"/>
  <c r="J143" i="3"/>
  <c r="I143" i="3"/>
  <c r="G143" i="3"/>
  <c r="F143" i="3"/>
  <c r="J142" i="3"/>
  <c r="I142" i="3"/>
  <c r="G142" i="3"/>
  <c r="F142" i="3"/>
  <c r="J141" i="3"/>
  <c r="I141" i="3"/>
  <c r="G141" i="3"/>
  <c r="F141" i="3"/>
  <c r="J140" i="3"/>
  <c r="I140" i="3"/>
  <c r="G140" i="3"/>
  <c r="F140" i="3"/>
  <c r="J139" i="3"/>
  <c r="I139" i="3"/>
  <c r="G139" i="3"/>
  <c r="F139" i="3"/>
  <c r="J138" i="3"/>
  <c r="I138" i="3"/>
  <c r="G138" i="3"/>
  <c r="F138" i="3"/>
  <c r="J137" i="3"/>
  <c r="I137" i="3"/>
  <c r="G137" i="3"/>
  <c r="F137" i="3"/>
  <c r="J136" i="3"/>
  <c r="I136" i="3"/>
  <c r="G136" i="3"/>
  <c r="F136" i="3"/>
  <c r="J135" i="3"/>
  <c r="I135" i="3"/>
  <c r="G135" i="3"/>
  <c r="F135" i="3"/>
  <c r="J134" i="3"/>
  <c r="I134" i="3"/>
  <c r="G134" i="3"/>
  <c r="F134" i="3"/>
  <c r="J133" i="3"/>
  <c r="I133" i="3"/>
  <c r="G133" i="3"/>
  <c r="F133" i="3"/>
  <c r="J132" i="3"/>
  <c r="I132" i="3"/>
  <c r="G132" i="3"/>
  <c r="F132" i="3"/>
  <c r="J131" i="3"/>
  <c r="I131" i="3"/>
  <c r="G131" i="3"/>
  <c r="F131" i="3"/>
  <c r="J130" i="3"/>
  <c r="I130" i="3"/>
  <c r="G130" i="3"/>
  <c r="F130" i="3"/>
  <c r="J129" i="3"/>
  <c r="I129" i="3"/>
  <c r="G129" i="3"/>
  <c r="F129" i="3"/>
  <c r="J128" i="3"/>
  <c r="I128" i="3"/>
  <c r="G128" i="3"/>
  <c r="F128" i="3"/>
  <c r="J127" i="3"/>
  <c r="I127" i="3"/>
  <c r="G127" i="3"/>
  <c r="F127" i="3"/>
  <c r="J126" i="3"/>
  <c r="I126" i="3"/>
  <c r="G126" i="3"/>
  <c r="F126" i="3"/>
  <c r="J125" i="3"/>
  <c r="I125" i="3"/>
  <c r="G125" i="3"/>
  <c r="F125" i="3"/>
  <c r="J124" i="3"/>
  <c r="I124" i="3"/>
  <c r="G124" i="3"/>
  <c r="F124" i="3"/>
  <c r="J123" i="3"/>
  <c r="I123" i="3"/>
  <c r="G123" i="3"/>
  <c r="F123" i="3"/>
  <c r="J122" i="3"/>
  <c r="I122" i="3"/>
  <c r="G122" i="3"/>
  <c r="F122" i="3"/>
  <c r="J121" i="3"/>
  <c r="I121" i="3"/>
  <c r="G121" i="3"/>
  <c r="F121" i="3"/>
  <c r="J120" i="3"/>
  <c r="I120" i="3"/>
  <c r="G120" i="3"/>
  <c r="F120" i="3"/>
  <c r="J119" i="3"/>
  <c r="I119" i="3"/>
  <c r="G119" i="3"/>
  <c r="F119" i="3"/>
  <c r="J118" i="3"/>
  <c r="I118" i="3"/>
  <c r="G118" i="3"/>
  <c r="F118" i="3"/>
  <c r="J117" i="3"/>
  <c r="I117" i="3"/>
  <c r="G117" i="3"/>
  <c r="F117" i="3"/>
  <c r="J116" i="3"/>
  <c r="I116" i="3"/>
  <c r="G116" i="3"/>
  <c r="F116" i="3"/>
  <c r="J115" i="3"/>
  <c r="I115" i="3"/>
  <c r="G115" i="3"/>
  <c r="F115" i="3"/>
  <c r="J114" i="3"/>
  <c r="I114" i="3"/>
  <c r="G114" i="3"/>
  <c r="F114" i="3"/>
  <c r="J113" i="3"/>
  <c r="I113" i="3"/>
  <c r="G113" i="3"/>
  <c r="F113" i="3"/>
  <c r="J112" i="3"/>
  <c r="I112" i="3"/>
  <c r="G112" i="3"/>
  <c r="F112" i="3"/>
  <c r="J111" i="3"/>
  <c r="I111" i="3"/>
  <c r="G111" i="3"/>
  <c r="F111" i="3"/>
  <c r="J110" i="3"/>
  <c r="I110" i="3"/>
  <c r="G110" i="3"/>
  <c r="F110" i="3"/>
  <c r="J109" i="3"/>
  <c r="I109" i="3"/>
  <c r="G109" i="3"/>
  <c r="F109" i="3"/>
  <c r="J108" i="3"/>
  <c r="I108" i="3"/>
  <c r="G108" i="3"/>
  <c r="F108" i="3"/>
  <c r="J107" i="3"/>
  <c r="I107" i="3"/>
  <c r="G107" i="3"/>
  <c r="F107" i="3"/>
  <c r="I106" i="3"/>
  <c r="G106" i="3"/>
  <c r="F106" i="3"/>
  <c r="J105" i="3"/>
  <c r="I105" i="3"/>
  <c r="G105" i="3"/>
  <c r="F105" i="3"/>
  <c r="J104" i="3"/>
  <c r="I104" i="3"/>
  <c r="G104" i="3"/>
  <c r="F104" i="3"/>
  <c r="J103" i="3"/>
  <c r="I103" i="3"/>
  <c r="G103" i="3"/>
  <c r="J102" i="3"/>
  <c r="I102" i="3"/>
  <c r="G102" i="3"/>
  <c r="F102" i="3"/>
  <c r="J101" i="3"/>
  <c r="I101" i="3"/>
  <c r="G101" i="3"/>
  <c r="F101" i="3"/>
  <c r="J100" i="3"/>
  <c r="I100" i="3"/>
  <c r="G100" i="3"/>
  <c r="J99" i="3"/>
  <c r="I99" i="3"/>
  <c r="G99" i="3"/>
  <c r="F99" i="3"/>
  <c r="J98" i="3"/>
  <c r="I98" i="3"/>
  <c r="G98" i="3"/>
  <c r="F98" i="3"/>
  <c r="J97" i="3"/>
  <c r="I97" i="3"/>
  <c r="G97" i="3"/>
  <c r="J96" i="3"/>
  <c r="I96" i="3"/>
  <c r="G96" i="3"/>
  <c r="F96" i="3"/>
  <c r="J95" i="3"/>
  <c r="I95" i="3"/>
  <c r="G95" i="3"/>
  <c r="F95" i="3"/>
  <c r="J94" i="3"/>
  <c r="I94" i="3"/>
  <c r="G94" i="3"/>
  <c r="J93" i="3"/>
  <c r="I93" i="3"/>
  <c r="G93" i="3"/>
  <c r="F93" i="3"/>
  <c r="J92" i="3"/>
  <c r="I92" i="3"/>
  <c r="G92" i="3"/>
  <c r="F92" i="3"/>
  <c r="J91" i="3"/>
  <c r="I91" i="3"/>
  <c r="G91" i="3"/>
  <c r="J90" i="3"/>
  <c r="I90" i="3"/>
  <c r="G90" i="3"/>
  <c r="F90" i="3"/>
  <c r="J89" i="3"/>
  <c r="I89" i="3"/>
  <c r="G89" i="3"/>
  <c r="F89" i="3"/>
  <c r="J88" i="3"/>
  <c r="I88" i="3"/>
  <c r="G88" i="3"/>
  <c r="J87" i="3"/>
  <c r="I87" i="3"/>
  <c r="G87" i="3"/>
  <c r="F87" i="3"/>
  <c r="J86" i="3"/>
  <c r="I86" i="3"/>
  <c r="G86" i="3"/>
  <c r="F86" i="3"/>
  <c r="J85" i="3"/>
  <c r="I85" i="3"/>
  <c r="G85" i="3"/>
  <c r="J84" i="3"/>
  <c r="I84" i="3"/>
  <c r="G84" i="3"/>
  <c r="F84" i="3"/>
  <c r="J83" i="3"/>
  <c r="I83" i="3"/>
  <c r="G83" i="3"/>
  <c r="F83" i="3"/>
  <c r="J82" i="3"/>
  <c r="I82" i="3"/>
  <c r="G82" i="3"/>
  <c r="F82" i="3"/>
  <c r="J81" i="3"/>
  <c r="I81" i="3"/>
  <c r="G81" i="3"/>
  <c r="F81" i="3"/>
  <c r="J80" i="3"/>
  <c r="I80" i="3"/>
  <c r="G80" i="3"/>
  <c r="F80" i="3"/>
  <c r="J79" i="3"/>
  <c r="I79" i="3"/>
  <c r="G79" i="3"/>
  <c r="F79" i="3"/>
  <c r="J78" i="3"/>
  <c r="I78" i="3"/>
  <c r="G78" i="3"/>
  <c r="F78" i="3"/>
  <c r="J77" i="3"/>
  <c r="I77" i="3"/>
  <c r="G77" i="3"/>
  <c r="F77" i="3"/>
  <c r="J76" i="3"/>
  <c r="I76" i="3"/>
  <c r="G76" i="3"/>
  <c r="F76" i="3"/>
  <c r="J75" i="3"/>
  <c r="I75" i="3"/>
  <c r="G75" i="3"/>
  <c r="F75" i="3"/>
  <c r="J74" i="3"/>
  <c r="I74" i="3"/>
  <c r="G74" i="3"/>
  <c r="F74" i="3"/>
  <c r="J73" i="3"/>
  <c r="I73" i="3"/>
  <c r="G73" i="3"/>
  <c r="F73" i="3"/>
  <c r="J72" i="3"/>
  <c r="I72" i="3"/>
  <c r="G72" i="3"/>
  <c r="F72" i="3"/>
  <c r="J71" i="3"/>
  <c r="I71" i="3"/>
  <c r="G71" i="3"/>
  <c r="F71" i="3"/>
  <c r="J70" i="3"/>
  <c r="I70" i="3"/>
  <c r="G70" i="3"/>
  <c r="F70" i="3"/>
  <c r="J69" i="3"/>
  <c r="I69" i="3"/>
  <c r="G69" i="3"/>
  <c r="F69" i="3"/>
  <c r="J68" i="3"/>
  <c r="I68" i="3"/>
  <c r="G68" i="3"/>
  <c r="F68" i="3"/>
  <c r="J67" i="3"/>
  <c r="I67" i="3"/>
  <c r="G67" i="3"/>
  <c r="F67" i="3"/>
  <c r="J66" i="3"/>
  <c r="I66" i="3"/>
  <c r="G66" i="3"/>
  <c r="F66" i="3"/>
  <c r="J65" i="3"/>
  <c r="I65" i="3"/>
  <c r="G65" i="3"/>
  <c r="F65" i="3"/>
  <c r="J64" i="3"/>
  <c r="I64" i="3"/>
  <c r="G64" i="3"/>
  <c r="F64" i="3"/>
  <c r="J63" i="3"/>
  <c r="I63" i="3"/>
  <c r="G63" i="3"/>
  <c r="F63" i="3"/>
  <c r="J62" i="3"/>
  <c r="I62" i="3"/>
  <c r="G62" i="3"/>
  <c r="F62" i="3"/>
  <c r="J61" i="3"/>
  <c r="I61" i="3"/>
  <c r="G61" i="3"/>
  <c r="F61" i="3"/>
  <c r="J60" i="3"/>
  <c r="I60" i="3"/>
  <c r="G60" i="3"/>
  <c r="F60" i="3"/>
  <c r="J59" i="3"/>
  <c r="I59" i="3"/>
  <c r="G59" i="3"/>
  <c r="F59" i="3"/>
  <c r="J58" i="3"/>
  <c r="I58" i="3"/>
  <c r="G58" i="3"/>
  <c r="F58" i="3"/>
  <c r="J57" i="3"/>
  <c r="I57" i="3"/>
  <c r="G57" i="3"/>
  <c r="F57" i="3"/>
  <c r="J56" i="3"/>
  <c r="I56" i="3"/>
  <c r="G56" i="3"/>
  <c r="F56" i="3"/>
  <c r="J55" i="3"/>
  <c r="I55" i="3"/>
  <c r="G55" i="3"/>
  <c r="F55" i="3"/>
  <c r="I54" i="3"/>
  <c r="G54" i="3"/>
  <c r="F54" i="3"/>
  <c r="J53" i="3"/>
  <c r="I53" i="3"/>
  <c r="G53" i="3"/>
  <c r="F53" i="3"/>
  <c r="G52" i="3"/>
  <c r="F52" i="3"/>
  <c r="I51" i="3"/>
  <c r="G51" i="3"/>
  <c r="F51" i="3"/>
  <c r="J50" i="3"/>
  <c r="I50" i="3"/>
  <c r="G50" i="3"/>
  <c r="F50" i="3"/>
  <c r="G49" i="3"/>
  <c r="F49" i="3"/>
  <c r="I48" i="3"/>
  <c r="G48" i="3"/>
  <c r="F48" i="3"/>
  <c r="J47" i="3"/>
  <c r="I47" i="3"/>
  <c r="G47" i="3"/>
  <c r="F47" i="3"/>
  <c r="G46" i="3"/>
  <c r="F46" i="3"/>
  <c r="I45" i="3"/>
  <c r="G45" i="3"/>
  <c r="F45" i="3"/>
  <c r="J44" i="3"/>
  <c r="I44" i="3"/>
  <c r="G44" i="3"/>
  <c r="F44" i="3"/>
  <c r="G43" i="3"/>
  <c r="F43" i="3"/>
  <c r="I42" i="3"/>
  <c r="G42" i="3"/>
  <c r="F42" i="3"/>
  <c r="J41" i="3"/>
  <c r="I41" i="3"/>
  <c r="G41" i="3"/>
  <c r="F41" i="3"/>
  <c r="G40" i="3"/>
  <c r="F40" i="3"/>
  <c r="I39" i="3"/>
  <c r="G39" i="3"/>
  <c r="F39" i="3"/>
  <c r="J38" i="3"/>
  <c r="I38" i="3"/>
  <c r="G38" i="3"/>
  <c r="F38" i="3"/>
  <c r="G37" i="3"/>
  <c r="F37" i="3"/>
  <c r="I36" i="3"/>
  <c r="G36" i="3"/>
  <c r="F36" i="3"/>
  <c r="J35" i="3"/>
  <c r="I35" i="3"/>
  <c r="G35" i="3"/>
  <c r="F35" i="3"/>
  <c r="G34" i="3"/>
  <c r="F34" i="3"/>
  <c r="I33" i="3"/>
  <c r="G33" i="3"/>
  <c r="F33" i="3"/>
  <c r="J32" i="3"/>
  <c r="I32" i="3"/>
  <c r="G32" i="3"/>
  <c r="F32" i="3"/>
  <c r="G31" i="3"/>
  <c r="F31" i="3"/>
  <c r="I30" i="3"/>
  <c r="G30" i="3"/>
  <c r="F30" i="3"/>
  <c r="J29" i="3"/>
  <c r="I29" i="3"/>
  <c r="G29" i="3"/>
  <c r="F29" i="3"/>
  <c r="G28" i="3"/>
  <c r="F28" i="3"/>
  <c r="I27" i="3"/>
  <c r="G27" i="3"/>
  <c r="F27" i="3"/>
  <c r="J26" i="3"/>
  <c r="I26" i="3"/>
  <c r="G26" i="3"/>
  <c r="F26" i="3"/>
  <c r="G25" i="3"/>
  <c r="F25" i="3"/>
  <c r="I24" i="3"/>
  <c r="G24" i="3"/>
  <c r="F24" i="3"/>
  <c r="J23" i="3"/>
  <c r="I23" i="3"/>
  <c r="G23" i="3"/>
  <c r="F23" i="3"/>
  <c r="G22" i="3"/>
  <c r="F22" i="3"/>
  <c r="I21" i="3"/>
  <c r="G21" i="3"/>
  <c r="F21" i="3"/>
  <c r="J20" i="3"/>
  <c r="I20" i="3"/>
  <c r="G20" i="3"/>
  <c r="F20" i="3"/>
  <c r="G19" i="3"/>
  <c r="F19" i="3"/>
  <c r="I18" i="3"/>
  <c r="G18" i="3"/>
  <c r="F18" i="3"/>
  <c r="J17" i="3"/>
  <c r="I17" i="3"/>
  <c r="G17" i="3"/>
  <c r="F17" i="3"/>
  <c r="G16" i="3"/>
  <c r="F16" i="3"/>
  <c r="I15" i="3"/>
  <c r="G15" i="3"/>
  <c r="F15" i="3"/>
  <c r="J14" i="3"/>
  <c r="I14" i="3"/>
  <c r="G14" i="3"/>
  <c r="F14" i="3"/>
  <c r="G13" i="3"/>
  <c r="F13" i="3"/>
  <c r="I12" i="3"/>
  <c r="G12" i="3"/>
  <c r="F12" i="3"/>
  <c r="J11" i="3"/>
  <c r="I11" i="3"/>
  <c r="G11" i="3"/>
  <c r="F11" i="3"/>
  <c r="G10" i="3"/>
  <c r="F10" i="3"/>
  <c r="I9" i="3"/>
  <c r="G9" i="3"/>
  <c r="F9" i="3"/>
  <c r="J8" i="3"/>
  <c r="I8" i="3"/>
  <c r="G8" i="3"/>
  <c r="F8" i="3"/>
  <c r="G7" i="3"/>
  <c r="F7" i="3"/>
  <c r="I6" i="3"/>
  <c r="G6" i="3"/>
  <c r="F6" i="3"/>
  <c r="J5" i="3"/>
  <c r="I5" i="3"/>
  <c r="G5" i="3"/>
  <c r="F5" i="3"/>
  <c r="G4" i="3"/>
  <c r="F4" i="3"/>
  <c r="I3" i="3"/>
  <c r="G3" i="3"/>
  <c r="F3" i="3"/>
  <c r="I2" i="3"/>
  <c r="G2" i="3"/>
  <c r="F2" i="3"/>
</calcChain>
</file>

<file path=xl/sharedStrings.xml><?xml version="1.0" encoding="utf-8"?>
<sst xmlns="http://schemas.openxmlformats.org/spreadsheetml/2006/main" count="13337" uniqueCount="256">
  <si>
    <t>Section</t>
  </si>
  <si>
    <t>Detail</t>
  </si>
  <si>
    <t>Data Management Dashboard — Master Data Source</t>
  </si>
  <si>
    <t>How this workbook works</t>
  </si>
  <si>
    <t>This file is the single source of truth for app.py. Update it weekly: for every module/item, add the row for the new Week number in Weekly_Data (and Governance_Domains). The dashboard filters everything by the Month + Week you pick in the app, showing data accumulated from Week 1 up to that point.</t>
  </si>
  <si>
    <t>Weeks run 1-48 across the year (4 weeks per month, Jan=weeks 1-4 ... Dec=weeks 45-48).</t>
  </si>
  <si>
    <t>Weeks 25-48 (Jul-Dec) are pre-loaded as 0 / blank placeholders — fill them in as those weeks happen.</t>
  </si>
  <si>
    <t>Portfolio."Source" = "Manual (ref. Jira)" for Cheves/General Scaling: numbers are typed by hand after checking Jira, not pulled automatically. Change to "Jira (auto)" only once a real API/Power BI connection exists.</t>
  </si>
  <si>
    <t>Sheet guide</t>
  </si>
  <si>
    <t>Portfolio</t>
  </si>
  <si>
    <t>The 6 top-level projects (structural info only: name, type, description, source, owner).</t>
  </si>
  <si>
    <t>Weekly_Data</t>
  </si>
  <si>
    <t>Progress%, Planned%, OpenTickets, ClosedThisWeek per Module+Item+Week. Weeks 1-24: real reported history (typed, frozen, do not overwrite). Weeks 25-48, for Cheves/Rollout/AIAgents/SOKnowledge: computed by formula from Tasks (nothing to type). Portfolio-rollup rows (Cheves Value Pack, General Scaling, AI Models Integration Agent, SO Knowledge Integration Agent) are also formulas, averaging/summing their sub-items. Status/ScheduleStatus and the Governance/Executive Portfolio rows stay manual by design.</t>
  </si>
  <si>
    <t>Weeks</t>
  </si>
  <si>
    <t>Reference table only: translates Week number (1-48) to a real calendar date (2026). Used by formulas in Phases, Weekly_Data and Team_Load to answer 'what did this look like as of week X'. Never edit.</t>
  </si>
  <si>
    <t>Tasks</t>
  </si>
  <si>
    <t>Master ticket ledger for Cheves, General Scaling, AI Models Integration Agent and SO Knowledge Integration Agent. One row per ticket: DateCreated, PlannedDate, DateClosed (leave DateClosed blank while open). Everything else (Phases%, Weekly_Data%, Team_Load) is calculated FROM this sheet — type a ticket once, never repeat it week to week.</t>
  </si>
  <si>
    <t>Phases</t>
  </si>
  <si>
    <t>Weekly Progress% per phase, computed from Tasks (COUNTIFS by Phase, as of that week's date via the Weeks table). Weeks 1-24: blank — this sheet did not track weekly history before this rebuild, so it is honestly empty rather than guessed.</t>
  </si>
  <si>
    <t>Milestones</t>
  </si>
  <si>
    <t>Same 5/4 checkpoints as before, now with a PhaseName column linking each milestone to its phase. Done/WeekCompleted stay a manual confirmation (milestones are business gates, e.g. 'Operator training', not always identical to a phase hitting 100%).</t>
  </si>
  <si>
    <t>Team_Load</t>
  </si>
  <si>
    <t>Computed pivot of Tasks by Responsible (Kevin/Jazmin) x Module x Week (25-48). Nothing to type — reflects whoever is set in Tasks!Responsible.</t>
  </si>
  <si>
    <t>Governance_Domains</t>
  </si>
  <si>
    <t>Weekly Stage(0-4), Cataloged%, OwnerAssigned%, PlanningProgress%, PipelineStatus, DashboardStatus, DatasetsOK%, Issues, Backlog, Notes per domain. Manual (maturity judgment, not ticket-driven).</t>
  </si>
  <si>
    <t>Governance_Datasets</t>
  </si>
  <si>
    <t>Catalog of prioritized datasets per domain, with Owner, Steward, QualityRule, Threshold. Blank Owner/QualityRule = not assigned yet. Latest known state, manual.</t>
  </si>
  <si>
    <t>Governance_Plan</t>
  </si>
  <si>
    <t>Target maturity stage and target date per domain, to compare actual Stage(0-4) against plan.</t>
  </si>
  <si>
    <t>Executive_Cycle_Current</t>
  </si>
  <si>
    <t>This month's 5-milestone checklist (planned day offset + Done/ActualDayOffset). Reset manually at the start of each new month.</t>
  </si>
  <si>
    <t>Executive_Cycle_History</t>
  </si>
  <si>
    <t>Planned vs Actual day per month, Jan-Dec. Jul-Dec pre-loaded at 0 — fill in as each month closes.</t>
  </si>
  <si>
    <t>Executive_TeamReadiness</t>
  </si>
  <si>
    <t>One row per team per month: did they update their source data before the cutoff?</t>
  </si>
  <si>
    <t>Executive_Incidents</t>
  </si>
  <si>
    <t>Log of incidents reported after a dashboard publication. One row per incident, never overwritten.</t>
  </si>
  <si>
    <t>Executive_KPI_Status</t>
  </si>
  <si>
    <t>The 10 KPIs shown on the Executive Dashboard, with their update/validation status for the current month (Updated=Y/N, Validated=Y/N). Drives the small status tiles: grey=not updated, yellow=updated but not validated, green=updated and validated. Reset manually at the start of each new month, like Executive_Cycle_Current.</t>
  </si>
  <si>
    <t>Stage 3: Data Quality Rules</t>
  </si>
  <si>
    <t>Define measurable quality rules and thresholds for each critical dataset.</t>
  </si>
  <si>
    <t>Governance maturity stages (0-4)</t>
  </si>
  <si>
    <t>Automate the data pipeline and build the dashboard that exposes the governed data.</t>
  </si>
  <si>
    <t>Stage 1: Inventory &amp; Prioritization</t>
  </si>
  <si>
    <t>Identify and prioritize the domain's critical datasets that must be governed first.</t>
  </si>
  <si>
    <t>Stage 2: Ownership Definition</t>
  </si>
  <si>
    <t>Assign an accountable data owner and steward to each prioritized dataset.</t>
  </si>
  <si>
    <t>Stage 4: Pipeline &amp; Dashboard Implementation</t>
  </si>
  <si>
    <t>Stage 5: Monitoring &amp; Continuous Improvement</t>
  </si>
  <si>
    <t>Track data quality over time and resolve recurring issues through a backlog.</t>
  </si>
  <si>
    <t>ProjectID</t>
  </si>
  <si>
    <t>Name</t>
  </si>
  <si>
    <t>Type</t>
  </si>
  <si>
    <t>Description</t>
  </si>
  <si>
    <t>Source</t>
  </si>
  <si>
    <t>Owner</t>
  </si>
  <si>
    <t>P1</t>
  </si>
  <si>
    <t>Cheves Value Pack</t>
  </si>
  <si>
    <t>B</t>
  </si>
  <si>
    <t>Anomaly Detection, CWS &amp; UH Prediction bundle</t>
  </si>
  <si>
    <t>Manual (ref. Jira)</t>
  </si>
  <si>
    <t>Kevin</t>
  </si>
  <si>
    <t>P2</t>
  </si>
  <si>
    <t>General Scaling</t>
  </si>
  <si>
    <t>Fleet-wide expansion: Cahua, Yaupi, Malpaso</t>
  </si>
  <si>
    <t>P3</t>
  </si>
  <si>
    <t>AI Models Integration Agent</t>
  </si>
  <si>
    <t>Operator-facing AI models agent</t>
  </si>
  <si>
    <t>Manual</t>
  </si>
  <si>
    <t>Jazmin</t>
  </si>
  <si>
    <t>P4</t>
  </si>
  <si>
    <t>SO Knowledge Integration Agent</t>
  </si>
  <si>
    <t>Technical Q&amp;A over ACRs &amp; O&amp;M manuals</t>
  </si>
  <si>
    <t>P5</t>
  </si>
  <si>
    <t>Data Governance MVP</t>
  </si>
  <si>
    <t>C</t>
  </si>
  <si>
    <t>4-domain data governance maturity rollout</t>
  </si>
  <si>
    <t>P6</t>
  </si>
  <si>
    <t>Executive Dashboard</t>
  </si>
  <si>
    <t>A</t>
  </si>
  <si>
    <t>Monthly recurring management report</t>
  </si>
  <si>
    <t>Module</t>
  </si>
  <si>
    <t>Item</t>
  </si>
  <si>
    <t>Week</t>
  </si>
  <si>
    <t>Month</t>
  </si>
  <si>
    <t>WeekInMonth</t>
  </si>
  <si>
    <t>Progress%</t>
  </si>
  <si>
    <t>Planned%</t>
  </si>
  <si>
    <t>ScheduleStatus</t>
  </si>
  <si>
    <t>OpenTickets</t>
  </si>
  <si>
    <t>ClosedThisWeek</t>
  </si>
  <si>
    <t>No Deviation</t>
  </si>
  <si>
    <t>Moderate Deviation</t>
  </si>
  <si>
    <t>Cheves</t>
  </si>
  <si>
    <t>Anomaly Detection</t>
  </si>
  <si>
    <t>CWS</t>
  </si>
  <si>
    <t>UH Prediction</t>
  </si>
  <si>
    <t>Rollout</t>
  </si>
  <si>
    <t>Cahua</t>
  </si>
  <si>
    <t>Yaupi</t>
  </si>
  <si>
    <t>Malpaso</t>
  </si>
  <si>
    <t>Not Started</t>
  </si>
  <si>
    <t>AIAgents</t>
  </si>
  <si>
    <t>Autonomous Anomaly Detection Agent</t>
  </si>
  <si>
    <t>CWS Health Monitoring and Forecasting Agent</t>
  </si>
  <si>
    <t>HPU Health Monitoring and Forecasting Agent</t>
  </si>
  <si>
    <t>Vibration Monitoring Agent</t>
  </si>
  <si>
    <t>SOKnowledge</t>
  </si>
  <si>
    <t>O&amp;M Manuals Agent</t>
  </si>
  <si>
    <t>Stopped</t>
  </si>
  <si>
    <t>Root Cause Analysis Agent</t>
  </si>
  <si>
    <t>Cross-Functional SO Meetings Agent</t>
  </si>
  <si>
    <t>WeekEndDate</t>
  </si>
  <si>
    <t>PhaseOrder</t>
  </si>
  <si>
    <t>PhaseName</t>
  </si>
  <si>
    <t>Business Focus</t>
  </si>
  <si>
    <t>Data Acquisition</t>
  </si>
  <si>
    <t>Data Modeling</t>
  </si>
  <si>
    <t>Data Validation</t>
  </si>
  <si>
    <t>Data Deployment</t>
  </si>
  <si>
    <t>Design</t>
  </si>
  <si>
    <t>Development</t>
  </si>
  <si>
    <t>Validation</t>
  </si>
  <si>
    <t>Deployment</t>
  </si>
  <si>
    <t>MilestoneOrder</t>
  </si>
  <si>
    <t>Milestone</t>
  </si>
  <si>
    <t>Done</t>
  </si>
  <si>
    <t>WeekCompleted</t>
  </si>
  <si>
    <t>Business alignment</t>
  </si>
  <si>
    <t>Y</t>
  </si>
  <si>
    <t>Data pipeline established</t>
  </si>
  <si>
    <t>Model validated</t>
  </si>
  <si>
    <t>Operator training</t>
  </si>
  <si>
    <t>N</t>
  </si>
  <si>
    <t>Go-live</t>
  </si>
  <si>
    <t>Site assessment</t>
  </si>
  <si>
    <t>Data connectivity</t>
  </si>
  <si>
    <t>Model deployment</t>
  </si>
  <si>
    <t>Model trained</t>
  </si>
  <si>
    <t>Pilot with operators</t>
  </si>
  <si>
    <t>Integration with SCADA</t>
  </si>
  <si>
    <t>Full production</t>
  </si>
  <si>
    <t>Documents indexed</t>
  </si>
  <si>
    <t>Retrieval validated</t>
  </si>
  <si>
    <t>Phase</t>
  </si>
  <si>
    <t>TaskName</t>
  </si>
  <si>
    <t>Status</t>
  </si>
  <si>
    <t>Responsible</t>
  </si>
  <si>
    <t>DateCreated</t>
  </si>
  <si>
    <t>PlannedDate</t>
  </si>
  <si>
    <t>DateClosed</t>
  </si>
  <si>
    <t>Workshop/Reunión con end-users</t>
  </si>
  <si>
    <t>In Progress</t>
  </si>
  <si>
    <t>Mejora de query CDP</t>
  </si>
  <si>
    <t>Afinación de parámetros</t>
  </si>
  <si>
    <t>Creacion de dashboard</t>
  </si>
  <si>
    <t>Domain</t>
  </si>
  <si>
    <t>Stage(0-4)</t>
  </si>
  <si>
    <t>Cataloged%</t>
  </si>
  <si>
    <t>OwnerAssigned%</t>
  </si>
  <si>
    <t>PlanningProgress%</t>
  </si>
  <si>
    <t>PipelineStatus</t>
  </si>
  <si>
    <t>DashboardStatus</t>
  </si>
  <si>
    <t>DatasetsOK%</t>
  </si>
  <si>
    <t>Issues</t>
  </si>
  <si>
    <t>Backlog</t>
  </si>
  <si>
    <t>Notes</t>
  </si>
  <si>
    <t>Dispatch</t>
  </si>
  <si>
    <t>Pending</t>
  </si>
  <si>
    <t>Domain hasn't reached this stage yet.</t>
  </si>
  <si>
    <t>Asset Management</t>
  </si>
  <si>
    <t>O&amp;M</t>
  </si>
  <si>
    <t>Dams Safety &amp; Civil</t>
  </si>
  <si>
    <t>Dataset</t>
  </si>
  <si>
    <t>Criticality</t>
  </si>
  <si>
    <t>Usage</t>
  </si>
  <si>
    <t>Update Frequency</t>
  </si>
  <si>
    <t>Origin &amp; Transformations</t>
  </si>
  <si>
    <t>Known Quality Status</t>
  </si>
  <si>
    <t>Known Warnings</t>
  </si>
  <si>
    <t>Steward</t>
  </si>
  <si>
    <t>Rule</t>
  </si>
  <si>
    <t>Dimension</t>
  </si>
  <si>
    <t>Threshold</t>
  </si>
  <si>
    <t>Production / Energy</t>
  </si>
  <si>
    <t>High</t>
  </si>
  <si>
    <t>Operational</t>
  </si>
  <si>
    <t>J. Ramirez</t>
  </si>
  <si>
    <t>MAuA / Availability</t>
  </si>
  <si>
    <t>K. Soto</t>
  </si>
  <si>
    <t>Loss of Profit</t>
  </si>
  <si>
    <t>Strategic</t>
  </si>
  <si>
    <t>M. Diaz</t>
  </si>
  <si>
    <t xml:space="preserve"> </t>
  </si>
  <si>
    <t>Hydrology</t>
  </si>
  <si>
    <t>Medium</t>
  </si>
  <si>
    <t>SCADA Generation</t>
  </si>
  <si>
    <t>Maximum deviation from the instrument's certified value</t>
  </si>
  <si>
    <t>Accuracy</t>
  </si>
  <si>
    <t>Dam Instrumentation Readings</t>
  </si>
  <si>
    <t>--</t>
  </si>
  <si>
    <t>Inspection Reports</t>
  </si>
  <si>
    <t>TargetStage</t>
  </si>
  <si>
    <t>TargetDate</t>
  </si>
  <si>
    <t>Order</t>
  </si>
  <si>
    <t>PlannedDayOffset</t>
  </si>
  <si>
    <t>ActualDayOffset</t>
  </si>
  <si>
    <t>Month-end</t>
  </si>
  <si>
    <t>Reference point: last day of the month.</t>
  </si>
  <si>
    <t>Data Updated</t>
  </si>
  <si>
    <t>Deadline for teams to update their source data.</t>
  </si>
  <si>
    <t>Dashboard Updated</t>
  </si>
  <si>
    <t>Official dashboard refresh, one day after the data deadline.</t>
  </si>
  <si>
    <t>Monthly Review</t>
  </si>
  <si>
    <t>Sustentación with Asset Management leadership.</t>
  </si>
  <si>
    <t>FAP Presentation</t>
  </si>
  <si>
    <t>Manager presents results at the FAP (4th week of the cycle).</t>
  </si>
  <si>
    <t>PlannedDay</t>
  </si>
  <si>
    <t>ActualDay</t>
  </si>
  <si>
    <t>DashboardOnTime</t>
  </si>
  <si>
    <t>MonthlyReviewDone</t>
  </si>
  <si>
    <t>FAPPresented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</si>
  <si>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</si>
  <si>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</si>
  <si>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</si>
  <si>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</si>
  <si>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</si>
  <si>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</si>
  <si>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</si>
  <si>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</si>
  <si>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</si>
  <si>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</si>
  <si>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</si>
  <si>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</si>
  <si>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Team</t>
  </si>
  <si>
    <t>DataUpdated</t>
  </si>
  <si>
    <t>DateUpdated</t>
  </si>
  <si>
    <t>EJEMPLO - Jul-26</t>
  </si>
  <si>
    <t>EJEMPLO - Asset Management</t>
  </si>
  <si>
    <t>DateReported</t>
  </si>
  <si>
    <t>Severity</t>
  </si>
  <si>
    <t>EJEMPLO - breve descripcion</t>
  </si>
  <si>
    <t>Open</t>
  </si>
  <si>
    <t>KPI</t>
  </si>
  <si>
    <t>Updated</t>
  </si>
  <si>
    <t>Validated</t>
  </si>
  <si>
    <t>MAA</t>
  </si>
  <si>
    <t>Net Production</t>
  </si>
  <si>
    <t>Additional Incomes</t>
  </si>
  <si>
    <t>Maintenance Program Compliance</t>
  </si>
  <si>
    <t>Regulatory Compliance</t>
  </si>
  <si>
    <t>Opex &amp; Capex</t>
  </si>
  <si>
    <t>Procurement Plan Compliance</t>
  </si>
  <si>
    <t>Risk Management</t>
  </si>
  <si>
    <t>Risk Observation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</si>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</sst>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u/>
      <sz val="11"/>
      <color theme="1"/>
      <name val="Calibri"/>
      <family val="2"/>
      <charset val="1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0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  <xf numFmtId="0" fontId="1" fillId="0" borderId="0" xfId="1" applyNumberForma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0F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Normal="100" workbookViewId="0">
      <pane ySplit="1" topLeftCell="A4" activePane="bottomLeft" state="frozen"/>
      <selection pane="bottomLeft" activeCell="A33" sqref="A33"/>
    </sheetView>
  </sheetViews>
  <sheetFormatPr defaultColWidth="8.7109375" defaultRowHeight="14.45"/>
  <cols>
    <col min="1" max="2" width="42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t="s">
        <v>2</v>
      </c>
    </row>
    <row r="4" spans="1:2" ht="15" customHeight="1">
      <c r="A4" t="s">
        <v>3</v>
      </c>
    </row>
    <row r="5" spans="1:2" ht="15" customHeight="1">
      <c r="A5" t="s">
        <v>4</v>
      </c>
    </row>
    <row r="6" spans="1:2" ht="15" customHeight="1">
      <c r="A6" t="s">
        <v>5</v>
      </c>
    </row>
    <row r="7" spans="1:2" ht="15" customHeight="1">
      <c r="A7" t="s">
        <v>6</v>
      </c>
    </row>
    <row r="8" spans="1:2" ht="15" customHeight="1">
      <c r="A8" t="s">
        <v>7</v>
      </c>
    </row>
    <row r="9" spans="1:2" ht="15" customHeight="1">
      <c r="A9" t="s">
        <v>8</v>
      </c>
    </row>
    <row r="10" spans="1:2" ht="15" customHeight="1">
      <c r="A10" t="s">
        <v>9</v>
      </c>
      <c r="B10" t="s">
        <v>10</v>
      </c>
    </row>
    <row r="11" spans="1:2" ht="15" customHeight="1">
      <c r="A11" t="s">
        <v>11</v>
      </c>
      <c r="B11" t="s">
        <v>12</v>
      </c>
    </row>
    <row r="12" spans="1:2" ht="15" customHeight="1">
      <c r="A12" t="s">
        <v>13</v>
      </c>
      <c r="B12" t="s">
        <v>14</v>
      </c>
    </row>
    <row r="13" spans="1:2" ht="15" customHeight="1">
      <c r="A13" t="s">
        <v>15</v>
      </c>
      <c r="B13" t="s">
        <v>16</v>
      </c>
    </row>
    <row r="14" spans="1:2" ht="15" customHeight="1">
      <c r="A14" t="s">
        <v>17</v>
      </c>
      <c r="B14" t="s">
        <v>18</v>
      </c>
    </row>
    <row r="15" spans="1:2" ht="15" customHeight="1">
      <c r="A15" t="s">
        <v>19</v>
      </c>
      <c r="B15" t="s">
        <v>20</v>
      </c>
    </row>
    <row r="16" spans="1:2" ht="15" customHeight="1">
      <c r="A16" t="s">
        <v>21</v>
      </c>
      <c r="B16" t="s">
        <v>22</v>
      </c>
    </row>
    <row r="17" spans="1:2" ht="15" customHeight="1">
      <c r="A17" t="s">
        <v>23</v>
      </c>
      <c r="B17" t="s">
        <v>24</v>
      </c>
    </row>
    <row r="18" spans="1:2" ht="15" customHeight="1">
      <c r="A18" t="s">
        <v>25</v>
      </c>
      <c r="B18" t="s">
        <v>26</v>
      </c>
    </row>
    <row r="19" spans="1:2" ht="15" customHeight="1">
      <c r="A19" t="s">
        <v>27</v>
      </c>
      <c r="B19" t="s">
        <v>28</v>
      </c>
    </row>
    <row r="20" spans="1:2" ht="15" customHeight="1">
      <c r="A20" t="s">
        <v>29</v>
      </c>
      <c r="B20" t="s">
        <v>30</v>
      </c>
    </row>
    <row r="21" spans="1:2" ht="15" customHeight="1">
      <c r="A21" t="s">
        <v>31</v>
      </c>
      <c r="B21" t="s">
        <v>32</v>
      </c>
    </row>
    <row r="22" spans="1:2" ht="15" customHeight="1">
      <c r="A22" t="s">
        <v>33</v>
      </c>
      <c r="B22" t="s">
        <v>34</v>
      </c>
    </row>
    <row r="23" spans="1:2" ht="15" customHeight="1">
      <c r="A23" t="s">
        <v>35</v>
      </c>
      <c r="B23" t="s">
        <v>36</v>
      </c>
    </row>
    <row r="24" spans="1:2" ht="15" customHeight="1">
      <c r="A24" t="s">
        <v>37</v>
      </c>
      <c r="B24" t="s">
        <v>38</v>
      </c>
    </row>
    <row r="25" spans="1:2" ht="15" customHeight="1">
      <c r="A25" t="s">
        <v>39</v>
      </c>
      <c r="B25" t="s">
        <v>40</v>
      </c>
    </row>
    <row r="26" spans="1:2" ht="15" customHeight="1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39</v>
      </c>
      <c r="B29" t="s">
        <v>40</v>
      </c>
    </row>
    <row r="30" spans="1:2">
      <c r="A30" t="s">
        <v>47</v>
      </c>
      <c r="B30" t="s">
        <v>42</v>
      </c>
    </row>
    <row r="31" spans="1:2">
      <c r="A31" t="s">
        <v>48</v>
      </c>
      <c r="B31" t="s">
        <v>49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8.7109375" defaultRowHeight="14.45"/>
  <cols>
    <col min="1" max="1" width="11" customWidth="1"/>
    <col min="2" max="2" width="32" customWidth="1"/>
    <col min="3" max="3" width="10" customWidth="1"/>
    <col min="4" max="4" width="42" customWidth="1"/>
    <col min="5" max="6" width="10" customWidth="1"/>
  </cols>
  <sheetData>
    <row r="1" spans="1:6" ht="15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ht="15" customHeight="1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</row>
    <row r="3" spans="1:6" ht="15" customHeight="1">
      <c r="A3" t="s">
        <v>62</v>
      </c>
      <c r="B3" t="s">
        <v>63</v>
      </c>
      <c r="C3" t="s">
        <v>58</v>
      </c>
      <c r="D3" t="s">
        <v>64</v>
      </c>
      <c r="E3" t="s">
        <v>60</v>
      </c>
      <c r="F3" t="s">
        <v>61</v>
      </c>
    </row>
    <row r="4" spans="1:6" ht="15" customHeight="1">
      <c r="A4" t="s">
        <v>65</v>
      </c>
      <c r="B4" t="s">
        <v>66</v>
      </c>
      <c r="C4" t="s">
        <v>58</v>
      </c>
      <c r="D4" t="s">
        <v>67</v>
      </c>
      <c r="E4" t="s">
        <v>68</v>
      </c>
      <c r="F4" t="s">
        <v>69</v>
      </c>
    </row>
    <row r="5" spans="1:6" ht="15" customHeight="1">
      <c r="A5" t="s">
        <v>70</v>
      </c>
      <c r="B5" t="s">
        <v>71</v>
      </c>
      <c r="C5" t="s">
        <v>58</v>
      </c>
      <c r="D5" t="s">
        <v>72</v>
      </c>
      <c r="E5" t="s">
        <v>68</v>
      </c>
      <c r="F5" t="s">
        <v>69</v>
      </c>
    </row>
    <row r="6" spans="1:6" ht="15" customHeight="1">
      <c r="A6" t="s">
        <v>73</v>
      </c>
      <c r="B6" t="s">
        <v>74</v>
      </c>
      <c r="C6" t="s">
        <v>75</v>
      </c>
      <c r="D6" t="s">
        <v>76</v>
      </c>
      <c r="E6" t="s">
        <v>68</v>
      </c>
      <c r="F6" t="s">
        <v>69</v>
      </c>
    </row>
    <row r="7" spans="1:6" ht="15" customHeight="1">
      <c r="A7" t="s">
        <v>77</v>
      </c>
      <c r="B7" t="s">
        <v>78</v>
      </c>
      <c r="C7" t="s">
        <v>79</v>
      </c>
      <c r="D7" t="s">
        <v>80</v>
      </c>
      <c r="E7" t="s">
        <v>68</v>
      </c>
      <c r="F7" t="s">
        <v>69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9"/>
  <sheetViews>
    <sheetView zoomScaleNormal="100" workbookViewId="0">
      <pane ySplit="1" topLeftCell="A483" activePane="bottomLeft" state="frozen"/>
      <selection pane="bottomLeft" activeCell="E522" sqref="E522"/>
    </sheetView>
  </sheetViews>
  <sheetFormatPr defaultColWidth="8.7109375" defaultRowHeight="14.45"/>
  <cols>
    <col min="1" max="1" width="13" customWidth="1"/>
    <col min="2" max="2" width="42" customWidth="1"/>
    <col min="3" max="4" width="10" customWidth="1"/>
    <col min="5" max="5" width="13" customWidth="1"/>
    <col min="6" max="6" width="14.85546875" customWidth="1"/>
    <col min="7" max="7" width="13.5703125" customWidth="1"/>
    <col min="8" max="8" width="20" customWidth="1"/>
    <col min="9" max="9" width="13" customWidth="1"/>
    <col min="10" max="10" width="16" customWidth="1"/>
  </cols>
  <sheetData>
    <row r="1" spans="1:10" ht="15" customHeight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</row>
    <row r="2" spans="1:10" ht="15" customHeight="1">
      <c r="A2" t="s">
        <v>9</v>
      </c>
      <c r="B2" t="s">
        <v>57</v>
      </c>
      <c r="C2">
        <v>1</v>
      </c>
      <c r="D2">
        <v>1</v>
      </c>
      <c r="E2">
        <v>1</v>
      </c>
      <c r="F2" s="5">
        <f>IFERROR(ROUND(AVERAGEIFS(Weekly_Data!$F:$F,Weekly_Data!$A:$A,"Cheves",Weekly_Data!$C:$C,$C2),0),"")</f>
        <v>17</v>
      </c>
      <c r="G2" s="5">
        <f>IFERROR(ROUND(AVERAGEIFS(Weekly_Data!$G:$G,Weekly_Data!$A:$A,"Cheves",Weekly_Data!$C:$C,$C2),0),"")</f>
        <v>0</v>
      </c>
      <c r="H2" t="s">
        <v>91</v>
      </c>
      <c r="I2">
        <f>SUMIFS(Weekly_Data!$I:$I,Weekly_Data!$A:$A,"Cheves",Weekly_Data!$C:$C,$C2)</f>
        <v>3</v>
      </c>
      <c r="J2">
        <f>SUMIFS(Weekly_Data!$J:$J,Weekly_Data!$A:$A,"Cheves",Weekly_Data!$C:$C,$C2)</f>
        <v>1</v>
      </c>
    </row>
    <row r="3" spans="1:10" ht="15" customHeight="1">
      <c r="A3" t="s">
        <v>9</v>
      </c>
      <c r="B3" t="s">
        <v>57</v>
      </c>
      <c r="C3">
        <v>2</v>
      </c>
      <c r="D3">
        <v>1</v>
      </c>
      <c r="E3">
        <v>2</v>
      </c>
      <c r="F3" s="5">
        <f>IFERROR(ROUND(AVERAGEIFS(Weekly_Data!$F:$F,Weekly_Data!$A:$A,"Cheves",Weekly_Data!$C:$C,$C3),0),"")</f>
        <v>17</v>
      </c>
      <c r="G3" s="5">
        <f>IFERROR(ROUND(AVERAGEIFS(Weekly_Data!$G:$G,Weekly_Data!$A:$A,"Cheves",Weekly_Data!$C:$C,$C3),0),"")</f>
        <v>0</v>
      </c>
      <c r="H3" t="s">
        <v>91</v>
      </c>
      <c r="I3">
        <f>SUMIFS(Weekly_Data!$I:$I,Weekly_Data!$A:$A,"Cheves",Weekly_Data!$C:$C,$C3)</f>
        <v>3</v>
      </c>
      <c r="J3">
        <f>SUMIFS(Weekly_Data!$J:$J,Weekly_Data!$A:$A,"Cheves",Weekly_Data!$C:$C,$C3)</f>
        <v>0</v>
      </c>
    </row>
    <row r="4" spans="1:10" ht="15" customHeight="1">
      <c r="A4" t="s">
        <v>9</v>
      </c>
      <c r="B4" t="s">
        <v>57</v>
      </c>
      <c r="C4">
        <v>3</v>
      </c>
      <c r="D4">
        <v>1</v>
      </c>
      <c r="E4">
        <v>3</v>
      </c>
      <c r="F4" s="5">
        <f>IFERROR(ROUND(AVERAGEIFS(Weekly_Data!$F:$F,Weekly_Data!$A:$A,"Cheves",Weekly_Data!$C:$C,$C4),0),"")</f>
        <v>33</v>
      </c>
      <c r="G4" s="5">
        <f>IFERROR(ROUND(AVERAGEIFS(Weekly_Data!$G:$G,Weekly_Data!$A:$A,"Cheves",Weekly_Data!$C:$C,$C4),0),"")</f>
        <v>0</v>
      </c>
      <c r="H4" t="s">
        <v>91</v>
      </c>
      <c r="I4">
        <f>SUMIFS(Weekly_Data!$I:$I,Weekly_Data!$A:$A,"Cheves",Weekly_Data!$C:$C,$C4)</f>
        <v>2</v>
      </c>
      <c r="J4">
        <f>SUMIFS(Weekly_Data!$J:$J,Weekly_Data!$A:$A,"Cheves",Weekly_Data!$C:$C,$C4)</f>
        <v>1</v>
      </c>
    </row>
    <row r="5" spans="1:10" ht="15" customHeight="1">
      <c r="A5" t="s">
        <v>9</v>
      </c>
      <c r="B5" t="s">
        <v>57</v>
      </c>
      <c r="C5">
        <v>4</v>
      </c>
      <c r="D5">
        <v>1</v>
      </c>
      <c r="E5">
        <v>4</v>
      </c>
      <c r="F5" s="5">
        <f>IFERROR(ROUND(AVERAGEIFS(Weekly_Data!$F:$F,Weekly_Data!$A:$A,"Cheves",Weekly_Data!$C:$C,$C5),0),"")</f>
        <v>33</v>
      </c>
      <c r="G5" s="5">
        <f>IFERROR(ROUND(AVERAGEIFS(Weekly_Data!$G:$G,Weekly_Data!$A:$A,"Cheves",Weekly_Data!$C:$C,$C5),0),"")</f>
        <v>0</v>
      </c>
      <c r="H5" t="s">
        <v>91</v>
      </c>
      <c r="I5">
        <f>SUMIFS(Weekly_Data!$I:$I,Weekly_Data!$A:$A,"Cheves",Weekly_Data!$C:$C,$C5)</f>
        <v>2</v>
      </c>
      <c r="J5">
        <f>SUMIFS(Weekly_Data!$J:$J,Weekly_Data!$A:$A,"Cheves",Weekly_Data!$C:$C,$C5)</f>
        <v>0</v>
      </c>
    </row>
    <row r="6" spans="1:10" ht="15" customHeight="1">
      <c r="A6" t="s">
        <v>9</v>
      </c>
      <c r="B6" t="s">
        <v>57</v>
      </c>
      <c r="C6">
        <v>5</v>
      </c>
      <c r="D6">
        <v>1</v>
      </c>
      <c r="E6">
        <v>5</v>
      </c>
      <c r="F6" s="5">
        <f>IFERROR(ROUND(AVERAGEIFS(Weekly_Data!$F:$F,Weekly_Data!$A:$A,"Cheves",Weekly_Data!$C:$C,$C6),0),"")</f>
        <v>33</v>
      </c>
      <c r="G6" s="5">
        <f>IFERROR(ROUND(AVERAGEIFS(Weekly_Data!$G:$G,Weekly_Data!$A:$A,"Cheves",Weekly_Data!$C:$C,$C6),0),"")</f>
        <v>0</v>
      </c>
      <c r="H6" t="s">
        <v>91</v>
      </c>
      <c r="I6">
        <f>SUMIFS(Weekly_Data!$I:$I,Weekly_Data!$A:$A,"Cheves",Weekly_Data!$C:$C,$C6)</f>
        <v>2</v>
      </c>
      <c r="J6">
        <f>SUMIFS(Weekly_Data!$J:$J,Weekly_Data!$A:$A,"Cheves",Weekly_Data!$C:$C,$C6)</f>
        <v>0</v>
      </c>
    </row>
    <row r="7" spans="1:10" ht="15" customHeight="1">
      <c r="A7" t="s">
        <v>9</v>
      </c>
      <c r="B7" t="s">
        <v>57</v>
      </c>
      <c r="C7">
        <v>6</v>
      </c>
      <c r="D7">
        <v>2</v>
      </c>
      <c r="E7">
        <v>1</v>
      </c>
      <c r="F7" s="5">
        <f>IFERROR(ROUND(AVERAGEIFS(Weekly_Data!$F:$F,Weekly_Data!$A:$A,"Cheves",Weekly_Data!$C:$C,$C7),0),"")</f>
        <v>33</v>
      </c>
      <c r="G7" s="5">
        <f>IFERROR(ROUND(AVERAGEIFS(Weekly_Data!$G:$G,Weekly_Data!$A:$A,"Cheves",Weekly_Data!$C:$C,$C7),0),"")</f>
        <v>0</v>
      </c>
      <c r="H7" t="s">
        <v>91</v>
      </c>
      <c r="I7">
        <f>SUMIFS(Weekly_Data!$I:$I,Weekly_Data!$A:$A,"Cheves",Weekly_Data!$C:$C,$C7)</f>
        <v>2</v>
      </c>
      <c r="J7">
        <f>SUMIFS(Weekly_Data!$J:$J,Weekly_Data!$A:$A,"Cheves",Weekly_Data!$C:$C,$C7)</f>
        <v>0</v>
      </c>
    </row>
    <row r="8" spans="1:10" ht="15" customHeight="1">
      <c r="A8" t="s">
        <v>9</v>
      </c>
      <c r="B8" t="s">
        <v>57</v>
      </c>
      <c r="C8">
        <v>7</v>
      </c>
      <c r="D8">
        <v>2</v>
      </c>
      <c r="E8">
        <v>2</v>
      </c>
      <c r="F8" s="5">
        <f>IFERROR(ROUND(AVERAGEIFS(Weekly_Data!$F:$F,Weekly_Data!$A:$A,"Cheves",Weekly_Data!$C:$C,$C8),0),"")</f>
        <v>33</v>
      </c>
      <c r="G8" s="5">
        <f>IFERROR(ROUND(AVERAGEIFS(Weekly_Data!$G:$G,Weekly_Data!$A:$A,"Cheves",Weekly_Data!$C:$C,$C8),0),"")</f>
        <v>0</v>
      </c>
      <c r="H8" t="s">
        <v>91</v>
      </c>
      <c r="I8">
        <f>SUMIFS(Weekly_Data!$I:$I,Weekly_Data!$A:$A,"Cheves",Weekly_Data!$C:$C,$C8)</f>
        <v>2</v>
      </c>
      <c r="J8">
        <f>SUMIFS(Weekly_Data!$J:$J,Weekly_Data!$A:$A,"Cheves",Weekly_Data!$C:$C,$C8)</f>
        <v>0</v>
      </c>
    </row>
    <row r="9" spans="1:10" ht="15" customHeight="1">
      <c r="A9" t="s">
        <v>9</v>
      </c>
      <c r="B9" t="s">
        <v>57</v>
      </c>
      <c r="C9">
        <v>8</v>
      </c>
      <c r="D9">
        <v>2</v>
      </c>
      <c r="E9">
        <v>3</v>
      </c>
      <c r="F9" s="5">
        <f>IFERROR(ROUND(AVERAGEIFS(Weekly_Data!$F:$F,Weekly_Data!$A:$A,"Cheves",Weekly_Data!$C:$C,$C9),0),"")</f>
        <v>33</v>
      </c>
      <c r="G9" s="5">
        <f>IFERROR(ROUND(AVERAGEIFS(Weekly_Data!$G:$G,Weekly_Data!$A:$A,"Cheves",Weekly_Data!$C:$C,$C9),0),"")</f>
        <v>0</v>
      </c>
      <c r="H9" t="s">
        <v>91</v>
      </c>
      <c r="I9">
        <f>SUMIFS(Weekly_Data!$I:$I,Weekly_Data!$A:$A,"Cheves",Weekly_Data!$C:$C,$C9)</f>
        <v>2</v>
      </c>
      <c r="J9">
        <f>SUMIFS(Weekly_Data!$J:$J,Weekly_Data!$A:$A,"Cheves",Weekly_Data!$C:$C,$C9)</f>
        <v>0</v>
      </c>
    </row>
    <row r="10" spans="1:10" ht="15" customHeight="1">
      <c r="A10" t="s">
        <v>9</v>
      </c>
      <c r="B10" t="s">
        <v>57</v>
      </c>
      <c r="C10">
        <v>9</v>
      </c>
      <c r="D10">
        <v>2</v>
      </c>
      <c r="E10">
        <v>4</v>
      </c>
      <c r="F10" s="5">
        <f>IFERROR(ROUND(AVERAGEIFS(Weekly_Data!$F:$F,Weekly_Data!$A:$A,"Cheves",Weekly_Data!$C:$C,$C10),0),"")</f>
        <v>33</v>
      </c>
      <c r="G10" s="5">
        <f>IFERROR(ROUND(AVERAGEIFS(Weekly_Data!$G:$G,Weekly_Data!$A:$A,"Cheves",Weekly_Data!$C:$C,$C10),0),"")</f>
        <v>0</v>
      </c>
      <c r="H10" t="s">
        <v>91</v>
      </c>
      <c r="I10">
        <f>SUMIFS(Weekly_Data!$I:$I,Weekly_Data!$A:$A,"Cheves",Weekly_Data!$C:$C,$C10)</f>
        <v>2</v>
      </c>
      <c r="J10">
        <f>SUMIFS(Weekly_Data!$J:$J,Weekly_Data!$A:$A,"Cheves",Weekly_Data!$C:$C,$C10)</f>
        <v>0</v>
      </c>
    </row>
    <row r="11" spans="1:10" ht="15" customHeight="1">
      <c r="A11" t="s">
        <v>9</v>
      </c>
      <c r="B11" t="s">
        <v>57</v>
      </c>
      <c r="C11">
        <v>10</v>
      </c>
      <c r="D11">
        <v>3</v>
      </c>
      <c r="E11">
        <v>1</v>
      </c>
      <c r="F11" s="5">
        <f>IFERROR(ROUND(AVERAGEIFS(Weekly_Data!$F:$F,Weekly_Data!$A:$A,"Cheves",Weekly_Data!$C:$C,$C11),0),"")</f>
        <v>33</v>
      </c>
      <c r="G11" s="5">
        <f>IFERROR(ROUND(AVERAGEIFS(Weekly_Data!$G:$G,Weekly_Data!$A:$A,"Cheves",Weekly_Data!$C:$C,$C11),0),"")</f>
        <v>0</v>
      </c>
      <c r="H11" t="s">
        <v>91</v>
      </c>
      <c r="I11">
        <f>SUMIFS(Weekly_Data!$I:$I,Weekly_Data!$A:$A,"Cheves",Weekly_Data!$C:$C,$C11)</f>
        <v>2</v>
      </c>
      <c r="J11">
        <f>SUMIFS(Weekly_Data!$J:$J,Weekly_Data!$A:$A,"Cheves",Weekly_Data!$C:$C,$C11)</f>
        <v>0</v>
      </c>
    </row>
    <row r="12" spans="1:10" ht="15" customHeight="1">
      <c r="A12" t="s">
        <v>9</v>
      </c>
      <c r="B12" t="s">
        <v>57</v>
      </c>
      <c r="C12">
        <v>11</v>
      </c>
      <c r="D12">
        <v>3</v>
      </c>
      <c r="E12">
        <v>2</v>
      </c>
      <c r="F12" s="5">
        <f>IFERROR(ROUND(AVERAGEIFS(Weekly_Data!$F:$F,Weekly_Data!$A:$A,"Cheves",Weekly_Data!$C:$C,$C12),0),"")</f>
        <v>33</v>
      </c>
      <c r="G12" s="5">
        <f>IFERROR(ROUND(AVERAGEIFS(Weekly_Data!$G:$G,Weekly_Data!$A:$A,"Cheves",Weekly_Data!$C:$C,$C12),0),"")</f>
        <v>0</v>
      </c>
      <c r="H12" t="s">
        <v>91</v>
      </c>
      <c r="I12">
        <f>SUMIFS(Weekly_Data!$I:$I,Weekly_Data!$A:$A,"Cheves",Weekly_Data!$C:$C,$C12)</f>
        <v>2</v>
      </c>
      <c r="J12">
        <f>SUMIFS(Weekly_Data!$J:$J,Weekly_Data!$A:$A,"Cheves",Weekly_Data!$C:$C,$C12)</f>
        <v>0</v>
      </c>
    </row>
    <row r="13" spans="1:10" ht="15" customHeight="1">
      <c r="A13" t="s">
        <v>9</v>
      </c>
      <c r="B13" t="s">
        <v>57</v>
      </c>
      <c r="C13">
        <v>12</v>
      </c>
      <c r="D13">
        <v>3</v>
      </c>
      <c r="E13">
        <v>3</v>
      </c>
      <c r="F13" s="5">
        <f>IFERROR(ROUND(AVERAGEIFS(Weekly_Data!$F:$F,Weekly_Data!$A:$A,"Cheves",Weekly_Data!$C:$C,$C13),0),"")</f>
        <v>33</v>
      </c>
      <c r="G13" s="5">
        <f>IFERROR(ROUND(AVERAGEIFS(Weekly_Data!$G:$G,Weekly_Data!$A:$A,"Cheves",Weekly_Data!$C:$C,$C13),0),"")</f>
        <v>0</v>
      </c>
      <c r="H13" t="s">
        <v>91</v>
      </c>
      <c r="I13">
        <f>SUMIFS(Weekly_Data!$I:$I,Weekly_Data!$A:$A,"Cheves",Weekly_Data!$C:$C,$C13)</f>
        <v>2</v>
      </c>
      <c r="J13">
        <f>SUMIFS(Weekly_Data!$J:$J,Weekly_Data!$A:$A,"Cheves",Weekly_Data!$C:$C,$C13)</f>
        <v>0</v>
      </c>
    </row>
    <row r="14" spans="1:10" ht="15" customHeight="1">
      <c r="A14" t="s">
        <v>9</v>
      </c>
      <c r="B14" t="s">
        <v>57</v>
      </c>
      <c r="C14">
        <v>13</v>
      </c>
      <c r="D14">
        <v>3</v>
      </c>
      <c r="E14">
        <v>4</v>
      </c>
      <c r="F14" s="5">
        <f>IFERROR(ROUND(AVERAGEIFS(Weekly_Data!$F:$F,Weekly_Data!$A:$A,"Cheves",Weekly_Data!$C:$C,$C14),0),"")</f>
        <v>33</v>
      </c>
      <c r="G14" s="5">
        <f>IFERROR(ROUND(AVERAGEIFS(Weekly_Data!$G:$G,Weekly_Data!$A:$A,"Cheves",Weekly_Data!$C:$C,$C14),0),"")</f>
        <v>0</v>
      </c>
      <c r="H14" t="s">
        <v>91</v>
      </c>
      <c r="I14">
        <f>SUMIFS(Weekly_Data!$I:$I,Weekly_Data!$A:$A,"Cheves",Weekly_Data!$C:$C,$C14)</f>
        <v>2</v>
      </c>
      <c r="J14">
        <f>SUMIFS(Weekly_Data!$J:$J,Weekly_Data!$A:$A,"Cheves",Weekly_Data!$C:$C,$C14)</f>
        <v>0</v>
      </c>
    </row>
    <row r="15" spans="1:10" ht="15" customHeight="1">
      <c r="A15" t="s">
        <v>9</v>
      </c>
      <c r="B15" t="s">
        <v>57</v>
      </c>
      <c r="C15">
        <v>14</v>
      </c>
      <c r="D15">
        <v>4</v>
      </c>
      <c r="E15">
        <v>1</v>
      </c>
      <c r="F15" s="5">
        <f>IFERROR(ROUND(AVERAGEIFS(Weekly_Data!$F:$F,Weekly_Data!$A:$A,"Cheves",Weekly_Data!$C:$C,$C15),0),"")</f>
        <v>33</v>
      </c>
      <c r="G15" s="5">
        <f>IFERROR(ROUND(AVERAGEIFS(Weekly_Data!$G:$G,Weekly_Data!$A:$A,"Cheves",Weekly_Data!$C:$C,$C15),0),"")</f>
        <v>0</v>
      </c>
      <c r="H15" t="s">
        <v>91</v>
      </c>
      <c r="I15">
        <f>SUMIFS(Weekly_Data!$I:$I,Weekly_Data!$A:$A,"Cheves",Weekly_Data!$C:$C,$C15)</f>
        <v>2</v>
      </c>
      <c r="J15">
        <f>SUMIFS(Weekly_Data!$J:$J,Weekly_Data!$A:$A,"Cheves",Weekly_Data!$C:$C,$C15)</f>
        <v>0</v>
      </c>
    </row>
    <row r="16" spans="1:10" ht="15" customHeight="1">
      <c r="A16" t="s">
        <v>9</v>
      </c>
      <c r="B16" t="s">
        <v>57</v>
      </c>
      <c r="C16">
        <v>15</v>
      </c>
      <c r="D16">
        <v>4</v>
      </c>
      <c r="E16">
        <v>2</v>
      </c>
      <c r="F16" s="5">
        <f>IFERROR(ROUND(AVERAGEIFS(Weekly_Data!$F:$F,Weekly_Data!$A:$A,"Cheves",Weekly_Data!$C:$C,$C16),0),"")</f>
        <v>33</v>
      </c>
      <c r="G16" s="5">
        <f>IFERROR(ROUND(AVERAGEIFS(Weekly_Data!$G:$G,Weekly_Data!$A:$A,"Cheves",Weekly_Data!$C:$C,$C16),0),"")</f>
        <v>0</v>
      </c>
      <c r="H16" t="s">
        <v>91</v>
      </c>
      <c r="I16">
        <f>SUMIFS(Weekly_Data!$I:$I,Weekly_Data!$A:$A,"Cheves",Weekly_Data!$C:$C,$C16)</f>
        <v>2</v>
      </c>
      <c r="J16">
        <f>SUMIFS(Weekly_Data!$J:$J,Weekly_Data!$A:$A,"Cheves",Weekly_Data!$C:$C,$C16)</f>
        <v>0</v>
      </c>
    </row>
    <row r="17" spans="1:10" ht="15" customHeight="1">
      <c r="A17" t="s">
        <v>9</v>
      </c>
      <c r="B17" t="s">
        <v>57</v>
      </c>
      <c r="C17">
        <v>16</v>
      </c>
      <c r="D17">
        <v>4</v>
      </c>
      <c r="E17">
        <v>3</v>
      </c>
      <c r="F17" s="5">
        <f>IFERROR(ROUND(AVERAGEIFS(Weekly_Data!$F:$F,Weekly_Data!$A:$A,"Cheves",Weekly_Data!$C:$C,$C17),0),"")</f>
        <v>33</v>
      </c>
      <c r="G17" s="5">
        <f>IFERROR(ROUND(AVERAGEIFS(Weekly_Data!$G:$G,Weekly_Data!$A:$A,"Cheves",Weekly_Data!$C:$C,$C17),0),"")</f>
        <v>0</v>
      </c>
      <c r="H17" t="s">
        <v>91</v>
      </c>
      <c r="I17">
        <f>SUMIFS(Weekly_Data!$I:$I,Weekly_Data!$A:$A,"Cheves",Weekly_Data!$C:$C,$C17)</f>
        <v>2</v>
      </c>
      <c r="J17">
        <f>SUMIFS(Weekly_Data!$J:$J,Weekly_Data!$A:$A,"Cheves",Weekly_Data!$C:$C,$C17)</f>
        <v>0</v>
      </c>
    </row>
    <row r="18" spans="1:10" ht="15" customHeight="1">
      <c r="A18" t="s">
        <v>9</v>
      </c>
      <c r="B18" t="s">
        <v>57</v>
      </c>
      <c r="C18">
        <v>17</v>
      </c>
      <c r="D18">
        <v>4</v>
      </c>
      <c r="E18">
        <v>4</v>
      </c>
      <c r="F18" s="5">
        <f>IFERROR(ROUND(AVERAGEIFS(Weekly_Data!$F:$F,Weekly_Data!$A:$A,"Cheves",Weekly_Data!$C:$C,$C18),0),"")</f>
        <v>33</v>
      </c>
      <c r="G18" s="5">
        <f>IFERROR(ROUND(AVERAGEIFS(Weekly_Data!$G:$G,Weekly_Data!$A:$A,"Cheves",Weekly_Data!$C:$C,$C18),0),"")</f>
        <v>0</v>
      </c>
      <c r="H18" t="s">
        <v>91</v>
      </c>
      <c r="I18">
        <f>SUMIFS(Weekly_Data!$I:$I,Weekly_Data!$A:$A,"Cheves",Weekly_Data!$C:$C,$C18)</f>
        <v>2</v>
      </c>
      <c r="J18">
        <f>SUMIFS(Weekly_Data!$J:$J,Weekly_Data!$A:$A,"Cheves",Weekly_Data!$C:$C,$C18)</f>
        <v>0</v>
      </c>
    </row>
    <row r="19" spans="1:10" ht="15" customHeight="1">
      <c r="A19" t="s">
        <v>9</v>
      </c>
      <c r="B19" t="s">
        <v>57</v>
      </c>
      <c r="C19">
        <v>18</v>
      </c>
      <c r="D19">
        <v>5</v>
      </c>
      <c r="E19">
        <v>1</v>
      </c>
      <c r="F19" s="5">
        <f>IFERROR(ROUND(AVERAGEIFS(Weekly_Data!$F:$F,Weekly_Data!$A:$A,"Cheves",Weekly_Data!$C:$C,$C19),0),"")</f>
        <v>33</v>
      </c>
      <c r="G19" s="5">
        <f>IFERROR(ROUND(AVERAGEIFS(Weekly_Data!$G:$G,Weekly_Data!$A:$A,"Cheves",Weekly_Data!$C:$C,$C19),0),"")</f>
        <v>0</v>
      </c>
      <c r="H19" t="s">
        <v>91</v>
      </c>
      <c r="I19">
        <f>SUMIFS(Weekly_Data!$I:$I,Weekly_Data!$A:$A,"Cheves",Weekly_Data!$C:$C,$C19)</f>
        <v>2</v>
      </c>
      <c r="J19">
        <f>SUMIFS(Weekly_Data!$J:$J,Weekly_Data!$A:$A,"Cheves",Weekly_Data!$C:$C,$C19)</f>
        <v>0</v>
      </c>
    </row>
    <row r="20" spans="1:10" ht="15" customHeight="1">
      <c r="A20" t="s">
        <v>9</v>
      </c>
      <c r="B20" t="s">
        <v>57</v>
      </c>
      <c r="C20">
        <v>19</v>
      </c>
      <c r="D20">
        <v>5</v>
      </c>
      <c r="E20">
        <v>2</v>
      </c>
      <c r="F20" s="5">
        <f>IFERROR(ROUND(AVERAGEIFS(Weekly_Data!$F:$F,Weekly_Data!$A:$A,"Cheves",Weekly_Data!$C:$C,$C20),0),"")</f>
        <v>33</v>
      </c>
      <c r="G20" s="5">
        <f>IFERROR(ROUND(AVERAGEIFS(Weekly_Data!$G:$G,Weekly_Data!$A:$A,"Cheves",Weekly_Data!$C:$C,$C20),0),"")</f>
        <v>0</v>
      </c>
      <c r="H20" t="s">
        <v>91</v>
      </c>
      <c r="I20">
        <f>SUMIFS(Weekly_Data!$I:$I,Weekly_Data!$A:$A,"Cheves",Weekly_Data!$C:$C,$C20)</f>
        <v>2</v>
      </c>
      <c r="J20">
        <f>SUMIFS(Weekly_Data!$J:$J,Weekly_Data!$A:$A,"Cheves",Weekly_Data!$C:$C,$C20)</f>
        <v>0</v>
      </c>
    </row>
    <row r="21" spans="1:10" ht="15" customHeight="1">
      <c r="A21" t="s">
        <v>9</v>
      </c>
      <c r="B21" t="s">
        <v>57</v>
      </c>
      <c r="C21">
        <v>20</v>
      </c>
      <c r="D21">
        <v>5</v>
      </c>
      <c r="E21">
        <v>3</v>
      </c>
      <c r="F21" s="5">
        <f>IFERROR(ROUND(AVERAGEIFS(Weekly_Data!$F:$F,Weekly_Data!$A:$A,"Cheves",Weekly_Data!$C:$C,$C21),0),"")</f>
        <v>33</v>
      </c>
      <c r="G21" s="5">
        <f>IFERROR(ROUND(AVERAGEIFS(Weekly_Data!$G:$G,Weekly_Data!$A:$A,"Cheves",Weekly_Data!$C:$C,$C21),0),"")</f>
        <v>0</v>
      </c>
      <c r="H21" t="s">
        <v>91</v>
      </c>
      <c r="I21">
        <f>SUMIFS(Weekly_Data!$I:$I,Weekly_Data!$A:$A,"Cheves",Weekly_Data!$C:$C,$C21)</f>
        <v>2</v>
      </c>
      <c r="J21">
        <f>SUMIFS(Weekly_Data!$J:$J,Weekly_Data!$A:$A,"Cheves",Weekly_Data!$C:$C,$C21)</f>
        <v>0</v>
      </c>
    </row>
    <row r="22" spans="1:10" ht="15" customHeight="1">
      <c r="A22" t="s">
        <v>9</v>
      </c>
      <c r="B22" t="s">
        <v>57</v>
      </c>
      <c r="C22">
        <v>21</v>
      </c>
      <c r="D22">
        <v>5</v>
      </c>
      <c r="E22">
        <v>4</v>
      </c>
      <c r="F22" s="5">
        <f>IFERROR(ROUND(AVERAGEIFS(Weekly_Data!$F:$F,Weekly_Data!$A:$A,"Cheves",Weekly_Data!$C:$C,$C22),0),"")</f>
        <v>33</v>
      </c>
      <c r="G22" s="5">
        <f>IFERROR(ROUND(AVERAGEIFS(Weekly_Data!$G:$G,Weekly_Data!$A:$A,"Cheves",Weekly_Data!$C:$C,$C22),0),"")</f>
        <v>0</v>
      </c>
      <c r="H22" t="s">
        <v>91</v>
      </c>
      <c r="I22">
        <f>SUMIFS(Weekly_Data!$I:$I,Weekly_Data!$A:$A,"Cheves",Weekly_Data!$C:$C,$C22)</f>
        <v>2</v>
      </c>
      <c r="J22">
        <f>SUMIFS(Weekly_Data!$J:$J,Weekly_Data!$A:$A,"Cheves",Weekly_Data!$C:$C,$C22)</f>
        <v>0</v>
      </c>
    </row>
    <row r="23" spans="1:10" ht="15" customHeight="1">
      <c r="A23" t="s">
        <v>9</v>
      </c>
      <c r="B23" t="s">
        <v>57</v>
      </c>
      <c r="C23">
        <v>22</v>
      </c>
      <c r="D23">
        <v>5</v>
      </c>
      <c r="E23">
        <v>5</v>
      </c>
      <c r="F23" s="5">
        <f>IFERROR(ROUND(AVERAGEIFS(Weekly_Data!$F:$F,Weekly_Data!$A:$A,"Cheves",Weekly_Data!$C:$C,$C23),0),"")</f>
        <v>33</v>
      </c>
      <c r="G23" s="5">
        <f>IFERROR(ROUND(AVERAGEIFS(Weekly_Data!$G:$G,Weekly_Data!$A:$A,"Cheves",Weekly_Data!$C:$C,$C23),0),"")</f>
        <v>17</v>
      </c>
      <c r="H23" t="s">
        <v>91</v>
      </c>
      <c r="I23">
        <f>SUMIFS(Weekly_Data!$I:$I,Weekly_Data!$A:$A,"Cheves",Weekly_Data!$C:$C,$C23)</f>
        <v>2</v>
      </c>
      <c r="J23">
        <f>SUMIFS(Weekly_Data!$J:$J,Weekly_Data!$A:$A,"Cheves",Weekly_Data!$C:$C,$C23)</f>
        <v>0</v>
      </c>
    </row>
    <row r="24" spans="1:10" ht="15" customHeight="1">
      <c r="A24" t="s">
        <v>9</v>
      </c>
      <c r="B24" t="s">
        <v>57</v>
      </c>
      <c r="C24">
        <v>23</v>
      </c>
      <c r="D24">
        <v>6</v>
      </c>
      <c r="E24">
        <v>1</v>
      </c>
      <c r="F24" s="5">
        <f>IFERROR(ROUND(AVERAGEIFS(Weekly_Data!$F:$F,Weekly_Data!$A:$A,"Cheves",Weekly_Data!$C:$C,$C24),0),"")</f>
        <v>33</v>
      </c>
      <c r="G24" s="5">
        <f>IFERROR(ROUND(AVERAGEIFS(Weekly_Data!$G:$G,Weekly_Data!$A:$A,"Cheves",Weekly_Data!$C:$C,$C24),0),"")</f>
        <v>17</v>
      </c>
      <c r="H24" t="s">
        <v>91</v>
      </c>
      <c r="I24">
        <f>SUMIFS(Weekly_Data!$I:$I,Weekly_Data!$A:$A,"Cheves",Weekly_Data!$C:$C,$C24)</f>
        <v>2</v>
      </c>
      <c r="J24">
        <f>SUMIFS(Weekly_Data!$J:$J,Weekly_Data!$A:$A,"Cheves",Weekly_Data!$C:$C,$C24)</f>
        <v>0</v>
      </c>
    </row>
    <row r="25" spans="1:10" ht="15" customHeight="1">
      <c r="A25" t="s">
        <v>9</v>
      </c>
      <c r="B25" t="s">
        <v>57</v>
      </c>
      <c r="C25">
        <v>24</v>
      </c>
      <c r="D25">
        <v>6</v>
      </c>
      <c r="E25">
        <v>2</v>
      </c>
      <c r="F25" s="5">
        <f>IFERROR(ROUND(AVERAGEIFS(Weekly_Data!$F:$F,Weekly_Data!$A:$A,"Cheves",Weekly_Data!$C:$C,$C25),0),"")</f>
        <v>50</v>
      </c>
      <c r="G25" s="5">
        <f>IFERROR(ROUND(AVERAGEIFS(Weekly_Data!$G:$G,Weekly_Data!$A:$A,"Cheves",Weekly_Data!$C:$C,$C25),0),"")</f>
        <v>17</v>
      </c>
      <c r="H25" t="s">
        <v>91</v>
      </c>
      <c r="I25">
        <f>SUMIFS(Weekly_Data!$I:$I,Weekly_Data!$A:$A,"Cheves",Weekly_Data!$C:$C,$C25)</f>
        <v>1</v>
      </c>
      <c r="J25">
        <f>SUMIFS(Weekly_Data!$J:$J,Weekly_Data!$A:$A,"Cheves",Weekly_Data!$C:$C,$C25)</f>
        <v>1</v>
      </c>
    </row>
    <row r="26" spans="1:10" ht="15" customHeight="1">
      <c r="A26" t="s">
        <v>9</v>
      </c>
      <c r="B26" t="s">
        <v>57</v>
      </c>
      <c r="C26">
        <v>25</v>
      </c>
      <c r="D26">
        <v>6</v>
      </c>
      <c r="E26">
        <v>3</v>
      </c>
      <c r="F26" s="5">
        <f>IFERROR(ROUND(AVERAGEIFS(Weekly_Data!$F:$F,Weekly_Data!$A:$A,"Cheves",Weekly_Data!$C:$C,$C26),0),"")</f>
        <v>50</v>
      </c>
      <c r="G26" s="5">
        <f>IFERROR(ROUND(AVERAGEIFS(Weekly_Data!$G:$G,Weekly_Data!$A:$A,"Cheves",Weekly_Data!$C:$C,$C26),0),"")</f>
        <v>17</v>
      </c>
      <c r="I26">
        <f>SUMIFS(Weekly_Data!$I:$I,Weekly_Data!$A:$A,"Cheves",Weekly_Data!$C:$C,$C26)</f>
        <v>1</v>
      </c>
      <c r="J26">
        <f>SUMIFS(Weekly_Data!$J:$J,Weekly_Data!$A:$A,"Cheves",Weekly_Data!$C:$C,$C26)</f>
        <v>0</v>
      </c>
    </row>
    <row r="27" spans="1:10" ht="15" customHeight="1">
      <c r="A27" t="s">
        <v>9</v>
      </c>
      <c r="B27" t="s">
        <v>57</v>
      </c>
      <c r="C27">
        <v>26</v>
      </c>
      <c r="D27">
        <v>6</v>
      </c>
      <c r="E27">
        <v>4</v>
      </c>
      <c r="F27" s="5">
        <f>IFERROR(ROUND(AVERAGEIFS(Weekly_Data!$F:$F,Weekly_Data!$A:$A,"Cheves",Weekly_Data!$C:$C,$C27),0),"")</f>
        <v>50</v>
      </c>
      <c r="G27" s="5">
        <f>IFERROR(ROUND(AVERAGEIFS(Weekly_Data!$G:$G,Weekly_Data!$A:$A,"Cheves",Weekly_Data!$C:$C,$C27),0),"")</f>
        <v>17</v>
      </c>
      <c r="I27">
        <f>SUMIFS(Weekly_Data!$I:$I,Weekly_Data!$A:$A,"Cheves",Weekly_Data!$C:$C,$C27)</f>
        <v>1</v>
      </c>
      <c r="J27">
        <f>SUMIFS(Weekly_Data!$J:$J,Weekly_Data!$A:$A,"Cheves",Weekly_Data!$C:$C,$C27)</f>
        <v>0</v>
      </c>
    </row>
    <row r="28" spans="1:10" ht="15" customHeight="1">
      <c r="A28" t="s">
        <v>9</v>
      </c>
      <c r="B28" t="s">
        <v>57</v>
      </c>
      <c r="C28">
        <v>27</v>
      </c>
      <c r="D28">
        <v>7</v>
      </c>
      <c r="E28">
        <v>1</v>
      </c>
      <c r="F28" s="5">
        <f>IFERROR(ROUND(AVERAGEIFS(Weekly_Data!$F:$F,Weekly_Data!$A:$A,"Cheves",Weekly_Data!$C:$C,$C28),0),"")</f>
        <v>50</v>
      </c>
      <c r="G28" s="5">
        <f>IFERROR(ROUND(AVERAGEIFS(Weekly_Data!$G:$G,Weekly_Data!$A:$A,"Cheves",Weekly_Data!$C:$C,$C28),0),"")</f>
        <v>17</v>
      </c>
      <c r="I28">
        <f>SUMIFS(Weekly_Data!$I:$I,Weekly_Data!$A:$A,"Cheves",Weekly_Data!$C:$C,$C28)</f>
        <v>1</v>
      </c>
      <c r="J28">
        <f>SUMIFS(Weekly_Data!$J:$J,Weekly_Data!$A:$A,"Cheves",Weekly_Data!$C:$C,$C28)</f>
        <v>0</v>
      </c>
    </row>
    <row r="29" spans="1:10" ht="15" customHeight="1">
      <c r="A29" t="s">
        <v>9</v>
      </c>
      <c r="B29" t="s">
        <v>57</v>
      </c>
      <c r="C29">
        <v>28</v>
      </c>
      <c r="D29">
        <v>7</v>
      </c>
      <c r="E29">
        <v>2</v>
      </c>
      <c r="F29" s="5">
        <f>IFERROR(ROUND(AVERAGEIFS(Weekly_Data!$F:$F,Weekly_Data!$A:$A,"Cheves",Weekly_Data!$C:$C,$C29),0),"")</f>
        <v>50</v>
      </c>
      <c r="G29" s="5">
        <f>IFERROR(ROUND(AVERAGEIFS(Weekly_Data!$G:$G,Weekly_Data!$A:$A,"Cheves",Weekly_Data!$C:$C,$C29),0),"")</f>
        <v>17</v>
      </c>
      <c r="I29">
        <f>SUMIFS(Weekly_Data!$I:$I,Weekly_Data!$A:$A,"Cheves",Weekly_Data!$C:$C,$C29)</f>
        <v>1</v>
      </c>
      <c r="J29">
        <f>SUMIFS(Weekly_Data!$J:$J,Weekly_Data!$A:$A,"Cheves",Weekly_Data!$C:$C,$C29)</f>
        <v>0</v>
      </c>
    </row>
    <row r="30" spans="1:10" ht="15" customHeight="1">
      <c r="A30" t="s">
        <v>9</v>
      </c>
      <c r="B30" t="s">
        <v>57</v>
      </c>
      <c r="C30">
        <v>29</v>
      </c>
      <c r="D30">
        <v>7</v>
      </c>
      <c r="E30">
        <v>3</v>
      </c>
      <c r="F30" s="5">
        <f>IFERROR(ROUND(AVERAGEIFS(Weekly_Data!$F:$F,Weekly_Data!$A:$A,"Cheves",Weekly_Data!$C:$C,$C30),0),"")</f>
        <v>50</v>
      </c>
      <c r="G30" s="5">
        <f>IFERROR(ROUND(AVERAGEIFS(Weekly_Data!$G:$G,Weekly_Data!$A:$A,"Cheves",Weekly_Data!$C:$C,$C30),0),"")</f>
        <v>17</v>
      </c>
      <c r="I30">
        <f>SUMIFS(Weekly_Data!$I:$I,Weekly_Data!$A:$A,"Cheves",Weekly_Data!$C:$C,$C30)</f>
        <v>1</v>
      </c>
      <c r="J30">
        <f>SUMIFS(Weekly_Data!$J:$J,Weekly_Data!$A:$A,"Cheves",Weekly_Data!$C:$C,$C30)</f>
        <v>0</v>
      </c>
    </row>
    <row r="31" spans="1:10" ht="15" customHeight="1">
      <c r="A31" t="s">
        <v>9</v>
      </c>
      <c r="B31" t="s">
        <v>57</v>
      </c>
      <c r="C31">
        <v>30</v>
      </c>
      <c r="D31">
        <v>7</v>
      </c>
      <c r="E31">
        <v>4</v>
      </c>
      <c r="F31" s="5">
        <f>IFERROR(ROUND(AVERAGEIFS(Weekly_Data!$F:$F,Weekly_Data!$A:$A,"Cheves",Weekly_Data!$C:$C,$C31),0),"")</f>
        <v>50</v>
      </c>
      <c r="G31" s="5">
        <f>IFERROR(ROUND(AVERAGEIFS(Weekly_Data!$G:$G,Weekly_Data!$A:$A,"Cheves",Weekly_Data!$C:$C,$C31),0),"")</f>
        <v>17</v>
      </c>
      <c r="I31">
        <f>SUMIFS(Weekly_Data!$I:$I,Weekly_Data!$A:$A,"Cheves",Weekly_Data!$C:$C,$C31)</f>
        <v>1</v>
      </c>
      <c r="J31">
        <f>SUMIFS(Weekly_Data!$J:$J,Weekly_Data!$A:$A,"Cheves",Weekly_Data!$C:$C,$C31)</f>
        <v>0</v>
      </c>
    </row>
    <row r="32" spans="1:10" ht="15" customHeight="1">
      <c r="A32" t="s">
        <v>9</v>
      </c>
      <c r="B32" t="s">
        <v>57</v>
      </c>
      <c r="C32">
        <v>31</v>
      </c>
      <c r="D32">
        <v>8</v>
      </c>
      <c r="E32">
        <v>1</v>
      </c>
      <c r="F32" s="5">
        <f>IFERROR(ROUND(AVERAGEIFS(Weekly_Data!$F:$F,Weekly_Data!$A:$A,"Cheves",Weekly_Data!$C:$C,$C32),0),"")</f>
        <v>50</v>
      </c>
      <c r="G32" s="5">
        <f>IFERROR(ROUND(AVERAGEIFS(Weekly_Data!$G:$G,Weekly_Data!$A:$A,"Cheves",Weekly_Data!$C:$C,$C32),0),"")</f>
        <v>17</v>
      </c>
      <c r="I32">
        <f>SUMIFS(Weekly_Data!$I:$I,Weekly_Data!$A:$A,"Cheves",Weekly_Data!$C:$C,$C32)</f>
        <v>1</v>
      </c>
      <c r="J32">
        <f>SUMIFS(Weekly_Data!$J:$J,Weekly_Data!$A:$A,"Cheves",Weekly_Data!$C:$C,$C32)</f>
        <v>0</v>
      </c>
    </row>
    <row r="33" spans="1:10" ht="15" customHeight="1">
      <c r="A33" t="s">
        <v>9</v>
      </c>
      <c r="B33" t="s">
        <v>57</v>
      </c>
      <c r="C33">
        <v>32</v>
      </c>
      <c r="D33">
        <v>8</v>
      </c>
      <c r="E33">
        <v>2</v>
      </c>
      <c r="F33" s="5">
        <f>IFERROR(ROUND(AVERAGEIFS(Weekly_Data!$F:$F,Weekly_Data!$A:$A,"Cheves",Weekly_Data!$C:$C,$C33),0),"")</f>
        <v>50</v>
      </c>
      <c r="G33" s="5">
        <f>IFERROR(ROUND(AVERAGEIFS(Weekly_Data!$G:$G,Weekly_Data!$A:$A,"Cheves",Weekly_Data!$C:$C,$C33),0),"")</f>
        <v>17</v>
      </c>
      <c r="I33">
        <f>SUMIFS(Weekly_Data!$I:$I,Weekly_Data!$A:$A,"Cheves",Weekly_Data!$C:$C,$C33)</f>
        <v>1</v>
      </c>
      <c r="J33">
        <f>SUMIFS(Weekly_Data!$J:$J,Weekly_Data!$A:$A,"Cheves",Weekly_Data!$C:$C,$C33)</f>
        <v>0</v>
      </c>
    </row>
    <row r="34" spans="1:10" ht="15" customHeight="1">
      <c r="A34" t="s">
        <v>9</v>
      </c>
      <c r="B34" t="s">
        <v>57</v>
      </c>
      <c r="C34">
        <v>33</v>
      </c>
      <c r="D34">
        <v>8</v>
      </c>
      <c r="E34">
        <v>3</v>
      </c>
      <c r="F34" s="5">
        <f>IFERROR(ROUND(AVERAGEIFS(Weekly_Data!$F:$F,Weekly_Data!$A:$A,"Cheves",Weekly_Data!$C:$C,$C34),0),"")</f>
        <v>50</v>
      </c>
      <c r="G34" s="5">
        <f>IFERROR(ROUND(AVERAGEIFS(Weekly_Data!$G:$G,Weekly_Data!$A:$A,"Cheves",Weekly_Data!$C:$C,$C34),0),"")</f>
        <v>17</v>
      </c>
      <c r="I34">
        <f>SUMIFS(Weekly_Data!$I:$I,Weekly_Data!$A:$A,"Cheves",Weekly_Data!$C:$C,$C34)</f>
        <v>1</v>
      </c>
      <c r="J34">
        <f>SUMIFS(Weekly_Data!$J:$J,Weekly_Data!$A:$A,"Cheves",Weekly_Data!$C:$C,$C34)</f>
        <v>0</v>
      </c>
    </row>
    <row r="35" spans="1:10" ht="15" customHeight="1">
      <c r="A35" t="s">
        <v>9</v>
      </c>
      <c r="B35" t="s">
        <v>57</v>
      </c>
      <c r="C35">
        <v>34</v>
      </c>
      <c r="D35">
        <v>8</v>
      </c>
      <c r="E35">
        <v>4</v>
      </c>
      <c r="F35" s="5">
        <f>IFERROR(ROUND(AVERAGEIFS(Weekly_Data!$F:$F,Weekly_Data!$A:$A,"Cheves",Weekly_Data!$C:$C,$C35),0),"")</f>
        <v>50</v>
      </c>
      <c r="G35" s="5">
        <f>IFERROR(ROUND(AVERAGEIFS(Weekly_Data!$G:$G,Weekly_Data!$A:$A,"Cheves",Weekly_Data!$C:$C,$C35),0),"")</f>
        <v>17</v>
      </c>
      <c r="I35">
        <f>SUMIFS(Weekly_Data!$I:$I,Weekly_Data!$A:$A,"Cheves",Weekly_Data!$C:$C,$C35)</f>
        <v>1</v>
      </c>
      <c r="J35">
        <f>SUMIFS(Weekly_Data!$J:$J,Weekly_Data!$A:$A,"Cheves",Weekly_Data!$C:$C,$C35)</f>
        <v>0</v>
      </c>
    </row>
    <row r="36" spans="1:10" ht="15" customHeight="1">
      <c r="A36" t="s">
        <v>9</v>
      </c>
      <c r="B36" t="s">
        <v>57</v>
      </c>
      <c r="C36">
        <v>35</v>
      </c>
      <c r="D36">
        <v>8</v>
      </c>
      <c r="E36">
        <v>5</v>
      </c>
      <c r="F36" s="5">
        <f>IFERROR(ROUND(AVERAGEIFS(Weekly_Data!$F:$F,Weekly_Data!$A:$A,"Cheves",Weekly_Data!$C:$C,$C36),0),"")</f>
        <v>50</v>
      </c>
      <c r="G36" s="5">
        <f>IFERROR(ROUND(AVERAGEIFS(Weekly_Data!$G:$G,Weekly_Data!$A:$A,"Cheves",Weekly_Data!$C:$C,$C36),0),"")</f>
        <v>17</v>
      </c>
      <c r="I36">
        <f>SUMIFS(Weekly_Data!$I:$I,Weekly_Data!$A:$A,"Cheves",Weekly_Data!$C:$C,$C36)</f>
        <v>1</v>
      </c>
      <c r="J36">
        <f>SUMIFS(Weekly_Data!$J:$J,Weekly_Data!$A:$A,"Cheves",Weekly_Data!$C:$C,$C36)</f>
        <v>0</v>
      </c>
    </row>
    <row r="37" spans="1:10" ht="15" customHeight="1">
      <c r="A37" t="s">
        <v>9</v>
      </c>
      <c r="B37" t="s">
        <v>57</v>
      </c>
      <c r="C37">
        <v>36</v>
      </c>
      <c r="D37">
        <v>9</v>
      </c>
      <c r="E37">
        <v>1</v>
      </c>
      <c r="F37" s="5">
        <f>IFERROR(ROUND(AVERAGEIFS(Weekly_Data!$F:$F,Weekly_Data!$A:$A,"Cheves",Weekly_Data!$C:$C,$C37),0),"")</f>
        <v>50</v>
      </c>
      <c r="G37" s="5">
        <f>IFERROR(ROUND(AVERAGEIFS(Weekly_Data!$G:$G,Weekly_Data!$A:$A,"Cheves",Weekly_Data!$C:$C,$C37),0),"")</f>
        <v>17</v>
      </c>
      <c r="I37">
        <f>SUMIFS(Weekly_Data!$I:$I,Weekly_Data!$A:$A,"Cheves",Weekly_Data!$C:$C,$C37)</f>
        <v>1</v>
      </c>
      <c r="J37">
        <f>SUMIFS(Weekly_Data!$J:$J,Weekly_Data!$A:$A,"Cheves",Weekly_Data!$C:$C,$C37)</f>
        <v>0</v>
      </c>
    </row>
    <row r="38" spans="1:10" ht="15" customHeight="1">
      <c r="A38" t="s">
        <v>9</v>
      </c>
      <c r="B38" t="s">
        <v>57</v>
      </c>
      <c r="C38">
        <v>37</v>
      </c>
      <c r="D38">
        <v>9</v>
      </c>
      <c r="E38">
        <v>2</v>
      </c>
      <c r="F38" s="5">
        <f>IFERROR(ROUND(AVERAGEIFS(Weekly_Data!$F:$F,Weekly_Data!$A:$A,"Cheves",Weekly_Data!$C:$C,$C38),0),"")</f>
        <v>50</v>
      </c>
      <c r="G38" s="5">
        <f>IFERROR(ROUND(AVERAGEIFS(Weekly_Data!$G:$G,Weekly_Data!$A:$A,"Cheves",Weekly_Data!$C:$C,$C38),0),"")</f>
        <v>17</v>
      </c>
      <c r="I38">
        <f>SUMIFS(Weekly_Data!$I:$I,Weekly_Data!$A:$A,"Cheves",Weekly_Data!$C:$C,$C38)</f>
        <v>1</v>
      </c>
      <c r="J38">
        <f>SUMIFS(Weekly_Data!$J:$J,Weekly_Data!$A:$A,"Cheves",Weekly_Data!$C:$C,$C38)</f>
        <v>0</v>
      </c>
    </row>
    <row r="39" spans="1:10" ht="15" customHeight="1">
      <c r="A39" t="s">
        <v>9</v>
      </c>
      <c r="B39" t="s">
        <v>57</v>
      </c>
      <c r="C39">
        <v>38</v>
      </c>
      <c r="D39">
        <v>9</v>
      </c>
      <c r="E39">
        <v>3</v>
      </c>
      <c r="F39" s="5">
        <f>IFERROR(ROUND(AVERAGEIFS(Weekly_Data!$F:$F,Weekly_Data!$A:$A,"Cheves",Weekly_Data!$C:$C,$C39),0),"")</f>
        <v>50</v>
      </c>
      <c r="G39" s="5">
        <f>IFERROR(ROUND(AVERAGEIFS(Weekly_Data!$G:$G,Weekly_Data!$A:$A,"Cheves",Weekly_Data!$C:$C,$C39),0),"")</f>
        <v>17</v>
      </c>
      <c r="I39">
        <f>SUMIFS(Weekly_Data!$I:$I,Weekly_Data!$A:$A,"Cheves",Weekly_Data!$C:$C,$C39)</f>
        <v>1</v>
      </c>
      <c r="J39">
        <f>SUMIFS(Weekly_Data!$J:$J,Weekly_Data!$A:$A,"Cheves",Weekly_Data!$C:$C,$C39)</f>
        <v>0</v>
      </c>
    </row>
    <row r="40" spans="1:10" ht="15" customHeight="1">
      <c r="A40" t="s">
        <v>9</v>
      </c>
      <c r="B40" t="s">
        <v>57</v>
      </c>
      <c r="C40">
        <v>39</v>
      </c>
      <c r="D40">
        <v>9</v>
      </c>
      <c r="E40">
        <v>4</v>
      </c>
      <c r="F40" s="5">
        <f>IFERROR(ROUND(AVERAGEIFS(Weekly_Data!$F:$F,Weekly_Data!$A:$A,"Cheves",Weekly_Data!$C:$C,$C40),0),"")</f>
        <v>50</v>
      </c>
      <c r="G40" s="5">
        <f>IFERROR(ROUND(AVERAGEIFS(Weekly_Data!$G:$G,Weekly_Data!$A:$A,"Cheves",Weekly_Data!$C:$C,$C40),0),"")</f>
        <v>17</v>
      </c>
      <c r="I40">
        <f>SUMIFS(Weekly_Data!$I:$I,Weekly_Data!$A:$A,"Cheves",Weekly_Data!$C:$C,$C40)</f>
        <v>1</v>
      </c>
      <c r="J40">
        <f>SUMIFS(Weekly_Data!$J:$J,Weekly_Data!$A:$A,"Cheves",Weekly_Data!$C:$C,$C40)</f>
        <v>0</v>
      </c>
    </row>
    <row r="41" spans="1:10" ht="15" customHeight="1">
      <c r="A41" t="s">
        <v>9</v>
      </c>
      <c r="B41" t="s">
        <v>57</v>
      </c>
      <c r="C41">
        <v>40</v>
      </c>
      <c r="D41">
        <v>10</v>
      </c>
      <c r="E41">
        <v>1</v>
      </c>
      <c r="F41" s="5">
        <f>IFERROR(ROUND(AVERAGEIFS(Weekly_Data!$F:$F,Weekly_Data!$A:$A,"Cheves",Weekly_Data!$C:$C,$C41),0),"")</f>
        <v>50</v>
      </c>
      <c r="G41" s="5">
        <f>IFERROR(ROUND(AVERAGEIFS(Weekly_Data!$G:$G,Weekly_Data!$A:$A,"Cheves",Weekly_Data!$C:$C,$C41),0),"")</f>
        <v>17</v>
      </c>
      <c r="I41">
        <f>SUMIFS(Weekly_Data!$I:$I,Weekly_Data!$A:$A,"Cheves",Weekly_Data!$C:$C,$C41)</f>
        <v>1</v>
      </c>
      <c r="J41">
        <f>SUMIFS(Weekly_Data!$J:$J,Weekly_Data!$A:$A,"Cheves",Weekly_Data!$C:$C,$C41)</f>
        <v>0</v>
      </c>
    </row>
    <row r="42" spans="1:10" ht="15" customHeight="1">
      <c r="A42" t="s">
        <v>9</v>
      </c>
      <c r="B42" t="s">
        <v>57</v>
      </c>
      <c r="C42">
        <v>41</v>
      </c>
      <c r="D42">
        <v>10</v>
      </c>
      <c r="E42">
        <v>2</v>
      </c>
      <c r="F42" s="5">
        <f>IFERROR(ROUND(AVERAGEIFS(Weekly_Data!$F:$F,Weekly_Data!$A:$A,"Cheves",Weekly_Data!$C:$C,$C42),0),"")</f>
        <v>50</v>
      </c>
      <c r="G42" s="5">
        <f>IFERROR(ROUND(AVERAGEIFS(Weekly_Data!$G:$G,Weekly_Data!$A:$A,"Cheves",Weekly_Data!$C:$C,$C42),0),"")</f>
        <v>17</v>
      </c>
      <c r="I42">
        <f>SUMIFS(Weekly_Data!$I:$I,Weekly_Data!$A:$A,"Cheves",Weekly_Data!$C:$C,$C42)</f>
        <v>1</v>
      </c>
      <c r="J42">
        <f>SUMIFS(Weekly_Data!$J:$J,Weekly_Data!$A:$A,"Cheves",Weekly_Data!$C:$C,$C42)</f>
        <v>0</v>
      </c>
    </row>
    <row r="43" spans="1:10" ht="15" customHeight="1">
      <c r="A43" t="s">
        <v>9</v>
      </c>
      <c r="B43" t="s">
        <v>57</v>
      </c>
      <c r="C43">
        <v>42</v>
      </c>
      <c r="D43">
        <v>10</v>
      </c>
      <c r="E43">
        <v>3</v>
      </c>
      <c r="F43" s="5">
        <f>IFERROR(ROUND(AVERAGEIFS(Weekly_Data!$F:$F,Weekly_Data!$A:$A,"Cheves",Weekly_Data!$C:$C,$C43),0),"")</f>
        <v>50</v>
      </c>
      <c r="G43" s="5">
        <f>IFERROR(ROUND(AVERAGEIFS(Weekly_Data!$G:$G,Weekly_Data!$A:$A,"Cheves",Weekly_Data!$C:$C,$C43),0),"")</f>
        <v>17</v>
      </c>
      <c r="I43">
        <f>SUMIFS(Weekly_Data!$I:$I,Weekly_Data!$A:$A,"Cheves",Weekly_Data!$C:$C,$C43)</f>
        <v>1</v>
      </c>
      <c r="J43">
        <f>SUMIFS(Weekly_Data!$J:$J,Weekly_Data!$A:$A,"Cheves",Weekly_Data!$C:$C,$C43)</f>
        <v>0</v>
      </c>
    </row>
    <row r="44" spans="1:10" ht="15" customHeight="1">
      <c r="A44" t="s">
        <v>9</v>
      </c>
      <c r="B44" t="s">
        <v>57</v>
      </c>
      <c r="C44">
        <v>43</v>
      </c>
      <c r="D44">
        <v>10</v>
      </c>
      <c r="E44">
        <v>4</v>
      </c>
      <c r="F44" s="5">
        <f>IFERROR(ROUND(AVERAGEIFS(Weekly_Data!$F:$F,Weekly_Data!$A:$A,"Cheves",Weekly_Data!$C:$C,$C44),0),"")</f>
        <v>50</v>
      </c>
      <c r="G44" s="5">
        <f>IFERROR(ROUND(AVERAGEIFS(Weekly_Data!$G:$G,Weekly_Data!$A:$A,"Cheves",Weekly_Data!$C:$C,$C44),0),"")</f>
        <v>17</v>
      </c>
      <c r="I44">
        <f>SUMIFS(Weekly_Data!$I:$I,Weekly_Data!$A:$A,"Cheves",Weekly_Data!$C:$C,$C44)</f>
        <v>1</v>
      </c>
      <c r="J44">
        <f>SUMIFS(Weekly_Data!$J:$J,Weekly_Data!$A:$A,"Cheves",Weekly_Data!$C:$C,$C44)</f>
        <v>0</v>
      </c>
    </row>
    <row r="45" spans="1:10" ht="15" customHeight="1">
      <c r="A45" t="s">
        <v>9</v>
      </c>
      <c r="B45" t="s">
        <v>57</v>
      </c>
      <c r="C45">
        <v>44</v>
      </c>
      <c r="D45">
        <v>10</v>
      </c>
      <c r="E45">
        <v>5</v>
      </c>
      <c r="F45" s="5">
        <f>IFERROR(ROUND(AVERAGEIFS(Weekly_Data!$F:$F,Weekly_Data!$A:$A,"Cheves",Weekly_Data!$C:$C,$C45),0),"")</f>
        <v>50</v>
      </c>
      <c r="G45" s="5">
        <f>IFERROR(ROUND(AVERAGEIFS(Weekly_Data!$G:$G,Weekly_Data!$A:$A,"Cheves",Weekly_Data!$C:$C,$C45),0),"")</f>
        <v>17</v>
      </c>
      <c r="I45">
        <f>SUMIFS(Weekly_Data!$I:$I,Weekly_Data!$A:$A,"Cheves",Weekly_Data!$C:$C,$C45)</f>
        <v>1</v>
      </c>
      <c r="J45">
        <f>SUMIFS(Weekly_Data!$J:$J,Weekly_Data!$A:$A,"Cheves",Weekly_Data!$C:$C,$C45)</f>
        <v>0</v>
      </c>
    </row>
    <row r="46" spans="1:10" ht="15" customHeight="1">
      <c r="A46" t="s">
        <v>9</v>
      </c>
      <c r="B46" t="s">
        <v>57</v>
      </c>
      <c r="C46">
        <v>45</v>
      </c>
      <c r="D46">
        <v>11</v>
      </c>
      <c r="E46">
        <v>1</v>
      </c>
      <c r="F46" s="5">
        <f>IFERROR(ROUND(AVERAGEIFS(Weekly_Data!$F:$F,Weekly_Data!$A:$A,"Cheves",Weekly_Data!$C:$C,$C46),0),"")</f>
        <v>50</v>
      </c>
      <c r="G46" s="5">
        <f>IFERROR(ROUND(AVERAGEIFS(Weekly_Data!$G:$G,Weekly_Data!$A:$A,"Cheves",Weekly_Data!$C:$C,$C46),0),"")</f>
        <v>17</v>
      </c>
      <c r="I46">
        <f>SUMIFS(Weekly_Data!$I:$I,Weekly_Data!$A:$A,"Cheves",Weekly_Data!$C:$C,$C46)</f>
        <v>1</v>
      </c>
      <c r="J46">
        <f>SUMIFS(Weekly_Data!$J:$J,Weekly_Data!$A:$A,"Cheves",Weekly_Data!$C:$C,$C46)</f>
        <v>0</v>
      </c>
    </row>
    <row r="47" spans="1:10" ht="15" customHeight="1">
      <c r="A47" t="s">
        <v>9</v>
      </c>
      <c r="B47" t="s">
        <v>57</v>
      </c>
      <c r="C47">
        <v>46</v>
      </c>
      <c r="D47">
        <v>11</v>
      </c>
      <c r="E47">
        <v>2</v>
      </c>
      <c r="F47" s="5">
        <f>IFERROR(ROUND(AVERAGEIFS(Weekly_Data!$F:$F,Weekly_Data!$A:$A,"Cheves",Weekly_Data!$C:$C,$C47),0),"")</f>
        <v>50</v>
      </c>
      <c r="G47" s="5">
        <f>IFERROR(ROUND(AVERAGEIFS(Weekly_Data!$G:$G,Weekly_Data!$A:$A,"Cheves",Weekly_Data!$C:$C,$C47),0),"")</f>
        <v>17</v>
      </c>
      <c r="I47">
        <f>SUMIFS(Weekly_Data!$I:$I,Weekly_Data!$A:$A,"Cheves",Weekly_Data!$C:$C,$C47)</f>
        <v>1</v>
      </c>
      <c r="J47">
        <f>SUMIFS(Weekly_Data!$J:$J,Weekly_Data!$A:$A,"Cheves",Weekly_Data!$C:$C,$C47)</f>
        <v>0</v>
      </c>
    </row>
    <row r="48" spans="1:10" ht="15" customHeight="1">
      <c r="A48" t="s">
        <v>9</v>
      </c>
      <c r="B48" t="s">
        <v>57</v>
      </c>
      <c r="C48">
        <v>47</v>
      </c>
      <c r="D48">
        <v>11</v>
      </c>
      <c r="E48">
        <v>3</v>
      </c>
      <c r="F48" s="5">
        <f>IFERROR(ROUND(AVERAGEIFS(Weekly_Data!$F:$F,Weekly_Data!$A:$A,"Cheves",Weekly_Data!$C:$C,$C48),0),"")</f>
        <v>50</v>
      </c>
      <c r="G48" s="5">
        <f>IFERROR(ROUND(AVERAGEIFS(Weekly_Data!$G:$G,Weekly_Data!$A:$A,"Cheves",Weekly_Data!$C:$C,$C48),0),"")</f>
        <v>17</v>
      </c>
      <c r="I48">
        <f>SUMIFS(Weekly_Data!$I:$I,Weekly_Data!$A:$A,"Cheves",Weekly_Data!$C:$C,$C48)</f>
        <v>1</v>
      </c>
      <c r="J48">
        <f>SUMIFS(Weekly_Data!$J:$J,Weekly_Data!$A:$A,"Cheves",Weekly_Data!$C:$C,$C48)</f>
        <v>0</v>
      </c>
    </row>
    <row r="49" spans="1:10" ht="15" customHeight="1">
      <c r="A49" t="s">
        <v>9</v>
      </c>
      <c r="B49" t="s">
        <v>57</v>
      </c>
      <c r="C49">
        <v>48</v>
      </c>
      <c r="D49">
        <v>11</v>
      </c>
      <c r="E49">
        <v>4</v>
      </c>
      <c r="F49" s="5">
        <f>IFERROR(ROUND(AVERAGEIFS(Weekly_Data!$F:$F,Weekly_Data!$A:$A,"Cheves",Weekly_Data!$C:$C,$C49),0),"")</f>
        <v>50</v>
      </c>
      <c r="G49" s="5">
        <f>IFERROR(ROUND(AVERAGEIFS(Weekly_Data!$G:$G,Weekly_Data!$A:$A,"Cheves",Weekly_Data!$C:$C,$C49),0),"")</f>
        <v>17</v>
      </c>
      <c r="I49">
        <f>SUMIFS(Weekly_Data!$I:$I,Weekly_Data!$A:$A,"Cheves",Weekly_Data!$C:$C,$C49)</f>
        <v>1</v>
      </c>
      <c r="J49">
        <f>SUMIFS(Weekly_Data!$J:$J,Weekly_Data!$A:$A,"Cheves",Weekly_Data!$C:$C,$C49)</f>
        <v>0</v>
      </c>
    </row>
    <row r="50" spans="1:10" ht="15" customHeight="1">
      <c r="A50" t="s">
        <v>9</v>
      </c>
      <c r="B50" t="s">
        <v>57</v>
      </c>
      <c r="C50">
        <v>49</v>
      </c>
      <c r="D50">
        <v>12</v>
      </c>
      <c r="E50">
        <v>1</v>
      </c>
      <c r="F50" s="5">
        <f>IFERROR(ROUND(AVERAGEIFS(Weekly_Data!$F:$F,Weekly_Data!$A:$A,"Cheves",Weekly_Data!$C:$C,$C50),0),"")</f>
        <v>50</v>
      </c>
      <c r="G50" s="5">
        <f>IFERROR(ROUND(AVERAGEIFS(Weekly_Data!$G:$G,Weekly_Data!$A:$A,"Cheves",Weekly_Data!$C:$C,$C50),0),"")</f>
        <v>17</v>
      </c>
      <c r="I50">
        <f>SUMIFS(Weekly_Data!$I:$I,Weekly_Data!$A:$A,"Cheves",Weekly_Data!$C:$C,$C50)</f>
        <v>1</v>
      </c>
      <c r="J50">
        <f>SUMIFS(Weekly_Data!$J:$J,Weekly_Data!$A:$A,"Cheves",Weekly_Data!$C:$C,$C50)</f>
        <v>0</v>
      </c>
    </row>
    <row r="51" spans="1:10" ht="15" customHeight="1">
      <c r="A51" t="s">
        <v>9</v>
      </c>
      <c r="B51" t="s">
        <v>57</v>
      </c>
      <c r="C51">
        <v>50</v>
      </c>
      <c r="D51">
        <v>12</v>
      </c>
      <c r="E51">
        <v>2</v>
      </c>
      <c r="F51" s="5">
        <f>IFERROR(ROUND(AVERAGEIFS(Weekly_Data!$F:$F,Weekly_Data!$A:$A,"Cheves",Weekly_Data!$C:$C,$C51),0),"")</f>
        <v>50</v>
      </c>
      <c r="G51" s="5">
        <f>IFERROR(ROUND(AVERAGEIFS(Weekly_Data!$G:$G,Weekly_Data!$A:$A,"Cheves",Weekly_Data!$C:$C,$C51),0),"")</f>
        <v>17</v>
      </c>
      <c r="I51">
        <f>SUMIFS(Weekly_Data!$I:$I,Weekly_Data!$A:$A,"Cheves",Weekly_Data!$C:$C,$C51)</f>
        <v>1</v>
      </c>
      <c r="J51">
        <f>SUMIFS(Weekly_Data!$J:$J,Weekly_Data!$A:$A,"Cheves",Weekly_Data!$C:$C,$C51)</f>
        <v>0</v>
      </c>
    </row>
    <row r="52" spans="1:10" ht="15" customHeight="1">
      <c r="A52" t="s">
        <v>9</v>
      </c>
      <c r="B52" t="s">
        <v>57</v>
      </c>
      <c r="C52">
        <v>51</v>
      </c>
      <c r="D52">
        <v>12</v>
      </c>
      <c r="E52">
        <v>3</v>
      </c>
      <c r="F52" s="5">
        <f>IFERROR(ROUND(AVERAGEIFS(Weekly_Data!$F:$F,Weekly_Data!$A:$A,"Cheves",Weekly_Data!$C:$C,$C52),0),"")</f>
        <v>50</v>
      </c>
      <c r="G52" s="5">
        <f>IFERROR(ROUND(AVERAGEIFS(Weekly_Data!$G:$G,Weekly_Data!$A:$A,"Cheves",Weekly_Data!$C:$C,$C52),0),"")</f>
        <v>17</v>
      </c>
      <c r="I52">
        <f>SUMIFS(Weekly_Data!$I:$I,Weekly_Data!$A:$A,"Cheves",Weekly_Data!$C:$C,$C52)</f>
        <v>1</v>
      </c>
      <c r="J52">
        <f>SUMIFS(Weekly_Data!$J:$J,Weekly_Data!$A:$A,"Cheves",Weekly_Data!$C:$C,$C52)</f>
        <v>0</v>
      </c>
    </row>
    <row r="53" spans="1:10" ht="15" customHeight="1">
      <c r="A53" t="s">
        <v>9</v>
      </c>
      <c r="B53" t="s">
        <v>57</v>
      </c>
      <c r="C53">
        <v>52</v>
      </c>
      <c r="D53">
        <v>12</v>
      </c>
      <c r="E53">
        <v>4</v>
      </c>
      <c r="F53" s="5">
        <f>IFERROR(ROUND(AVERAGEIFS(Weekly_Data!$F:$F,Weekly_Data!$A:$A,"Cheves",Weekly_Data!$C:$C,$C53),0),"")</f>
        <v>50</v>
      </c>
      <c r="G53" s="5">
        <f>IFERROR(ROUND(AVERAGEIFS(Weekly_Data!$G:$G,Weekly_Data!$A:$A,"Cheves",Weekly_Data!$C:$C,$C53),0),"")</f>
        <v>17</v>
      </c>
      <c r="I53">
        <f>SUMIFS(Weekly_Data!$I:$I,Weekly_Data!$A:$A,"Cheves",Weekly_Data!$C:$C,$C53)</f>
        <v>1</v>
      </c>
      <c r="J53">
        <f>SUMIFS(Weekly_Data!$J:$J,Weekly_Data!$A:$A,"Cheves",Weekly_Data!$C:$C,$C53)</f>
        <v>0</v>
      </c>
    </row>
    <row r="54" spans="1:10" ht="15" customHeight="1">
      <c r="A54" t="s">
        <v>9</v>
      </c>
      <c r="B54" t="s">
        <v>63</v>
      </c>
      <c r="C54">
        <v>1</v>
      </c>
      <c r="D54">
        <v>1</v>
      </c>
      <c r="E54">
        <v>1</v>
      </c>
      <c r="F54" s="5" t="str">
        <f>IFERROR(ROUND(AVERAGEIFS(Weekly_Data!$F:$F,Weekly_Data!$A:$A,"Rollout",Weekly_Data!$C:$C,$C54),0),"")</f>
        <v/>
      </c>
      <c r="G54" s="5" t="str">
        <f>IFERROR(ROUND(AVERAGEIFS(Weekly_Data!$G:$G,Weekly_Data!$A:$A,"Rollout",Weekly_Data!$C:$C,$C54),0),"")</f>
        <v/>
      </c>
      <c r="H54" t="s">
        <v>92</v>
      </c>
      <c r="I54">
        <f>SUMIFS(Weekly_Data!$I:$I,Weekly_Data!$A:$A,"Rollout",Weekly_Data!$C:$C,$C54)</f>
        <v>0</v>
      </c>
      <c r="J54">
        <f>SUMIFS(Weekly_Data!$J:$J,Weekly_Data!$A:$A,"Rollout",Weekly_Data!$C:$C,$C54)</f>
        <v>0</v>
      </c>
    </row>
    <row r="55" spans="1:10" ht="15" customHeight="1">
      <c r="A55" t="s">
        <v>9</v>
      </c>
      <c r="B55" t="s">
        <v>63</v>
      </c>
      <c r="C55">
        <v>2</v>
      </c>
      <c r="D55">
        <v>1</v>
      </c>
      <c r="E55">
        <v>2</v>
      </c>
      <c r="F55" s="5" t="str">
        <f>IFERROR(ROUND(AVERAGEIFS(Weekly_Data!$F:$F,Weekly_Data!$A:$A,"Rollout",Weekly_Data!$C:$C,$C55),0),"")</f>
        <v/>
      </c>
      <c r="G55" s="5" t="str">
        <f>IFERROR(ROUND(AVERAGEIFS(Weekly_Data!$G:$G,Weekly_Data!$A:$A,"Rollout",Weekly_Data!$C:$C,$C55),0),"")</f>
        <v/>
      </c>
      <c r="H55" t="s">
        <v>92</v>
      </c>
      <c r="I55">
        <f>SUMIFS(Weekly_Data!$I:$I,Weekly_Data!$A:$A,"Rollout",Weekly_Data!$C:$C,$C55)</f>
        <v>0</v>
      </c>
      <c r="J55">
        <f>SUMIFS(Weekly_Data!$J:$J,Weekly_Data!$A:$A,"Rollout",Weekly_Data!$C:$C,$C55)</f>
        <v>0</v>
      </c>
    </row>
    <row r="56" spans="1:10" ht="15" customHeight="1">
      <c r="A56" t="s">
        <v>9</v>
      </c>
      <c r="B56" t="s">
        <v>63</v>
      </c>
      <c r="C56">
        <v>3</v>
      </c>
      <c r="D56">
        <v>1</v>
      </c>
      <c r="E56">
        <v>3</v>
      </c>
      <c r="F56" s="5" t="str">
        <f>IFERROR(ROUND(AVERAGEIFS(Weekly_Data!$F:$F,Weekly_Data!$A:$A,"Rollout",Weekly_Data!$C:$C,$C56),0),"")</f>
        <v/>
      </c>
      <c r="G56" s="5" t="str">
        <f>IFERROR(ROUND(AVERAGEIFS(Weekly_Data!$G:$G,Weekly_Data!$A:$A,"Rollout",Weekly_Data!$C:$C,$C56),0),"")</f>
        <v/>
      </c>
      <c r="H56" t="s">
        <v>92</v>
      </c>
      <c r="I56">
        <f>SUMIFS(Weekly_Data!$I:$I,Weekly_Data!$A:$A,"Rollout",Weekly_Data!$C:$C,$C56)</f>
        <v>0</v>
      </c>
      <c r="J56">
        <f>SUMIFS(Weekly_Data!$J:$J,Weekly_Data!$A:$A,"Rollout",Weekly_Data!$C:$C,$C56)</f>
        <v>0</v>
      </c>
    </row>
    <row r="57" spans="1:10" ht="15" customHeight="1">
      <c r="A57" t="s">
        <v>9</v>
      </c>
      <c r="B57" t="s">
        <v>63</v>
      </c>
      <c r="C57">
        <v>4</v>
      </c>
      <c r="D57">
        <v>1</v>
      </c>
      <c r="E57">
        <v>4</v>
      </c>
      <c r="F57" s="5" t="str">
        <f>IFERROR(ROUND(AVERAGEIFS(Weekly_Data!$F:$F,Weekly_Data!$A:$A,"Rollout",Weekly_Data!$C:$C,$C57),0),"")</f>
        <v/>
      </c>
      <c r="G57" s="5" t="str">
        <f>IFERROR(ROUND(AVERAGEIFS(Weekly_Data!$G:$G,Weekly_Data!$A:$A,"Rollout",Weekly_Data!$C:$C,$C57),0),"")</f>
        <v/>
      </c>
      <c r="H57" t="s">
        <v>92</v>
      </c>
      <c r="I57">
        <f>SUMIFS(Weekly_Data!$I:$I,Weekly_Data!$A:$A,"Rollout",Weekly_Data!$C:$C,$C57)</f>
        <v>0</v>
      </c>
      <c r="J57">
        <f>SUMIFS(Weekly_Data!$J:$J,Weekly_Data!$A:$A,"Rollout",Weekly_Data!$C:$C,$C57)</f>
        <v>0</v>
      </c>
    </row>
    <row r="58" spans="1:10" ht="15" customHeight="1">
      <c r="A58" t="s">
        <v>9</v>
      </c>
      <c r="B58" t="s">
        <v>63</v>
      </c>
      <c r="C58">
        <v>5</v>
      </c>
      <c r="D58">
        <v>1</v>
      </c>
      <c r="E58">
        <v>5</v>
      </c>
      <c r="F58" s="5" t="str">
        <f>IFERROR(ROUND(AVERAGEIFS(Weekly_Data!$F:$F,Weekly_Data!$A:$A,"Rollout",Weekly_Data!$C:$C,$C58),0),"")</f>
        <v/>
      </c>
      <c r="G58" s="5" t="str">
        <f>IFERROR(ROUND(AVERAGEIFS(Weekly_Data!$G:$G,Weekly_Data!$A:$A,"Rollout",Weekly_Data!$C:$C,$C58),0),"")</f>
        <v/>
      </c>
      <c r="H58" t="s">
        <v>92</v>
      </c>
      <c r="I58">
        <f>SUMIFS(Weekly_Data!$I:$I,Weekly_Data!$A:$A,"Rollout",Weekly_Data!$C:$C,$C58)</f>
        <v>0</v>
      </c>
      <c r="J58">
        <f>SUMIFS(Weekly_Data!$J:$J,Weekly_Data!$A:$A,"Rollout",Weekly_Data!$C:$C,$C58)</f>
        <v>0</v>
      </c>
    </row>
    <row r="59" spans="1:10" ht="15" customHeight="1">
      <c r="A59" t="s">
        <v>9</v>
      </c>
      <c r="B59" t="s">
        <v>63</v>
      </c>
      <c r="C59">
        <v>6</v>
      </c>
      <c r="D59">
        <v>2</v>
      </c>
      <c r="E59">
        <v>1</v>
      </c>
      <c r="F59" s="5" t="str">
        <f>IFERROR(ROUND(AVERAGEIFS(Weekly_Data!$F:$F,Weekly_Data!$A:$A,"Rollout",Weekly_Data!$C:$C,$C59),0),"")</f>
        <v/>
      </c>
      <c r="G59" s="5" t="str">
        <f>IFERROR(ROUND(AVERAGEIFS(Weekly_Data!$G:$G,Weekly_Data!$A:$A,"Rollout",Weekly_Data!$C:$C,$C59),0),"")</f>
        <v/>
      </c>
      <c r="H59" t="s">
        <v>92</v>
      </c>
      <c r="I59">
        <f>SUMIFS(Weekly_Data!$I:$I,Weekly_Data!$A:$A,"Rollout",Weekly_Data!$C:$C,$C59)</f>
        <v>0</v>
      </c>
      <c r="J59">
        <f>SUMIFS(Weekly_Data!$J:$J,Weekly_Data!$A:$A,"Rollout",Weekly_Data!$C:$C,$C59)</f>
        <v>0</v>
      </c>
    </row>
    <row r="60" spans="1:10" ht="15" customHeight="1">
      <c r="A60" t="s">
        <v>9</v>
      </c>
      <c r="B60" t="s">
        <v>63</v>
      </c>
      <c r="C60">
        <v>7</v>
      </c>
      <c r="D60">
        <v>2</v>
      </c>
      <c r="E60">
        <v>2</v>
      </c>
      <c r="F60" s="5" t="str">
        <f>IFERROR(ROUND(AVERAGEIFS(Weekly_Data!$F:$F,Weekly_Data!$A:$A,"Rollout",Weekly_Data!$C:$C,$C60),0),"")</f>
        <v/>
      </c>
      <c r="G60" s="5" t="str">
        <f>IFERROR(ROUND(AVERAGEIFS(Weekly_Data!$G:$G,Weekly_Data!$A:$A,"Rollout",Weekly_Data!$C:$C,$C60),0),"")</f>
        <v/>
      </c>
      <c r="H60" t="s">
        <v>92</v>
      </c>
      <c r="I60">
        <f>SUMIFS(Weekly_Data!$I:$I,Weekly_Data!$A:$A,"Rollout",Weekly_Data!$C:$C,$C60)</f>
        <v>0</v>
      </c>
      <c r="J60">
        <f>SUMIFS(Weekly_Data!$J:$J,Weekly_Data!$A:$A,"Rollout",Weekly_Data!$C:$C,$C60)</f>
        <v>0</v>
      </c>
    </row>
    <row r="61" spans="1:10" ht="15" customHeight="1">
      <c r="A61" t="s">
        <v>9</v>
      </c>
      <c r="B61" t="s">
        <v>63</v>
      </c>
      <c r="C61">
        <v>8</v>
      </c>
      <c r="D61">
        <v>2</v>
      </c>
      <c r="E61">
        <v>3</v>
      </c>
      <c r="F61" s="5" t="str">
        <f>IFERROR(ROUND(AVERAGEIFS(Weekly_Data!$F:$F,Weekly_Data!$A:$A,"Rollout",Weekly_Data!$C:$C,$C61),0),"")</f>
        <v/>
      </c>
      <c r="G61" s="5" t="str">
        <f>IFERROR(ROUND(AVERAGEIFS(Weekly_Data!$G:$G,Weekly_Data!$A:$A,"Rollout",Weekly_Data!$C:$C,$C61),0),"")</f>
        <v/>
      </c>
      <c r="H61" t="s">
        <v>92</v>
      </c>
      <c r="I61">
        <f>SUMIFS(Weekly_Data!$I:$I,Weekly_Data!$A:$A,"Rollout",Weekly_Data!$C:$C,$C61)</f>
        <v>0</v>
      </c>
      <c r="J61">
        <f>SUMIFS(Weekly_Data!$J:$J,Weekly_Data!$A:$A,"Rollout",Weekly_Data!$C:$C,$C61)</f>
        <v>0</v>
      </c>
    </row>
    <row r="62" spans="1:10" ht="15" customHeight="1">
      <c r="A62" t="s">
        <v>9</v>
      </c>
      <c r="B62" t="s">
        <v>63</v>
      </c>
      <c r="C62">
        <v>9</v>
      </c>
      <c r="D62">
        <v>2</v>
      </c>
      <c r="E62">
        <v>4</v>
      </c>
      <c r="F62" s="5" t="str">
        <f>IFERROR(ROUND(AVERAGEIFS(Weekly_Data!$F:$F,Weekly_Data!$A:$A,"Rollout",Weekly_Data!$C:$C,$C62),0),"")</f>
        <v/>
      </c>
      <c r="G62" s="5" t="str">
        <f>IFERROR(ROUND(AVERAGEIFS(Weekly_Data!$G:$G,Weekly_Data!$A:$A,"Rollout",Weekly_Data!$C:$C,$C62),0),"")</f>
        <v/>
      </c>
      <c r="H62" t="s">
        <v>92</v>
      </c>
      <c r="I62">
        <f>SUMIFS(Weekly_Data!$I:$I,Weekly_Data!$A:$A,"Rollout",Weekly_Data!$C:$C,$C62)</f>
        <v>0</v>
      </c>
      <c r="J62">
        <f>SUMIFS(Weekly_Data!$J:$J,Weekly_Data!$A:$A,"Rollout",Weekly_Data!$C:$C,$C62)</f>
        <v>0</v>
      </c>
    </row>
    <row r="63" spans="1:10" ht="15" customHeight="1">
      <c r="A63" t="s">
        <v>9</v>
      </c>
      <c r="B63" t="s">
        <v>63</v>
      </c>
      <c r="C63">
        <v>10</v>
      </c>
      <c r="D63">
        <v>3</v>
      </c>
      <c r="E63">
        <v>1</v>
      </c>
      <c r="F63" s="5" t="str">
        <f>IFERROR(ROUND(AVERAGEIFS(Weekly_Data!$F:$F,Weekly_Data!$A:$A,"Rollout",Weekly_Data!$C:$C,$C63),0),"")</f>
        <v/>
      </c>
      <c r="G63" s="5" t="str">
        <f>IFERROR(ROUND(AVERAGEIFS(Weekly_Data!$G:$G,Weekly_Data!$A:$A,"Rollout",Weekly_Data!$C:$C,$C63),0),"")</f>
        <v/>
      </c>
      <c r="H63" t="s">
        <v>92</v>
      </c>
      <c r="I63">
        <f>SUMIFS(Weekly_Data!$I:$I,Weekly_Data!$A:$A,"Rollout",Weekly_Data!$C:$C,$C63)</f>
        <v>0</v>
      </c>
      <c r="J63">
        <f>SUMIFS(Weekly_Data!$J:$J,Weekly_Data!$A:$A,"Rollout",Weekly_Data!$C:$C,$C63)</f>
        <v>0</v>
      </c>
    </row>
    <row r="64" spans="1:10" ht="15" customHeight="1">
      <c r="A64" t="s">
        <v>9</v>
      </c>
      <c r="B64" t="s">
        <v>63</v>
      </c>
      <c r="C64">
        <v>11</v>
      </c>
      <c r="D64">
        <v>3</v>
      </c>
      <c r="E64">
        <v>2</v>
      </c>
      <c r="F64" s="5" t="str">
        <f>IFERROR(ROUND(AVERAGEIFS(Weekly_Data!$F:$F,Weekly_Data!$A:$A,"Rollout",Weekly_Data!$C:$C,$C64),0),"")</f>
        <v/>
      </c>
      <c r="G64" s="5" t="str">
        <f>IFERROR(ROUND(AVERAGEIFS(Weekly_Data!$G:$G,Weekly_Data!$A:$A,"Rollout",Weekly_Data!$C:$C,$C64),0),"")</f>
        <v/>
      </c>
      <c r="H64" t="s">
        <v>92</v>
      </c>
      <c r="I64">
        <f>SUMIFS(Weekly_Data!$I:$I,Weekly_Data!$A:$A,"Rollout",Weekly_Data!$C:$C,$C64)</f>
        <v>0</v>
      </c>
      <c r="J64">
        <f>SUMIFS(Weekly_Data!$J:$J,Weekly_Data!$A:$A,"Rollout",Weekly_Data!$C:$C,$C64)</f>
        <v>0</v>
      </c>
    </row>
    <row r="65" spans="1:10" ht="15" customHeight="1">
      <c r="A65" t="s">
        <v>9</v>
      </c>
      <c r="B65" t="s">
        <v>63</v>
      </c>
      <c r="C65">
        <v>12</v>
      </c>
      <c r="D65">
        <v>3</v>
      </c>
      <c r="E65">
        <v>3</v>
      </c>
      <c r="F65" s="5" t="str">
        <f>IFERROR(ROUND(AVERAGEIFS(Weekly_Data!$F:$F,Weekly_Data!$A:$A,"Rollout",Weekly_Data!$C:$C,$C65),0),"")</f>
        <v/>
      </c>
      <c r="G65" s="5" t="str">
        <f>IFERROR(ROUND(AVERAGEIFS(Weekly_Data!$G:$G,Weekly_Data!$A:$A,"Rollout",Weekly_Data!$C:$C,$C65),0),"")</f>
        <v/>
      </c>
      <c r="H65" t="s">
        <v>92</v>
      </c>
      <c r="I65">
        <f>SUMIFS(Weekly_Data!$I:$I,Weekly_Data!$A:$A,"Rollout",Weekly_Data!$C:$C,$C65)</f>
        <v>0</v>
      </c>
      <c r="J65">
        <f>SUMIFS(Weekly_Data!$J:$J,Weekly_Data!$A:$A,"Rollout",Weekly_Data!$C:$C,$C65)</f>
        <v>0</v>
      </c>
    </row>
    <row r="66" spans="1:10" ht="15" customHeight="1">
      <c r="A66" t="s">
        <v>9</v>
      </c>
      <c r="B66" t="s">
        <v>63</v>
      </c>
      <c r="C66">
        <v>13</v>
      </c>
      <c r="D66">
        <v>3</v>
      </c>
      <c r="E66">
        <v>4</v>
      </c>
      <c r="F66" s="5" t="str">
        <f>IFERROR(ROUND(AVERAGEIFS(Weekly_Data!$F:$F,Weekly_Data!$A:$A,"Rollout",Weekly_Data!$C:$C,$C66),0),"")</f>
        <v/>
      </c>
      <c r="G66" s="5" t="str">
        <f>IFERROR(ROUND(AVERAGEIFS(Weekly_Data!$G:$G,Weekly_Data!$A:$A,"Rollout",Weekly_Data!$C:$C,$C66),0),"")</f>
        <v/>
      </c>
      <c r="H66" t="s">
        <v>92</v>
      </c>
      <c r="I66">
        <f>SUMIFS(Weekly_Data!$I:$I,Weekly_Data!$A:$A,"Rollout",Weekly_Data!$C:$C,$C66)</f>
        <v>0</v>
      </c>
      <c r="J66">
        <f>SUMIFS(Weekly_Data!$J:$J,Weekly_Data!$A:$A,"Rollout",Weekly_Data!$C:$C,$C66)</f>
        <v>0</v>
      </c>
    </row>
    <row r="67" spans="1:10" ht="15" customHeight="1">
      <c r="A67" t="s">
        <v>9</v>
      </c>
      <c r="B67" t="s">
        <v>63</v>
      </c>
      <c r="C67">
        <v>14</v>
      </c>
      <c r="D67">
        <v>4</v>
      </c>
      <c r="E67">
        <v>1</v>
      </c>
      <c r="F67" s="5" t="str">
        <f>IFERROR(ROUND(AVERAGEIFS(Weekly_Data!$F:$F,Weekly_Data!$A:$A,"Rollout",Weekly_Data!$C:$C,$C67),0),"")</f>
        <v/>
      </c>
      <c r="G67" s="5" t="str">
        <f>IFERROR(ROUND(AVERAGEIFS(Weekly_Data!$G:$G,Weekly_Data!$A:$A,"Rollout",Weekly_Data!$C:$C,$C67),0),"")</f>
        <v/>
      </c>
      <c r="H67" t="s">
        <v>92</v>
      </c>
      <c r="I67">
        <f>SUMIFS(Weekly_Data!$I:$I,Weekly_Data!$A:$A,"Rollout",Weekly_Data!$C:$C,$C67)</f>
        <v>0</v>
      </c>
      <c r="J67">
        <f>SUMIFS(Weekly_Data!$J:$J,Weekly_Data!$A:$A,"Rollout",Weekly_Data!$C:$C,$C67)</f>
        <v>0</v>
      </c>
    </row>
    <row r="68" spans="1:10" ht="15" customHeight="1">
      <c r="A68" t="s">
        <v>9</v>
      </c>
      <c r="B68" t="s">
        <v>63</v>
      </c>
      <c r="C68">
        <v>15</v>
      </c>
      <c r="D68">
        <v>4</v>
      </c>
      <c r="E68">
        <v>2</v>
      </c>
      <c r="F68" s="5" t="str">
        <f>IFERROR(ROUND(AVERAGEIFS(Weekly_Data!$F:$F,Weekly_Data!$A:$A,"Rollout",Weekly_Data!$C:$C,$C68),0),"")</f>
        <v/>
      </c>
      <c r="G68" s="5" t="str">
        <f>IFERROR(ROUND(AVERAGEIFS(Weekly_Data!$G:$G,Weekly_Data!$A:$A,"Rollout",Weekly_Data!$C:$C,$C68),0),"")</f>
        <v/>
      </c>
      <c r="H68" t="s">
        <v>92</v>
      </c>
      <c r="I68">
        <f>SUMIFS(Weekly_Data!$I:$I,Weekly_Data!$A:$A,"Rollout",Weekly_Data!$C:$C,$C68)</f>
        <v>0</v>
      </c>
      <c r="J68">
        <f>SUMIFS(Weekly_Data!$J:$J,Weekly_Data!$A:$A,"Rollout",Weekly_Data!$C:$C,$C68)</f>
        <v>0</v>
      </c>
    </row>
    <row r="69" spans="1:10" ht="15" customHeight="1">
      <c r="A69" t="s">
        <v>9</v>
      </c>
      <c r="B69" t="s">
        <v>63</v>
      </c>
      <c r="C69">
        <v>16</v>
      </c>
      <c r="D69">
        <v>4</v>
      </c>
      <c r="E69">
        <v>3</v>
      </c>
      <c r="F69" s="5" t="str">
        <f>IFERROR(ROUND(AVERAGEIFS(Weekly_Data!$F:$F,Weekly_Data!$A:$A,"Rollout",Weekly_Data!$C:$C,$C69),0),"")</f>
        <v/>
      </c>
      <c r="G69" s="5" t="str">
        <f>IFERROR(ROUND(AVERAGEIFS(Weekly_Data!$G:$G,Weekly_Data!$A:$A,"Rollout",Weekly_Data!$C:$C,$C69),0),"")</f>
        <v/>
      </c>
      <c r="H69" t="s">
        <v>92</v>
      </c>
      <c r="I69">
        <f>SUMIFS(Weekly_Data!$I:$I,Weekly_Data!$A:$A,"Rollout",Weekly_Data!$C:$C,$C69)</f>
        <v>0</v>
      </c>
      <c r="J69">
        <f>SUMIFS(Weekly_Data!$J:$J,Weekly_Data!$A:$A,"Rollout",Weekly_Data!$C:$C,$C69)</f>
        <v>0</v>
      </c>
    </row>
    <row r="70" spans="1:10" ht="15" customHeight="1">
      <c r="A70" t="s">
        <v>9</v>
      </c>
      <c r="B70" t="s">
        <v>63</v>
      </c>
      <c r="C70">
        <v>17</v>
      </c>
      <c r="D70">
        <v>4</v>
      </c>
      <c r="E70">
        <v>4</v>
      </c>
      <c r="F70" s="5" t="str">
        <f>IFERROR(ROUND(AVERAGEIFS(Weekly_Data!$F:$F,Weekly_Data!$A:$A,"Rollout",Weekly_Data!$C:$C,$C70),0),"")</f>
        <v/>
      </c>
      <c r="G70" s="5" t="str">
        <f>IFERROR(ROUND(AVERAGEIFS(Weekly_Data!$G:$G,Weekly_Data!$A:$A,"Rollout",Weekly_Data!$C:$C,$C70),0),"")</f>
        <v/>
      </c>
      <c r="H70" t="s">
        <v>92</v>
      </c>
      <c r="I70">
        <f>SUMIFS(Weekly_Data!$I:$I,Weekly_Data!$A:$A,"Rollout",Weekly_Data!$C:$C,$C70)</f>
        <v>0</v>
      </c>
      <c r="J70">
        <f>SUMIFS(Weekly_Data!$J:$J,Weekly_Data!$A:$A,"Rollout",Weekly_Data!$C:$C,$C70)</f>
        <v>0</v>
      </c>
    </row>
    <row r="71" spans="1:10" ht="15" customHeight="1">
      <c r="A71" t="s">
        <v>9</v>
      </c>
      <c r="B71" t="s">
        <v>63</v>
      </c>
      <c r="C71">
        <v>18</v>
      </c>
      <c r="D71">
        <v>5</v>
      </c>
      <c r="E71">
        <v>1</v>
      </c>
      <c r="F71" s="5" t="str">
        <f>IFERROR(ROUND(AVERAGEIFS(Weekly_Data!$F:$F,Weekly_Data!$A:$A,"Rollout",Weekly_Data!$C:$C,$C71),0),"")</f>
        <v/>
      </c>
      <c r="G71" s="5" t="str">
        <f>IFERROR(ROUND(AVERAGEIFS(Weekly_Data!$G:$G,Weekly_Data!$A:$A,"Rollout",Weekly_Data!$C:$C,$C71),0),"")</f>
        <v/>
      </c>
      <c r="H71" t="s">
        <v>92</v>
      </c>
      <c r="I71">
        <f>SUMIFS(Weekly_Data!$I:$I,Weekly_Data!$A:$A,"Rollout",Weekly_Data!$C:$C,$C71)</f>
        <v>0</v>
      </c>
      <c r="J71">
        <f>SUMIFS(Weekly_Data!$J:$J,Weekly_Data!$A:$A,"Rollout",Weekly_Data!$C:$C,$C71)</f>
        <v>0</v>
      </c>
    </row>
    <row r="72" spans="1:10" ht="15" customHeight="1">
      <c r="A72" t="s">
        <v>9</v>
      </c>
      <c r="B72" t="s">
        <v>63</v>
      </c>
      <c r="C72">
        <v>19</v>
      </c>
      <c r="D72">
        <v>5</v>
      </c>
      <c r="E72">
        <v>2</v>
      </c>
      <c r="F72" s="5" t="str">
        <f>IFERROR(ROUND(AVERAGEIFS(Weekly_Data!$F:$F,Weekly_Data!$A:$A,"Rollout",Weekly_Data!$C:$C,$C72),0),"")</f>
        <v/>
      </c>
      <c r="G72" s="5" t="str">
        <f>IFERROR(ROUND(AVERAGEIFS(Weekly_Data!$G:$G,Weekly_Data!$A:$A,"Rollout",Weekly_Data!$C:$C,$C72),0),"")</f>
        <v/>
      </c>
      <c r="H72" t="s">
        <v>92</v>
      </c>
      <c r="I72">
        <f>SUMIFS(Weekly_Data!$I:$I,Weekly_Data!$A:$A,"Rollout",Weekly_Data!$C:$C,$C72)</f>
        <v>0</v>
      </c>
      <c r="J72">
        <f>SUMIFS(Weekly_Data!$J:$J,Weekly_Data!$A:$A,"Rollout",Weekly_Data!$C:$C,$C72)</f>
        <v>0</v>
      </c>
    </row>
    <row r="73" spans="1:10" ht="15" customHeight="1">
      <c r="A73" t="s">
        <v>9</v>
      </c>
      <c r="B73" t="s">
        <v>63</v>
      </c>
      <c r="C73">
        <v>20</v>
      </c>
      <c r="D73">
        <v>5</v>
      </c>
      <c r="E73">
        <v>3</v>
      </c>
      <c r="F73" s="5" t="str">
        <f>IFERROR(ROUND(AVERAGEIFS(Weekly_Data!$F:$F,Weekly_Data!$A:$A,"Rollout",Weekly_Data!$C:$C,$C73),0),"")</f>
        <v/>
      </c>
      <c r="G73" s="5" t="str">
        <f>IFERROR(ROUND(AVERAGEIFS(Weekly_Data!$G:$G,Weekly_Data!$A:$A,"Rollout",Weekly_Data!$C:$C,$C73),0),"")</f>
        <v/>
      </c>
      <c r="H73" t="s">
        <v>92</v>
      </c>
      <c r="I73">
        <f>SUMIFS(Weekly_Data!$I:$I,Weekly_Data!$A:$A,"Rollout",Weekly_Data!$C:$C,$C73)</f>
        <v>0</v>
      </c>
      <c r="J73">
        <f>SUMIFS(Weekly_Data!$J:$J,Weekly_Data!$A:$A,"Rollout",Weekly_Data!$C:$C,$C73)</f>
        <v>0</v>
      </c>
    </row>
    <row r="74" spans="1:10" ht="15" customHeight="1">
      <c r="A74" t="s">
        <v>9</v>
      </c>
      <c r="B74" t="s">
        <v>63</v>
      </c>
      <c r="C74">
        <v>21</v>
      </c>
      <c r="D74">
        <v>5</v>
      </c>
      <c r="E74">
        <v>4</v>
      </c>
      <c r="F74" s="5" t="str">
        <f>IFERROR(ROUND(AVERAGEIFS(Weekly_Data!$F:$F,Weekly_Data!$A:$A,"Rollout",Weekly_Data!$C:$C,$C74),0),"")</f>
        <v/>
      </c>
      <c r="G74" s="5" t="str">
        <f>IFERROR(ROUND(AVERAGEIFS(Weekly_Data!$G:$G,Weekly_Data!$A:$A,"Rollout",Weekly_Data!$C:$C,$C74),0),"")</f>
        <v/>
      </c>
      <c r="H74" t="s">
        <v>92</v>
      </c>
      <c r="I74">
        <f>SUMIFS(Weekly_Data!$I:$I,Weekly_Data!$A:$A,"Rollout",Weekly_Data!$C:$C,$C74)</f>
        <v>0</v>
      </c>
      <c r="J74">
        <f>SUMIFS(Weekly_Data!$J:$J,Weekly_Data!$A:$A,"Rollout",Weekly_Data!$C:$C,$C74)</f>
        <v>0</v>
      </c>
    </row>
    <row r="75" spans="1:10" ht="15" customHeight="1">
      <c r="A75" t="s">
        <v>9</v>
      </c>
      <c r="B75" t="s">
        <v>63</v>
      </c>
      <c r="C75">
        <v>22</v>
      </c>
      <c r="D75">
        <v>5</v>
      </c>
      <c r="E75">
        <v>5</v>
      </c>
      <c r="F75" s="5" t="str">
        <f>IFERROR(ROUND(AVERAGEIFS(Weekly_Data!$F:$F,Weekly_Data!$A:$A,"Rollout",Weekly_Data!$C:$C,$C75),0),"")</f>
        <v/>
      </c>
      <c r="G75" s="5" t="str">
        <f>IFERROR(ROUND(AVERAGEIFS(Weekly_Data!$G:$G,Weekly_Data!$A:$A,"Rollout",Weekly_Data!$C:$C,$C75),0),"")</f>
        <v/>
      </c>
      <c r="H75" t="s">
        <v>92</v>
      </c>
      <c r="I75">
        <f>SUMIFS(Weekly_Data!$I:$I,Weekly_Data!$A:$A,"Rollout",Weekly_Data!$C:$C,$C75)</f>
        <v>0</v>
      </c>
      <c r="J75">
        <f>SUMIFS(Weekly_Data!$J:$J,Weekly_Data!$A:$A,"Rollout",Weekly_Data!$C:$C,$C75)</f>
        <v>0</v>
      </c>
    </row>
    <row r="76" spans="1:10" ht="15" customHeight="1">
      <c r="A76" t="s">
        <v>9</v>
      </c>
      <c r="B76" t="s">
        <v>63</v>
      </c>
      <c r="C76">
        <v>23</v>
      </c>
      <c r="D76">
        <v>6</v>
      </c>
      <c r="E76">
        <v>1</v>
      </c>
      <c r="F76" s="5" t="str">
        <f>IFERROR(ROUND(AVERAGEIFS(Weekly_Data!$F:$F,Weekly_Data!$A:$A,"Rollout",Weekly_Data!$C:$C,$C76),0),"")</f>
        <v/>
      </c>
      <c r="G76" s="5" t="str">
        <f>IFERROR(ROUND(AVERAGEIFS(Weekly_Data!$G:$G,Weekly_Data!$A:$A,"Rollout",Weekly_Data!$C:$C,$C76),0),"")</f>
        <v/>
      </c>
      <c r="H76" t="s">
        <v>92</v>
      </c>
      <c r="I76">
        <f>SUMIFS(Weekly_Data!$I:$I,Weekly_Data!$A:$A,"Rollout",Weekly_Data!$C:$C,$C76)</f>
        <v>0</v>
      </c>
      <c r="J76">
        <f>SUMIFS(Weekly_Data!$J:$J,Weekly_Data!$A:$A,"Rollout",Weekly_Data!$C:$C,$C76)</f>
        <v>0</v>
      </c>
    </row>
    <row r="77" spans="1:10" ht="15" customHeight="1">
      <c r="A77" t="s">
        <v>9</v>
      </c>
      <c r="B77" t="s">
        <v>63</v>
      </c>
      <c r="C77">
        <v>24</v>
      </c>
      <c r="D77">
        <v>6</v>
      </c>
      <c r="E77">
        <v>2</v>
      </c>
      <c r="F77" s="5" t="str">
        <f>IFERROR(ROUND(AVERAGEIFS(Weekly_Data!$F:$F,Weekly_Data!$A:$A,"Rollout",Weekly_Data!$C:$C,$C77),0),"")</f>
        <v/>
      </c>
      <c r="G77" s="5" t="str">
        <f>IFERROR(ROUND(AVERAGEIFS(Weekly_Data!$G:$G,Weekly_Data!$A:$A,"Rollout",Weekly_Data!$C:$C,$C77),0),"")</f>
        <v/>
      </c>
      <c r="H77" t="s">
        <v>92</v>
      </c>
      <c r="I77">
        <f>SUMIFS(Weekly_Data!$I:$I,Weekly_Data!$A:$A,"Rollout",Weekly_Data!$C:$C,$C77)</f>
        <v>0</v>
      </c>
      <c r="J77">
        <f>SUMIFS(Weekly_Data!$J:$J,Weekly_Data!$A:$A,"Rollout",Weekly_Data!$C:$C,$C77)</f>
        <v>0</v>
      </c>
    </row>
    <row r="78" spans="1:10" ht="15" customHeight="1">
      <c r="A78" t="s">
        <v>9</v>
      </c>
      <c r="B78" t="s">
        <v>63</v>
      </c>
      <c r="C78">
        <v>25</v>
      </c>
      <c r="D78">
        <v>6</v>
      </c>
      <c r="E78">
        <v>3</v>
      </c>
      <c r="F78" s="5" t="str">
        <f>IFERROR(ROUND(AVERAGEIFS(Weekly_Data!$F:$F,Weekly_Data!$A:$A,"Rollout",Weekly_Data!$C:$C,$C78),0),"")</f>
        <v/>
      </c>
      <c r="G78" s="5" t="str">
        <f>IFERROR(ROUND(AVERAGEIFS(Weekly_Data!$G:$G,Weekly_Data!$A:$A,"Rollout",Weekly_Data!$C:$C,$C78),0),"")</f>
        <v/>
      </c>
      <c r="I78">
        <f>SUMIFS(Weekly_Data!$I:$I,Weekly_Data!$A:$A,"Rollout",Weekly_Data!$C:$C,$C78)</f>
        <v>0</v>
      </c>
      <c r="J78">
        <f>SUMIFS(Weekly_Data!$J:$J,Weekly_Data!$A:$A,"Rollout",Weekly_Data!$C:$C,$C78)</f>
        <v>0</v>
      </c>
    </row>
    <row r="79" spans="1:10" ht="15" customHeight="1">
      <c r="A79" t="s">
        <v>9</v>
      </c>
      <c r="B79" t="s">
        <v>63</v>
      </c>
      <c r="C79">
        <v>26</v>
      </c>
      <c r="D79">
        <v>6</v>
      </c>
      <c r="E79">
        <v>4</v>
      </c>
      <c r="F79" s="5" t="str">
        <f>IFERROR(ROUND(AVERAGEIFS(Weekly_Data!$F:$F,Weekly_Data!$A:$A,"Rollout",Weekly_Data!$C:$C,$C79),0),"")</f>
        <v/>
      </c>
      <c r="G79" s="5" t="str">
        <f>IFERROR(ROUND(AVERAGEIFS(Weekly_Data!$G:$G,Weekly_Data!$A:$A,"Rollout",Weekly_Data!$C:$C,$C79),0),"")</f>
        <v/>
      </c>
      <c r="I79">
        <f>SUMIFS(Weekly_Data!$I:$I,Weekly_Data!$A:$A,"Rollout",Weekly_Data!$C:$C,$C79)</f>
        <v>0</v>
      </c>
      <c r="J79">
        <f>SUMIFS(Weekly_Data!$J:$J,Weekly_Data!$A:$A,"Rollout",Weekly_Data!$C:$C,$C79)</f>
        <v>0</v>
      </c>
    </row>
    <row r="80" spans="1:10" ht="15" customHeight="1">
      <c r="A80" t="s">
        <v>9</v>
      </c>
      <c r="B80" t="s">
        <v>63</v>
      </c>
      <c r="C80">
        <v>27</v>
      </c>
      <c r="D80">
        <v>7</v>
      </c>
      <c r="E80">
        <v>1</v>
      </c>
      <c r="F80" s="5" t="str">
        <f>IFERROR(ROUND(AVERAGEIFS(Weekly_Data!$F:$F,Weekly_Data!$A:$A,"Rollout",Weekly_Data!$C:$C,$C80),0),"")</f>
        <v/>
      </c>
      <c r="G80" s="5" t="str">
        <f>IFERROR(ROUND(AVERAGEIFS(Weekly_Data!$G:$G,Weekly_Data!$A:$A,"Rollout",Weekly_Data!$C:$C,$C80),0),"")</f>
        <v/>
      </c>
      <c r="I80">
        <f>SUMIFS(Weekly_Data!$I:$I,Weekly_Data!$A:$A,"Rollout",Weekly_Data!$C:$C,$C80)</f>
        <v>0</v>
      </c>
      <c r="J80">
        <f>SUMIFS(Weekly_Data!$J:$J,Weekly_Data!$A:$A,"Rollout",Weekly_Data!$C:$C,$C80)</f>
        <v>0</v>
      </c>
    </row>
    <row r="81" spans="1:10" ht="15" customHeight="1">
      <c r="A81" t="s">
        <v>9</v>
      </c>
      <c r="B81" t="s">
        <v>63</v>
      </c>
      <c r="C81">
        <v>28</v>
      </c>
      <c r="D81">
        <v>7</v>
      </c>
      <c r="E81">
        <v>2</v>
      </c>
      <c r="F81" s="5" t="str">
        <f>IFERROR(ROUND(AVERAGEIFS(Weekly_Data!$F:$F,Weekly_Data!$A:$A,"Rollout",Weekly_Data!$C:$C,$C81),0),"")</f>
        <v/>
      </c>
      <c r="G81" s="5" t="str">
        <f>IFERROR(ROUND(AVERAGEIFS(Weekly_Data!$G:$G,Weekly_Data!$A:$A,"Rollout",Weekly_Data!$C:$C,$C81),0),"")</f>
        <v/>
      </c>
      <c r="I81">
        <f>SUMIFS(Weekly_Data!$I:$I,Weekly_Data!$A:$A,"Rollout",Weekly_Data!$C:$C,$C81)</f>
        <v>0</v>
      </c>
      <c r="J81">
        <f>SUMIFS(Weekly_Data!$J:$J,Weekly_Data!$A:$A,"Rollout",Weekly_Data!$C:$C,$C81)</f>
        <v>0</v>
      </c>
    </row>
    <row r="82" spans="1:10" ht="15" customHeight="1">
      <c r="A82" t="s">
        <v>9</v>
      </c>
      <c r="B82" t="s">
        <v>63</v>
      </c>
      <c r="C82">
        <v>29</v>
      </c>
      <c r="D82">
        <v>7</v>
      </c>
      <c r="E82">
        <v>3</v>
      </c>
      <c r="F82" s="5" t="str">
        <f>IFERROR(ROUND(AVERAGEIFS(Weekly_Data!$F:$F,Weekly_Data!$A:$A,"Rollout",Weekly_Data!$C:$C,$C82),0),"")</f>
        <v/>
      </c>
      <c r="G82" s="5" t="str">
        <f>IFERROR(ROUND(AVERAGEIFS(Weekly_Data!$G:$G,Weekly_Data!$A:$A,"Rollout",Weekly_Data!$C:$C,$C82),0),"")</f>
        <v/>
      </c>
      <c r="I82">
        <f>SUMIFS(Weekly_Data!$I:$I,Weekly_Data!$A:$A,"Rollout",Weekly_Data!$C:$C,$C82)</f>
        <v>0</v>
      </c>
      <c r="J82">
        <f>SUMIFS(Weekly_Data!$J:$J,Weekly_Data!$A:$A,"Rollout",Weekly_Data!$C:$C,$C82)</f>
        <v>0</v>
      </c>
    </row>
    <row r="83" spans="1:10" ht="15" customHeight="1">
      <c r="A83" t="s">
        <v>9</v>
      </c>
      <c r="B83" t="s">
        <v>63</v>
      </c>
      <c r="C83">
        <v>30</v>
      </c>
      <c r="D83">
        <v>7</v>
      </c>
      <c r="E83">
        <v>4</v>
      </c>
      <c r="F83" s="5" t="str">
        <f>IFERROR(ROUND(AVERAGEIFS(Weekly_Data!$F:$F,Weekly_Data!$A:$A,"Rollout",Weekly_Data!$C:$C,$C83),0),"")</f>
        <v/>
      </c>
      <c r="G83" s="5" t="str">
        <f>IFERROR(ROUND(AVERAGEIFS(Weekly_Data!$G:$G,Weekly_Data!$A:$A,"Rollout",Weekly_Data!$C:$C,$C83),0),"")</f>
        <v/>
      </c>
      <c r="I83">
        <f>SUMIFS(Weekly_Data!$I:$I,Weekly_Data!$A:$A,"Rollout",Weekly_Data!$C:$C,$C83)</f>
        <v>0</v>
      </c>
      <c r="J83">
        <f>SUMIFS(Weekly_Data!$J:$J,Weekly_Data!$A:$A,"Rollout",Weekly_Data!$C:$C,$C83)</f>
        <v>0</v>
      </c>
    </row>
    <row r="84" spans="1:10" ht="15" customHeight="1">
      <c r="A84" t="s">
        <v>9</v>
      </c>
      <c r="B84" t="s">
        <v>63</v>
      </c>
      <c r="C84">
        <v>31</v>
      </c>
      <c r="D84">
        <v>8</v>
      </c>
      <c r="E84">
        <v>1</v>
      </c>
      <c r="F84" s="5" t="str">
        <f>IFERROR(ROUND(AVERAGEIFS(Weekly_Data!$F:$F,Weekly_Data!$A:$A,"Rollout",Weekly_Data!$C:$C,$C84),0),"")</f>
        <v/>
      </c>
      <c r="G84" s="5" t="str">
        <f>IFERROR(ROUND(AVERAGEIFS(Weekly_Data!$G:$G,Weekly_Data!$A:$A,"Rollout",Weekly_Data!$C:$C,$C84),0),"")</f>
        <v/>
      </c>
      <c r="I84">
        <f>SUMIFS(Weekly_Data!$I:$I,Weekly_Data!$A:$A,"Rollout",Weekly_Data!$C:$C,$C84)</f>
        <v>0</v>
      </c>
      <c r="J84">
        <f>SUMIFS(Weekly_Data!$J:$J,Weekly_Data!$A:$A,"Rollout",Weekly_Data!$C:$C,$C84)</f>
        <v>0</v>
      </c>
    </row>
    <row r="85" spans="1:10" ht="15" customHeight="1">
      <c r="A85" t="s">
        <v>9</v>
      </c>
      <c r="B85" t="s">
        <v>63</v>
      </c>
      <c r="C85">
        <v>32</v>
      </c>
      <c r="D85">
        <v>8</v>
      </c>
      <c r="E85">
        <v>2</v>
      </c>
      <c r="F85" s="5" t="str">
        <f>IFERROR(ROUND(AVERAGEIFS(Weekly_Data!$F:$F,Weekly_Data!$A:$A,"Rollout",Weekly_Data!$C:$C,$C85),0),"")</f>
        <v/>
      </c>
      <c r="G85" s="5" t="str">
        <f>IFERROR(ROUND(AVERAGEIFS(Weekly_Data!$G:$G,Weekly_Data!$A:$A,"Rollout",Weekly_Data!$C:$C,$C85),0),"")</f>
        <v/>
      </c>
      <c r="I85">
        <f>SUMIFS(Weekly_Data!$I:$I,Weekly_Data!$A:$A,"Rollout",Weekly_Data!$C:$C,$C85)</f>
        <v>0</v>
      </c>
      <c r="J85">
        <f>SUMIFS(Weekly_Data!$J:$J,Weekly_Data!$A:$A,"Rollout",Weekly_Data!$C:$C,$C85)</f>
        <v>0</v>
      </c>
    </row>
    <row r="86" spans="1:10" ht="15" customHeight="1">
      <c r="A86" t="s">
        <v>9</v>
      </c>
      <c r="B86" t="s">
        <v>63</v>
      </c>
      <c r="C86">
        <v>33</v>
      </c>
      <c r="D86">
        <v>8</v>
      </c>
      <c r="E86">
        <v>3</v>
      </c>
      <c r="F86" s="5" t="str">
        <f>IFERROR(ROUND(AVERAGEIFS(Weekly_Data!$F:$F,Weekly_Data!$A:$A,"Rollout",Weekly_Data!$C:$C,$C86),0),"")</f>
        <v/>
      </c>
      <c r="G86" s="5" t="str">
        <f>IFERROR(ROUND(AVERAGEIFS(Weekly_Data!$G:$G,Weekly_Data!$A:$A,"Rollout",Weekly_Data!$C:$C,$C86),0),"")</f>
        <v/>
      </c>
      <c r="I86">
        <f>SUMIFS(Weekly_Data!$I:$I,Weekly_Data!$A:$A,"Rollout",Weekly_Data!$C:$C,$C86)</f>
        <v>0</v>
      </c>
      <c r="J86">
        <f>SUMIFS(Weekly_Data!$J:$J,Weekly_Data!$A:$A,"Rollout",Weekly_Data!$C:$C,$C86)</f>
        <v>0</v>
      </c>
    </row>
    <row r="87" spans="1:10" ht="15" customHeight="1">
      <c r="A87" t="s">
        <v>9</v>
      </c>
      <c r="B87" t="s">
        <v>63</v>
      </c>
      <c r="C87">
        <v>34</v>
      </c>
      <c r="D87">
        <v>8</v>
      </c>
      <c r="E87">
        <v>4</v>
      </c>
      <c r="F87" s="5" t="str">
        <f>IFERROR(ROUND(AVERAGEIFS(Weekly_Data!$F:$F,Weekly_Data!$A:$A,"Rollout",Weekly_Data!$C:$C,$C87),0),"")</f>
        <v/>
      </c>
      <c r="G87" s="5" t="str">
        <f>IFERROR(ROUND(AVERAGEIFS(Weekly_Data!$G:$G,Weekly_Data!$A:$A,"Rollout",Weekly_Data!$C:$C,$C87),0),"")</f>
        <v/>
      </c>
      <c r="I87">
        <f>SUMIFS(Weekly_Data!$I:$I,Weekly_Data!$A:$A,"Rollout",Weekly_Data!$C:$C,$C87)</f>
        <v>0</v>
      </c>
      <c r="J87">
        <f>SUMIFS(Weekly_Data!$J:$J,Weekly_Data!$A:$A,"Rollout",Weekly_Data!$C:$C,$C87)</f>
        <v>0</v>
      </c>
    </row>
    <row r="88" spans="1:10" ht="15" customHeight="1">
      <c r="A88" t="s">
        <v>9</v>
      </c>
      <c r="B88" t="s">
        <v>63</v>
      </c>
      <c r="C88">
        <v>35</v>
      </c>
      <c r="D88">
        <v>8</v>
      </c>
      <c r="E88">
        <v>5</v>
      </c>
      <c r="F88" s="5" t="str">
        <f>IFERROR(ROUND(AVERAGEIFS(Weekly_Data!$F:$F,Weekly_Data!$A:$A,"Rollout",Weekly_Data!$C:$C,$C88),0),"")</f>
        <v/>
      </c>
      <c r="G88" s="5" t="str">
        <f>IFERROR(ROUND(AVERAGEIFS(Weekly_Data!$G:$G,Weekly_Data!$A:$A,"Rollout",Weekly_Data!$C:$C,$C88),0),"")</f>
        <v/>
      </c>
      <c r="I88">
        <f>SUMIFS(Weekly_Data!$I:$I,Weekly_Data!$A:$A,"Rollout",Weekly_Data!$C:$C,$C88)</f>
        <v>0</v>
      </c>
      <c r="J88">
        <f>SUMIFS(Weekly_Data!$J:$J,Weekly_Data!$A:$A,"Rollout",Weekly_Data!$C:$C,$C88)</f>
        <v>0</v>
      </c>
    </row>
    <row r="89" spans="1:10" ht="15" customHeight="1">
      <c r="A89" t="s">
        <v>9</v>
      </c>
      <c r="B89" t="s">
        <v>63</v>
      </c>
      <c r="C89">
        <v>36</v>
      </c>
      <c r="D89">
        <v>9</v>
      </c>
      <c r="E89">
        <v>1</v>
      </c>
      <c r="F89" s="5" t="str">
        <f>IFERROR(ROUND(AVERAGEIFS(Weekly_Data!$F:$F,Weekly_Data!$A:$A,"Rollout",Weekly_Data!$C:$C,$C89),0),"")</f>
        <v/>
      </c>
      <c r="G89" s="5" t="str">
        <f>IFERROR(ROUND(AVERAGEIFS(Weekly_Data!$G:$G,Weekly_Data!$A:$A,"Rollout",Weekly_Data!$C:$C,$C89),0),"")</f>
        <v/>
      </c>
      <c r="I89">
        <f>SUMIFS(Weekly_Data!$I:$I,Weekly_Data!$A:$A,"Rollout",Weekly_Data!$C:$C,$C89)</f>
        <v>0</v>
      </c>
      <c r="J89">
        <f>SUMIFS(Weekly_Data!$J:$J,Weekly_Data!$A:$A,"Rollout",Weekly_Data!$C:$C,$C89)</f>
        <v>0</v>
      </c>
    </row>
    <row r="90" spans="1:10" ht="15" customHeight="1">
      <c r="A90" t="s">
        <v>9</v>
      </c>
      <c r="B90" t="s">
        <v>63</v>
      </c>
      <c r="C90">
        <v>37</v>
      </c>
      <c r="D90">
        <v>9</v>
      </c>
      <c r="E90">
        <v>2</v>
      </c>
      <c r="F90" s="5" t="str">
        <f>IFERROR(ROUND(AVERAGEIFS(Weekly_Data!$F:$F,Weekly_Data!$A:$A,"Rollout",Weekly_Data!$C:$C,$C90),0),"")</f>
        <v/>
      </c>
      <c r="G90" s="5" t="str">
        <f>IFERROR(ROUND(AVERAGEIFS(Weekly_Data!$G:$G,Weekly_Data!$A:$A,"Rollout",Weekly_Data!$C:$C,$C90),0),"")</f>
        <v/>
      </c>
      <c r="I90">
        <f>SUMIFS(Weekly_Data!$I:$I,Weekly_Data!$A:$A,"Rollout",Weekly_Data!$C:$C,$C90)</f>
        <v>0</v>
      </c>
      <c r="J90">
        <f>SUMIFS(Weekly_Data!$J:$J,Weekly_Data!$A:$A,"Rollout",Weekly_Data!$C:$C,$C90)</f>
        <v>0</v>
      </c>
    </row>
    <row r="91" spans="1:10" ht="15" customHeight="1">
      <c r="A91" t="s">
        <v>9</v>
      </c>
      <c r="B91" t="s">
        <v>63</v>
      </c>
      <c r="C91">
        <v>38</v>
      </c>
      <c r="D91">
        <v>9</v>
      </c>
      <c r="E91">
        <v>3</v>
      </c>
      <c r="F91" s="5" t="str">
        <f>IFERROR(ROUND(AVERAGEIFS(Weekly_Data!$F:$F,Weekly_Data!$A:$A,"Rollout",Weekly_Data!$C:$C,$C91),0),"")</f>
        <v/>
      </c>
      <c r="G91" s="5" t="str">
        <f>IFERROR(ROUND(AVERAGEIFS(Weekly_Data!$G:$G,Weekly_Data!$A:$A,"Rollout",Weekly_Data!$C:$C,$C91),0),"")</f>
        <v/>
      </c>
      <c r="I91">
        <f>SUMIFS(Weekly_Data!$I:$I,Weekly_Data!$A:$A,"Rollout",Weekly_Data!$C:$C,$C91)</f>
        <v>0</v>
      </c>
      <c r="J91">
        <f>SUMIFS(Weekly_Data!$J:$J,Weekly_Data!$A:$A,"Rollout",Weekly_Data!$C:$C,$C91)</f>
        <v>0</v>
      </c>
    </row>
    <row r="92" spans="1:10" ht="15" customHeight="1">
      <c r="A92" t="s">
        <v>9</v>
      </c>
      <c r="B92" t="s">
        <v>63</v>
      </c>
      <c r="C92">
        <v>39</v>
      </c>
      <c r="D92">
        <v>9</v>
      </c>
      <c r="E92">
        <v>4</v>
      </c>
      <c r="F92" s="5" t="str">
        <f>IFERROR(ROUND(AVERAGEIFS(Weekly_Data!$F:$F,Weekly_Data!$A:$A,"Rollout",Weekly_Data!$C:$C,$C92),0),"")</f>
        <v/>
      </c>
      <c r="G92" s="5" t="str">
        <f>IFERROR(ROUND(AVERAGEIFS(Weekly_Data!$G:$G,Weekly_Data!$A:$A,"Rollout",Weekly_Data!$C:$C,$C92),0),"")</f>
        <v/>
      </c>
      <c r="I92">
        <f>SUMIFS(Weekly_Data!$I:$I,Weekly_Data!$A:$A,"Rollout",Weekly_Data!$C:$C,$C92)</f>
        <v>0</v>
      </c>
      <c r="J92">
        <f>SUMIFS(Weekly_Data!$J:$J,Weekly_Data!$A:$A,"Rollout",Weekly_Data!$C:$C,$C92)</f>
        <v>0</v>
      </c>
    </row>
    <row r="93" spans="1:10" ht="15" customHeight="1">
      <c r="A93" t="s">
        <v>9</v>
      </c>
      <c r="B93" t="s">
        <v>63</v>
      </c>
      <c r="C93">
        <v>40</v>
      </c>
      <c r="D93">
        <v>10</v>
      </c>
      <c r="E93">
        <v>1</v>
      </c>
      <c r="F93" s="5" t="str">
        <f>IFERROR(ROUND(AVERAGEIFS(Weekly_Data!$F:$F,Weekly_Data!$A:$A,"Rollout",Weekly_Data!$C:$C,$C93),0),"")</f>
        <v/>
      </c>
      <c r="G93" s="5" t="str">
        <f>IFERROR(ROUND(AVERAGEIFS(Weekly_Data!$G:$G,Weekly_Data!$A:$A,"Rollout",Weekly_Data!$C:$C,$C93),0),"")</f>
        <v/>
      </c>
      <c r="I93">
        <f>SUMIFS(Weekly_Data!$I:$I,Weekly_Data!$A:$A,"Rollout",Weekly_Data!$C:$C,$C93)</f>
        <v>0</v>
      </c>
      <c r="J93">
        <f>SUMIFS(Weekly_Data!$J:$J,Weekly_Data!$A:$A,"Rollout",Weekly_Data!$C:$C,$C93)</f>
        <v>0</v>
      </c>
    </row>
    <row r="94" spans="1:10" ht="15" customHeight="1">
      <c r="A94" t="s">
        <v>9</v>
      </c>
      <c r="B94" t="s">
        <v>63</v>
      </c>
      <c r="C94">
        <v>41</v>
      </c>
      <c r="D94">
        <v>10</v>
      </c>
      <c r="E94">
        <v>2</v>
      </c>
      <c r="F94" s="5" t="str">
        <f>IFERROR(ROUND(AVERAGEIFS(Weekly_Data!$F:$F,Weekly_Data!$A:$A,"Rollout",Weekly_Data!$C:$C,$C94),0),"")</f>
        <v/>
      </c>
      <c r="G94" s="5" t="str">
        <f>IFERROR(ROUND(AVERAGEIFS(Weekly_Data!$G:$G,Weekly_Data!$A:$A,"Rollout",Weekly_Data!$C:$C,$C94),0),"")</f>
        <v/>
      </c>
      <c r="I94">
        <f>SUMIFS(Weekly_Data!$I:$I,Weekly_Data!$A:$A,"Rollout",Weekly_Data!$C:$C,$C94)</f>
        <v>0</v>
      </c>
      <c r="J94">
        <f>SUMIFS(Weekly_Data!$J:$J,Weekly_Data!$A:$A,"Rollout",Weekly_Data!$C:$C,$C94)</f>
        <v>0</v>
      </c>
    </row>
    <row r="95" spans="1:10" ht="15" customHeight="1">
      <c r="A95" t="s">
        <v>9</v>
      </c>
      <c r="B95" t="s">
        <v>63</v>
      </c>
      <c r="C95">
        <v>42</v>
      </c>
      <c r="D95">
        <v>10</v>
      </c>
      <c r="E95">
        <v>3</v>
      </c>
      <c r="F95" s="5" t="str">
        <f>IFERROR(ROUND(AVERAGEIFS(Weekly_Data!$F:$F,Weekly_Data!$A:$A,"Rollout",Weekly_Data!$C:$C,$C95),0),"")</f>
        <v/>
      </c>
      <c r="G95" s="5" t="str">
        <f>IFERROR(ROUND(AVERAGEIFS(Weekly_Data!$G:$G,Weekly_Data!$A:$A,"Rollout",Weekly_Data!$C:$C,$C95),0),"")</f>
        <v/>
      </c>
      <c r="I95">
        <f>SUMIFS(Weekly_Data!$I:$I,Weekly_Data!$A:$A,"Rollout",Weekly_Data!$C:$C,$C95)</f>
        <v>0</v>
      </c>
      <c r="J95">
        <f>SUMIFS(Weekly_Data!$J:$J,Weekly_Data!$A:$A,"Rollout",Weekly_Data!$C:$C,$C95)</f>
        <v>0</v>
      </c>
    </row>
    <row r="96" spans="1:10" ht="15" customHeight="1">
      <c r="A96" t="s">
        <v>9</v>
      </c>
      <c r="B96" t="s">
        <v>63</v>
      </c>
      <c r="C96">
        <v>43</v>
      </c>
      <c r="D96">
        <v>10</v>
      </c>
      <c r="E96">
        <v>4</v>
      </c>
      <c r="F96" s="5" t="str">
        <f>IFERROR(ROUND(AVERAGEIFS(Weekly_Data!$F:$F,Weekly_Data!$A:$A,"Rollout",Weekly_Data!$C:$C,$C96),0),"")</f>
        <v/>
      </c>
      <c r="G96" s="5" t="str">
        <f>IFERROR(ROUND(AVERAGEIFS(Weekly_Data!$G:$G,Weekly_Data!$A:$A,"Rollout",Weekly_Data!$C:$C,$C96),0),"")</f>
        <v/>
      </c>
      <c r="I96">
        <f>SUMIFS(Weekly_Data!$I:$I,Weekly_Data!$A:$A,"Rollout",Weekly_Data!$C:$C,$C96)</f>
        <v>0</v>
      </c>
      <c r="J96">
        <f>SUMIFS(Weekly_Data!$J:$J,Weekly_Data!$A:$A,"Rollout",Weekly_Data!$C:$C,$C96)</f>
        <v>0</v>
      </c>
    </row>
    <row r="97" spans="1:10" ht="15" customHeight="1">
      <c r="A97" t="s">
        <v>9</v>
      </c>
      <c r="B97" t="s">
        <v>63</v>
      </c>
      <c r="C97">
        <v>44</v>
      </c>
      <c r="D97">
        <v>10</v>
      </c>
      <c r="E97">
        <v>5</v>
      </c>
      <c r="F97" s="5" t="str">
        <f>IFERROR(ROUND(AVERAGEIFS(Weekly_Data!$F:$F,Weekly_Data!$A:$A,"Rollout",Weekly_Data!$C:$C,$C97),0),"")</f>
        <v/>
      </c>
      <c r="G97" s="5" t="str">
        <f>IFERROR(ROUND(AVERAGEIFS(Weekly_Data!$G:$G,Weekly_Data!$A:$A,"Rollout",Weekly_Data!$C:$C,$C97),0),"")</f>
        <v/>
      </c>
      <c r="I97">
        <f>SUMIFS(Weekly_Data!$I:$I,Weekly_Data!$A:$A,"Rollout",Weekly_Data!$C:$C,$C97)</f>
        <v>0</v>
      </c>
      <c r="J97">
        <f>SUMIFS(Weekly_Data!$J:$J,Weekly_Data!$A:$A,"Rollout",Weekly_Data!$C:$C,$C97)</f>
        <v>0</v>
      </c>
    </row>
    <row r="98" spans="1:10" ht="15" customHeight="1">
      <c r="A98" t="s">
        <v>9</v>
      </c>
      <c r="B98" t="s">
        <v>63</v>
      </c>
      <c r="C98">
        <v>45</v>
      </c>
      <c r="D98">
        <v>11</v>
      </c>
      <c r="E98">
        <v>1</v>
      </c>
      <c r="F98" s="5" t="str">
        <f>IFERROR(ROUND(AVERAGEIFS(Weekly_Data!$F:$F,Weekly_Data!$A:$A,"Rollout",Weekly_Data!$C:$C,$C98),0),"")</f>
        <v/>
      </c>
      <c r="G98" s="5" t="str">
        <f>IFERROR(ROUND(AVERAGEIFS(Weekly_Data!$G:$G,Weekly_Data!$A:$A,"Rollout",Weekly_Data!$C:$C,$C98),0),"")</f>
        <v/>
      </c>
      <c r="I98">
        <f>SUMIFS(Weekly_Data!$I:$I,Weekly_Data!$A:$A,"Rollout",Weekly_Data!$C:$C,$C98)</f>
        <v>0</v>
      </c>
      <c r="J98">
        <f>SUMIFS(Weekly_Data!$J:$J,Weekly_Data!$A:$A,"Rollout",Weekly_Data!$C:$C,$C98)</f>
        <v>0</v>
      </c>
    </row>
    <row r="99" spans="1:10" ht="15" customHeight="1">
      <c r="A99" t="s">
        <v>9</v>
      </c>
      <c r="B99" t="s">
        <v>63</v>
      </c>
      <c r="C99">
        <v>46</v>
      </c>
      <c r="D99">
        <v>11</v>
      </c>
      <c r="E99">
        <v>2</v>
      </c>
      <c r="F99" s="5" t="str">
        <f>IFERROR(ROUND(AVERAGEIFS(Weekly_Data!$F:$F,Weekly_Data!$A:$A,"Rollout",Weekly_Data!$C:$C,$C99),0),"")</f>
        <v/>
      </c>
      <c r="G99" s="5" t="str">
        <f>IFERROR(ROUND(AVERAGEIFS(Weekly_Data!$G:$G,Weekly_Data!$A:$A,"Rollout",Weekly_Data!$C:$C,$C99),0),"")</f>
        <v/>
      </c>
      <c r="I99">
        <f>SUMIFS(Weekly_Data!$I:$I,Weekly_Data!$A:$A,"Rollout",Weekly_Data!$C:$C,$C99)</f>
        <v>0</v>
      </c>
      <c r="J99">
        <f>SUMIFS(Weekly_Data!$J:$J,Weekly_Data!$A:$A,"Rollout",Weekly_Data!$C:$C,$C99)</f>
        <v>0</v>
      </c>
    </row>
    <row r="100" spans="1:10" ht="15" customHeight="1">
      <c r="A100" t="s">
        <v>9</v>
      </c>
      <c r="B100" t="s">
        <v>63</v>
      </c>
      <c r="C100">
        <v>47</v>
      </c>
      <c r="D100">
        <v>11</v>
      </c>
      <c r="E100">
        <v>3</v>
      </c>
      <c r="F100" s="5" t="str">
        <f>IFERROR(ROUND(AVERAGEIFS(Weekly_Data!$F:$F,Weekly_Data!$A:$A,"Rollout",Weekly_Data!$C:$C,$C100),0),"")</f>
        <v/>
      </c>
      <c r="G100" s="5" t="str">
        <f>IFERROR(ROUND(AVERAGEIFS(Weekly_Data!$G:$G,Weekly_Data!$A:$A,"Rollout",Weekly_Data!$C:$C,$C100),0),"")</f>
        <v/>
      </c>
      <c r="I100">
        <f>SUMIFS(Weekly_Data!$I:$I,Weekly_Data!$A:$A,"Rollout",Weekly_Data!$C:$C,$C100)</f>
        <v>0</v>
      </c>
      <c r="J100">
        <f>SUMIFS(Weekly_Data!$J:$J,Weekly_Data!$A:$A,"Rollout",Weekly_Data!$C:$C,$C100)</f>
        <v>0</v>
      </c>
    </row>
    <row r="101" spans="1:10" ht="15" customHeight="1">
      <c r="A101" t="s">
        <v>9</v>
      </c>
      <c r="B101" t="s">
        <v>63</v>
      </c>
      <c r="C101">
        <v>48</v>
      </c>
      <c r="D101">
        <v>11</v>
      </c>
      <c r="E101">
        <v>4</v>
      </c>
      <c r="F101" s="5" t="str">
        <f>IFERROR(ROUND(AVERAGEIFS(Weekly_Data!$F:$F,Weekly_Data!$A:$A,"Rollout",Weekly_Data!$C:$C,$C101),0),"")</f>
        <v/>
      </c>
      <c r="G101" s="5" t="str">
        <f>IFERROR(ROUND(AVERAGEIFS(Weekly_Data!$G:$G,Weekly_Data!$A:$A,"Rollout",Weekly_Data!$C:$C,$C101),0),"")</f>
        <v/>
      </c>
      <c r="I101">
        <f>SUMIFS(Weekly_Data!$I:$I,Weekly_Data!$A:$A,"Rollout",Weekly_Data!$C:$C,$C101)</f>
        <v>0</v>
      </c>
      <c r="J101">
        <f>SUMIFS(Weekly_Data!$J:$J,Weekly_Data!$A:$A,"Rollout",Weekly_Data!$C:$C,$C101)</f>
        <v>0</v>
      </c>
    </row>
    <row r="102" spans="1:10" ht="15" customHeight="1">
      <c r="A102" t="s">
        <v>9</v>
      </c>
      <c r="B102" t="s">
        <v>63</v>
      </c>
      <c r="C102">
        <v>49</v>
      </c>
      <c r="D102">
        <v>12</v>
      </c>
      <c r="E102">
        <v>1</v>
      </c>
      <c r="F102" s="5" t="str">
        <f>IFERROR(ROUND(AVERAGEIFS(Weekly_Data!$F:$F,Weekly_Data!$A:$A,"Rollout",Weekly_Data!$C:$C,$C102),0),"")</f>
        <v/>
      </c>
      <c r="G102" s="5" t="str">
        <f>IFERROR(ROUND(AVERAGEIFS(Weekly_Data!$G:$G,Weekly_Data!$A:$A,"Rollout",Weekly_Data!$C:$C,$C102),0),"")</f>
        <v/>
      </c>
      <c r="I102">
        <f>SUMIFS(Weekly_Data!$I:$I,Weekly_Data!$A:$A,"Rollout",Weekly_Data!$C:$C,$C102)</f>
        <v>0</v>
      </c>
      <c r="J102">
        <f>SUMIFS(Weekly_Data!$J:$J,Weekly_Data!$A:$A,"Rollout",Weekly_Data!$C:$C,$C102)</f>
        <v>0</v>
      </c>
    </row>
    <row r="103" spans="1:10" ht="15" customHeight="1">
      <c r="A103" t="s">
        <v>9</v>
      </c>
      <c r="B103" t="s">
        <v>63</v>
      </c>
      <c r="C103">
        <v>50</v>
      </c>
      <c r="D103">
        <v>12</v>
      </c>
      <c r="E103">
        <v>2</v>
      </c>
      <c r="F103" s="5" t="str">
        <f>IFERROR(ROUND(AVERAGEIFS(Weekly_Data!$F:$F,Weekly_Data!$A:$A,"Rollout",Weekly_Data!$C:$C,$C103),0),"")</f>
        <v/>
      </c>
      <c r="G103" s="5" t="str">
        <f>IFERROR(ROUND(AVERAGEIFS(Weekly_Data!$G:$G,Weekly_Data!$A:$A,"Rollout",Weekly_Data!$C:$C,$C103),0),"")</f>
        <v/>
      </c>
      <c r="I103">
        <f>SUMIFS(Weekly_Data!$I:$I,Weekly_Data!$A:$A,"Rollout",Weekly_Data!$C:$C,$C103)</f>
        <v>0</v>
      </c>
      <c r="J103">
        <f>SUMIFS(Weekly_Data!$J:$J,Weekly_Data!$A:$A,"Rollout",Weekly_Data!$C:$C,$C103)</f>
        <v>0</v>
      </c>
    </row>
    <row r="104" spans="1:10" ht="15" customHeight="1">
      <c r="A104" t="s">
        <v>9</v>
      </c>
      <c r="B104" t="s">
        <v>63</v>
      </c>
      <c r="C104">
        <v>51</v>
      </c>
      <c r="D104">
        <v>12</v>
      </c>
      <c r="E104">
        <v>3</v>
      </c>
      <c r="F104" s="5" t="str">
        <f>IFERROR(ROUND(AVERAGEIFS(Weekly_Data!$F:$F,Weekly_Data!$A:$A,"Rollout",Weekly_Data!$C:$C,$C104),0),"")</f>
        <v/>
      </c>
      <c r="G104" s="5" t="str">
        <f>IFERROR(ROUND(AVERAGEIFS(Weekly_Data!$G:$G,Weekly_Data!$A:$A,"Rollout",Weekly_Data!$C:$C,$C104),0),"")</f>
        <v/>
      </c>
      <c r="I104">
        <f>SUMIFS(Weekly_Data!$I:$I,Weekly_Data!$A:$A,"Rollout",Weekly_Data!$C:$C,$C104)</f>
        <v>0</v>
      </c>
      <c r="J104">
        <f>SUMIFS(Weekly_Data!$J:$J,Weekly_Data!$A:$A,"Rollout",Weekly_Data!$C:$C,$C104)</f>
        <v>0</v>
      </c>
    </row>
    <row r="105" spans="1:10" ht="15" customHeight="1">
      <c r="A105" t="s">
        <v>9</v>
      </c>
      <c r="B105" t="s">
        <v>63</v>
      </c>
      <c r="C105">
        <v>52</v>
      </c>
      <c r="D105">
        <v>12</v>
      </c>
      <c r="E105">
        <v>4</v>
      </c>
      <c r="F105" s="5" t="str">
        <f>IFERROR(ROUND(AVERAGEIFS(Weekly_Data!$F:$F,Weekly_Data!$A:$A,"Rollout",Weekly_Data!$C:$C,$C105),0),"")</f>
        <v/>
      </c>
      <c r="G105" s="5" t="str">
        <f>IFERROR(ROUND(AVERAGEIFS(Weekly_Data!$G:$G,Weekly_Data!$A:$A,"Rollout",Weekly_Data!$C:$C,$C105),0),"")</f>
        <v/>
      </c>
      <c r="I105">
        <f>SUMIFS(Weekly_Data!$I:$I,Weekly_Data!$A:$A,"Rollout",Weekly_Data!$C:$C,$C105)</f>
        <v>0</v>
      </c>
      <c r="J105">
        <f>SUMIFS(Weekly_Data!$J:$J,Weekly_Data!$A:$A,"Rollout",Weekly_Data!$C:$C,$C105)</f>
        <v>0</v>
      </c>
    </row>
    <row r="106" spans="1:10" ht="15" customHeight="1">
      <c r="A106" t="s">
        <v>9</v>
      </c>
      <c r="B106" t="s">
        <v>66</v>
      </c>
      <c r="C106">
        <v>1</v>
      </c>
      <c r="D106">
        <v>1</v>
      </c>
      <c r="E106">
        <v>1</v>
      </c>
      <c r="F106" s="5" t="str">
        <f>IFERROR(ROUND(AVERAGEIFS(Weekly_Data!$F:$F,Weekly_Data!$A:$A,"AIAgents",Weekly_Data!$C:$C,$C106),0),"")</f>
        <v/>
      </c>
      <c r="G106" s="5" t="str">
        <f>IFERROR(ROUND(AVERAGEIFS(Weekly_Data!$G:$G,Weekly_Data!$A:$A,"AIAgents",Weekly_Data!$C:$C,$C106),0),"")</f>
        <v/>
      </c>
      <c r="H106" t="s">
        <v>91</v>
      </c>
      <c r="I106">
        <f>SUMIFS(Weekly_Data!$I:$I,Weekly_Data!$A:$A,"AIAgents",Weekly_Data!$C:$C,$C106)</f>
        <v>0</v>
      </c>
      <c r="J106">
        <f>SUMIFS(Weekly_Data!$J:$J,Weekly_Data!$A:$A,"AIAgents",Weekly_Data!$C:$C,$C106)</f>
        <v>0</v>
      </c>
    </row>
    <row r="107" spans="1:10" ht="15" customHeight="1">
      <c r="A107" t="s">
        <v>9</v>
      </c>
      <c r="B107" t="s">
        <v>66</v>
      </c>
      <c r="C107">
        <v>2</v>
      </c>
      <c r="D107">
        <v>1</v>
      </c>
      <c r="E107">
        <v>2</v>
      </c>
      <c r="F107" s="5" t="str">
        <f>IFERROR(ROUND(AVERAGEIFS(Weekly_Data!$F:$F,Weekly_Data!$A:$A,"AIAgents",Weekly_Data!$C:$C,$C107),0),"")</f>
        <v/>
      </c>
      <c r="G107" s="5" t="str">
        <f>IFERROR(ROUND(AVERAGEIFS(Weekly_Data!$G:$G,Weekly_Data!$A:$A,"AIAgents",Weekly_Data!$C:$C,$C107),0),"")</f>
        <v/>
      </c>
      <c r="H107" t="s">
        <v>91</v>
      </c>
      <c r="I107">
        <f>SUMIFS(Weekly_Data!$I:$I,Weekly_Data!$A:$A,"AIAgents",Weekly_Data!$C:$C,$C107)</f>
        <v>0</v>
      </c>
      <c r="J107">
        <f>SUMIFS(Weekly_Data!$J:$J,Weekly_Data!$A:$A,"AIAgents",Weekly_Data!$C:$C,$C107)</f>
        <v>0</v>
      </c>
    </row>
    <row r="108" spans="1:10" ht="15" customHeight="1">
      <c r="A108" t="s">
        <v>9</v>
      </c>
      <c r="B108" t="s">
        <v>66</v>
      </c>
      <c r="C108">
        <v>3</v>
      </c>
      <c r="D108">
        <v>1</v>
      </c>
      <c r="E108">
        <v>3</v>
      </c>
      <c r="F108" s="5" t="str">
        <f>IFERROR(ROUND(AVERAGEIFS(Weekly_Data!$F:$F,Weekly_Data!$A:$A,"AIAgents",Weekly_Data!$C:$C,$C108),0),"")</f>
        <v/>
      </c>
      <c r="G108" s="5" t="str">
        <f>IFERROR(ROUND(AVERAGEIFS(Weekly_Data!$G:$G,Weekly_Data!$A:$A,"AIAgents",Weekly_Data!$C:$C,$C108),0),"")</f>
        <v/>
      </c>
      <c r="H108" t="s">
        <v>91</v>
      </c>
      <c r="I108">
        <f>SUMIFS(Weekly_Data!$I:$I,Weekly_Data!$A:$A,"AIAgents",Weekly_Data!$C:$C,$C108)</f>
        <v>0</v>
      </c>
      <c r="J108">
        <f>SUMIFS(Weekly_Data!$J:$J,Weekly_Data!$A:$A,"AIAgents",Weekly_Data!$C:$C,$C108)</f>
        <v>0</v>
      </c>
    </row>
    <row r="109" spans="1:10" ht="15" customHeight="1">
      <c r="A109" t="s">
        <v>9</v>
      </c>
      <c r="B109" t="s">
        <v>66</v>
      </c>
      <c r="C109">
        <v>4</v>
      </c>
      <c r="D109">
        <v>1</v>
      </c>
      <c r="E109">
        <v>4</v>
      </c>
      <c r="F109" s="5" t="str">
        <f>IFERROR(ROUND(AVERAGEIFS(Weekly_Data!$F:$F,Weekly_Data!$A:$A,"AIAgents",Weekly_Data!$C:$C,$C109),0),"")</f>
        <v/>
      </c>
      <c r="G109" s="5" t="str">
        <f>IFERROR(ROUND(AVERAGEIFS(Weekly_Data!$G:$G,Weekly_Data!$A:$A,"AIAgents",Weekly_Data!$C:$C,$C109),0),"")</f>
        <v/>
      </c>
      <c r="H109" t="s">
        <v>91</v>
      </c>
      <c r="I109">
        <f>SUMIFS(Weekly_Data!$I:$I,Weekly_Data!$A:$A,"AIAgents",Weekly_Data!$C:$C,$C109)</f>
        <v>0</v>
      </c>
      <c r="J109">
        <f>SUMIFS(Weekly_Data!$J:$J,Weekly_Data!$A:$A,"AIAgents",Weekly_Data!$C:$C,$C109)</f>
        <v>0</v>
      </c>
    </row>
    <row r="110" spans="1:10" ht="15" customHeight="1">
      <c r="A110" t="s">
        <v>9</v>
      </c>
      <c r="B110" t="s">
        <v>66</v>
      </c>
      <c r="C110">
        <v>5</v>
      </c>
      <c r="D110">
        <v>1</v>
      </c>
      <c r="E110">
        <v>5</v>
      </c>
      <c r="F110" s="5" t="str">
        <f>IFERROR(ROUND(AVERAGEIFS(Weekly_Data!$F:$F,Weekly_Data!$A:$A,"AIAgents",Weekly_Data!$C:$C,$C110),0),"")</f>
        <v/>
      </c>
      <c r="G110" s="5" t="str">
        <f>IFERROR(ROUND(AVERAGEIFS(Weekly_Data!$G:$G,Weekly_Data!$A:$A,"AIAgents",Weekly_Data!$C:$C,$C110),0),"")</f>
        <v/>
      </c>
      <c r="H110" t="s">
        <v>91</v>
      </c>
      <c r="I110">
        <f>SUMIFS(Weekly_Data!$I:$I,Weekly_Data!$A:$A,"AIAgents",Weekly_Data!$C:$C,$C110)</f>
        <v>0</v>
      </c>
      <c r="J110">
        <f>SUMIFS(Weekly_Data!$J:$J,Weekly_Data!$A:$A,"AIAgents",Weekly_Data!$C:$C,$C110)</f>
        <v>0</v>
      </c>
    </row>
    <row r="111" spans="1:10" ht="15" customHeight="1">
      <c r="A111" t="s">
        <v>9</v>
      </c>
      <c r="B111" t="s">
        <v>66</v>
      </c>
      <c r="C111">
        <v>6</v>
      </c>
      <c r="D111">
        <v>2</v>
      </c>
      <c r="E111">
        <v>1</v>
      </c>
      <c r="F111" s="5" t="str">
        <f>IFERROR(ROUND(AVERAGEIFS(Weekly_Data!$F:$F,Weekly_Data!$A:$A,"AIAgents",Weekly_Data!$C:$C,$C111),0),"")</f>
        <v/>
      </c>
      <c r="G111" s="5" t="str">
        <f>IFERROR(ROUND(AVERAGEIFS(Weekly_Data!$G:$G,Weekly_Data!$A:$A,"AIAgents",Weekly_Data!$C:$C,$C111),0),"")</f>
        <v/>
      </c>
      <c r="H111" t="s">
        <v>91</v>
      </c>
      <c r="I111">
        <f>SUMIFS(Weekly_Data!$I:$I,Weekly_Data!$A:$A,"AIAgents",Weekly_Data!$C:$C,$C111)</f>
        <v>0</v>
      </c>
      <c r="J111">
        <f>SUMIFS(Weekly_Data!$J:$J,Weekly_Data!$A:$A,"AIAgents",Weekly_Data!$C:$C,$C111)</f>
        <v>0</v>
      </c>
    </row>
    <row r="112" spans="1:10" ht="15" customHeight="1">
      <c r="A112" t="s">
        <v>9</v>
      </c>
      <c r="B112" t="s">
        <v>66</v>
      </c>
      <c r="C112">
        <v>7</v>
      </c>
      <c r="D112">
        <v>2</v>
      </c>
      <c r="E112">
        <v>2</v>
      </c>
      <c r="F112" s="5" t="str">
        <f>IFERROR(ROUND(AVERAGEIFS(Weekly_Data!$F:$F,Weekly_Data!$A:$A,"AIAgents",Weekly_Data!$C:$C,$C112),0),"")</f>
        <v/>
      </c>
      <c r="G112" s="5" t="str">
        <f>IFERROR(ROUND(AVERAGEIFS(Weekly_Data!$G:$G,Weekly_Data!$A:$A,"AIAgents",Weekly_Data!$C:$C,$C112),0),"")</f>
        <v/>
      </c>
      <c r="H112" t="s">
        <v>91</v>
      </c>
      <c r="I112">
        <f>SUMIFS(Weekly_Data!$I:$I,Weekly_Data!$A:$A,"AIAgents",Weekly_Data!$C:$C,$C112)</f>
        <v>0</v>
      </c>
      <c r="J112">
        <f>SUMIFS(Weekly_Data!$J:$J,Weekly_Data!$A:$A,"AIAgents",Weekly_Data!$C:$C,$C112)</f>
        <v>0</v>
      </c>
    </row>
    <row r="113" spans="1:10" ht="15" customHeight="1">
      <c r="A113" t="s">
        <v>9</v>
      </c>
      <c r="B113" t="s">
        <v>66</v>
      </c>
      <c r="C113">
        <v>8</v>
      </c>
      <c r="D113">
        <v>2</v>
      </c>
      <c r="E113">
        <v>3</v>
      </c>
      <c r="F113" s="5" t="str">
        <f>IFERROR(ROUND(AVERAGEIFS(Weekly_Data!$F:$F,Weekly_Data!$A:$A,"AIAgents",Weekly_Data!$C:$C,$C113),0),"")</f>
        <v/>
      </c>
      <c r="G113" s="5" t="str">
        <f>IFERROR(ROUND(AVERAGEIFS(Weekly_Data!$G:$G,Weekly_Data!$A:$A,"AIAgents",Weekly_Data!$C:$C,$C113),0),"")</f>
        <v/>
      </c>
      <c r="H113" t="s">
        <v>91</v>
      </c>
      <c r="I113">
        <f>SUMIFS(Weekly_Data!$I:$I,Weekly_Data!$A:$A,"AIAgents",Weekly_Data!$C:$C,$C113)</f>
        <v>0</v>
      </c>
      <c r="J113">
        <f>SUMIFS(Weekly_Data!$J:$J,Weekly_Data!$A:$A,"AIAgents",Weekly_Data!$C:$C,$C113)</f>
        <v>0</v>
      </c>
    </row>
    <row r="114" spans="1:10" ht="15" customHeight="1">
      <c r="A114" t="s">
        <v>9</v>
      </c>
      <c r="B114" t="s">
        <v>66</v>
      </c>
      <c r="C114">
        <v>9</v>
      </c>
      <c r="D114">
        <v>2</v>
      </c>
      <c r="E114">
        <v>4</v>
      </c>
      <c r="F114" s="5" t="str">
        <f>IFERROR(ROUND(AVERAGEIFS(Weekly_Data!$F:$F,Weekly_Data!$A:$A,"AIAgents",Weekly_Data!$C:$C,$C114),0),"")</f>
        <v/>
      </c>
      <c r="G114" s="5" t="str">
        <f>IFERROR(ROUND(AVERAGEIFS(Weekly_Data!$G:$G,Weekly_Data!$A:$A,"AIAgents",Weekly_Data!$C:$C,$C114),0),"")</f>
        <v/>
      </c>
      <c r="H114" t="s">
        <v>91</v>
      </c>
      <c r="I114">
        <f>SUMIFS(Weekly_Data!$I:$I,Weekly_Data!$A:$A,"AIAgents",Weekly_Data!$C:$C,$C114)</f>
        <v>0</v>
      </c>
      <c r="J114">
        <f>SUMIFS(Weekly_Data!$J:$J,Weekly_Data!$A:$A,"AIAgents",Weekly_Data!$C:$C,$C114)</f>
        <v>0</v>
      </c>
    </row>
    <row r="115" spans="1:10" ht="15" customHeight="1">
      <c r="A115" t="s">
        <v>9</v>
      </c>
      <c r="B115" t="s">
        <v>66</v>
      </c>
      <c r="C115">
        <v>10</v>
      </c>
      <c r="D115">
        <v>3</v>
      </c>
      <c r="E115">
        <v>1</v>
      </c>
      <c r="F115" s="5" t="str">
        <f>IFERROR(ROUND(AVERAGEIFS(Weekly_Data!$F:$F,Weekly_Data!$A:$A,"AIAgents",Weekly_Data!$C:$C,$C115),0),"")</f>
        <v/>
      </c>
      <c r="G115" s="5" t="str">
        <f>IFERROR(ROUND(AVERAGEIFS(Weekly_Data!$G:$G,Weekly_Data!$A:$A,"AIAgents",Weekly_Data!$C:$C,$C115),0),"")</f>
        <v/>
      </c>
      <c r="H115" t="s">
        <v>91</v>
      </c>
      <c r="I115">
        <f>SUMIFS(Weekly_Data!$I:$I,Weekly_Data!$A:$A,"AIAgents",Weekly_Data!$C:$C,$C115)</f>
        <v>0</v>
      </c>
      <c r="J115">
        <f>SUMIFS(Weekly_Data!$J:$J,Weekly_Data!$A:$A,"AIAgents",Weekly_Data!$C:$C,$C115)</f>
        <v>0</v>
      </c>
    </row>
    <row r="116" spans="1:10" ht="15" customHeight="1">
      <c r="A116" t="s">
        <v>9</v>
      </c>
      <c r="B116" t="s">
        <v>66</v>
      </c>
      <c r="C116">
        <v>11</v>
      </c>
      <c r="D116">
        <v>3</v>
      </c>
      <c r="E116">
        <v>2</v>
      </c>
      <c r="F116" s="5" t="str">
        <f>IFERROR(ROUND(AVERAGEIFS(Weekly_Data!$F:$F,Weekly_Data!$A:$A,"AIAgents",Weekly_Data!$C:$C,$C116),0),"")</f>
        <v/>
      </c>
      <c r="G116" s="5" t="str">
        <f>IFERROR(ROUND(AVERAGEIFS(Weekly_Data!$G:$G,Weekly_Data!$A:$A,"AIAgents",Weekly_Data!$C:$C,$C116),0),"")</f>
        <v/>
      </c>
      <c r="H116" t="s">
        <v>91</v>
      </c>
      <c r="I116">
        <f>SUMIFS(Weekly_Data!$I:$I,Weekly_Data!$A:$A,"AIAgents",Weekly_Data!$C:$C,$C116)</f>
        <v>0</v>
      </c>
      <c r="J116">
        <f>SUMIFS(Weekly_Data!$J:$J,Weekly_Data!$A:$A,"AIAgents",Weekly_Data!$C:$C,$C116)</f>
        <v>0</v>
      </c>
    </row>
    <row r="117" spans="1:10" ht="15" customHeight="1">
      <c r="A117" t="s">
        <v>9</v>
      </c>
      <c r="B117" t="s">
        <v>66</v>
      </c>
      <c r="C117">
        <v>12</v>
      </c>
      <c r="D117">
        <v>3</v>
      </c>
      <c r="E117">
        <v>3</v>
      </c>
      <c r="F117" s="5" t="str">
        <f>IFERROR(ROUND(AVERAGEIFS(Weekly_Data!$F:$F,Weekly_Data!$A:$A,"AIAgents",Weekly_Data!$C:$C,$C117),0),"")</f>
        <v/>
      </c>
      <c r="G117" s="5" t="str">
        <f>IFERROR(ROUND(AVERAGEIFS(Weekly_Data!$G:$G,Weekly_Data!$A:$A,"AIAgents",Weekly_Data!$C:$C,$C117),0),"")</f>
        <v/>
      </c>
      <c r="H117" t="s">
        <v>91</v>
      </c>
      <c r="I117">
        <f>SUMIFS(Weekly_Data!$I:$I,Weekly_Data!$A:$A,"AIAgents",Weekly_Data!$C:$C,$C117)</f>
        <v>0</v>
      </c>
      <c r="J117">
        <f>SUMIFS(Weekly_Data!$J:$J,Weekly_Data!$A:$A,"AIAgents",Weekly_Data!$C:$C,$C117)</f>
        <v>0</v>
      </c>
    </row>
    <row r="118" spans="1:10" ht="15" customHeight="1">
      <c r="A118" t="s">
        <v>9</v>
      </c>
      <c r="B118" t="s">
        <v>66</v>
      </c>
      <c r="C118">
        <v>13</v>
      </c>
      <c r="D118">
        <v>3</v>
      </c>
      <c r="E118">
        <v>4</v>
      </c>
      <c r="F118" s="5" t="str">
        <f>IFERROR(ROUND(AVERAGEIFS(Weekly_Data!$F:$F,Weekly_Data!$A:$A,"AIAgents",Weekly_Data!$C:$C,$C118),0),"")</f>
        <v/>
      </c>
      <c r="G118" s="5" t="str">
        <f>IFERROR(ROUND(AVERAGEIFS(Weekly_Data!$G:$G,Weekly_Data!$A:$A,"AIAgents",Weekly_Data!$C:$C,$C118),0),"")</f>
        <v/>
      </c>
      <c r="H118" t="s">
        <v>91</v>
      </c>
      <c r="I118">
        <f>SUMIFS(Weekly_Data!$I:$I,Weekly_Data!$A:$A,"AIAgents",Weekly_Data!$C:$C,$C118)</f>
        <v>0</v>
      </c>
      <c r="J118">
        <f>SUMIFS(Weekly_Data!$J:$J,Weekly_Data!$A:$A,"AIAgents",Weekly_Data!$C:$C,$C118)</f>
        <v>0</v>
      </c>
    </row>
    <row r="119" spans="1:10" ht="15" customHeight="1">
      <c r="A119" t="s">
        <v>9</v>
      </c>
      <c r="B119" t="s">
        <v>66</v>
      </c>
      <c r="C119">
        <v>14</v>
      </c>
      <c r="D119">
        <v>4</v>
      </c>
      <c r="E119">
        <v>1</v>
      </c>
      <c r="F119" s="5" t="str">
        <f>IFERROR(ROUND(AVERAGEIFS(Weekly_Data!$F:$F,Weekly_Data!$A:$A,"AIAgents",Weekly_Data!$C:$C,$C119),0),"")</f>
        <v/>
      </c>
      <c r="G119" s="5" t="str">
        <f>IFERROR(ROUND(AVERAGEIFS(Weekly_Data!$G:$G,Weekly_Data!$A:$A,"AIAgents",Weekly_Data!$C:$C,$C119),0),"")</f>
        <v/>
      </c>
      <c r="H119" t="s">
        <v>91</v>
      </c>
      <c r="I119">
        <f>SUMIFS(Weekly_Data!$I:$I,Weekly_Data!$A:$A,"AIAgents",Weekly_Data!$C:$C,$C119)</f>
        <v>0</v>
      </c>
      <c r="J119">
        <f>SUMIFS(Weekly_Data!$J:$J,Weekly_Data!$A:$A,"AIAgents",Weekly_Data!$C:$C,$C119)</f>
        <v>0</v>
      </c>
    </row>
    <row r="120" spans="1:10" ht="15" customHeight="1">
      <c r="A120" t="s">
        <v>9</v>
      </c>
      <c r="B120" t="s">
        <v>66</v>
      </c>
      <c r="C120">
        <v>15</v>
      </c>
      <c r="D120">
        <v>4</v>
      </c>
      <c r="E120">
        <v>2</v>
      </c>
      <c r="F120" s="5" t="str">
        <f>IFERROR(ROUND(AVERAGEIFS(Weekly_Data!$F:$F,Weekly_Data!$A:$A,"AIAgents",Weekly_Data!$C:$C,$C120),0),"")</f>
        <v/>
      </c>
      <c r="G120" s="5" t="str">
        <f>IFERROR(ROUND(AVERAGEIFS(Weekly_Data!$G:$G,Weekly_Data!$A:$A,"AIAgents",Weekly_Data!$C:$C,$C120),0),"")</f>
        <v/>
      </c>
      <c r="H120" t="s">
        <v>91</v>
      </c>
      <c r="I120">
        <f>SUMIFS(Weekly_Data!$I:$I,Weekly_Data!$A:$A,"AIAgents",Weekly_Data!$C:$C,$C120)</f>
        <v>0</v>
      </c>
      <c r="J120">
        <f>SUMIFS(Weekly_Data!$J:$J,Weekly_Data!$A:$A,"AIAgents",Weekly_Data!$C:$C,$C120)</f>
        <v>0</v>
      </c>
    </row>
    <row r="121" spans="1:10" ht="15" customHeight="1">
      <c r="A121" t="s">
        <v>9</v>
      </c>
      <c r="B121" t="s">
        <v>66</v>
      </c>
      <c r="C121">
        <v>16</v>
      </c>
      <c r="D121">
        <v>4</v>
      </c>
      <c r="E121">
        <v>3</v>
      </c>
      <c r="F121" s="5" t="str">
        <f>IFERROR(ROUND(AVERAGEIFS(Weekly_Data!$F:$F,Weekly_Data!$A:$A,"AIAgents",Weekly_Data!$C:$C,$C121),0),"")</f>
        <v/>
      </c>
      <c r="G121" s="5" t="str">
        <f>IFERROR(ROUND(AVERAGEIFS(Weekly_Data!$G:$G,Weekly_Data!$A:$A,"AIAgents",Weekly_Data!$C:$C,$C121),0),"")</f>
        <v/>
      </c>
      <c r="H121" t="s">
        <v>91</v>
      </c>
      <c r="I121">
        <f>SUMIFS(Weekly_Data!$I:$I,Weekly_Data!$A:$A,"AIAgents",Weekly_Data!$C:$C,$C121)</f>
        <v>0</v>
      </c>
      <c r="J121">
        <f>SUMIFS(Weekly_Data!$J:$J,Weekly_Data!$A:$A,"AIAgents",Weekly_Data!$C:$C,$C121)</f>
        <v>0</v>
      </c>
    </row>
    <row r="122" spans="1:10" ht="15" customHeight="1">
      <c r="A122" t="s">
        <v>9</v>
      </c>
      <c r="B122" t="s">
        <v>66</v>
      </c>
      <c r="C122">
        <v>17</v>
      </c>
      <c r="D122">
        <v>4</v>
      </c>
      <c r="E122">
        <v>4</v>
      </c>
      <c r="F122" s="5" t="str">
        <f>IFERROR(ROUND(AVERAGEIFS(Weekly_Data!$F:$F,Weekly_Data!$A:$A,"AIAgents",Weekly_Data!$C:$C,$C122),0),"")</f>
        <v/>
      </c>
      <c r="G122" s="5" t="str">
        <f>IFERROR(ROUND(AVERAGEIFS(Weekly_Data!$G:$G,Weekly_Data!$A:$A,"AIAgents",Weekly_Data!$C:$C,$C122),0),"")</f>
        <v/>
      </c>
      <c r="H122" t="s">
        <v>91</v>
      </c>
      <c r="I122">
        <f>SUMIFS(Weekly_Data!$I:$I,Weekly_Data!$A:$A,"AIAgents",Weekly_Data!$C:$C,$C122)</f>
        <v>0</v>
      </c>
      <c r="J122">
        <f>SUMIFS(Weekly_Data!$J:$J,Weekly_Data!$A:$A,"AIAgents",Weekly_Data!$C:$C,$C122)</f>
        <v>0</v>
      </c>
    </row>
    <row r="123" spans="1:10" ht="15" customHeight="1">
      <c r="A123" t="s">
        <v>9</v>
      </c>
      <c r="B123" t="s">
        <v>66</v>
      </c>
      <c r="C123">
        <v>18</v>
      </c>
      <c r="D123">
        <v>5</v>
      </c>
      <c r="E123">
        <v>1</v>
      </c>
      <c r="F123" s="5" t="str">
        <f>IFERROR(ROUND(AVERAGEIFS(Weekly_Data!$F:$F,Weekly_Data!$A:$A,"AIAgents",Weekly_Data!$C:$C,$C123),0),"")</f>
        <v/>
      </c>
      <c r="G123" s="5" t="str">
        <f>IFERROR(ROUND(AVERAGEIFS(Weekly_Data!$G:$G,Weekly_Data!$A:$A,"AIAgents",Weekly_Data!$C:$C,$C123),0),"")</f>
        <v/>
      </c>
      <c r="H123" t="s">
        <v>91</v>
      </c>
      <c r="I123">
        <f>SUMIFS(Weekly_Data!$I:$I,Weekly_Data!$A:$A,"AIAgents",Weekly_Data!$C:$C,$C123)</f>
        <v>0</v>
      </c>
      <c r="J123">
        <f>SUMIFS(Weekly_Data!$J:$J,Weekly_Data!$A:$A,"AIAgents",Weekly_Data!$C:$C,$C123)</f>
        <v>0</v>
      </c>
    </row>
    <row r="124" spans="1:10" ht="15" customHeight="1">
      <c r="A124" t="s">
        <v>9</v>
      </c>
      <c r="B124" t="s">
        <v>66</v>
      </c>
      <c r="C124">
        <v>19</v>
      </c>
      <c r="D124">
        <v>5</v>
      </c>
      <c r="E124">
        <v>2</v>
      </c>
      <c r="F124" s="5" t="str">
        <f>IFERROR(ROUND(AVERAGEIFS(Weekly_Data!$F:$F,Weekly_Data!$A:$A,"AIAgents",Weekly_Data!$C:$C,$C124),0),"")</f>
        <v/>
      </c>
      <c r="G124" s="5" t="str">
        <f>IFERROR(ROUND(AVERAGEIFS(Weekly_Data!$G:$G,Weekly_Data!$A:$A,"AIAgents",Weekly_Data!$C:$C,$C124),0),"")</f>
        <v/>
      </c>
      <c r="H124" t="s">
        <v>91</v>
      </c>
      <c r="I124">
        <f>SUMIFS(Weekly_Data!$I:$I,Weekly_Data!$A:$A,"AIAgents",Weekly_Data!$C:$C,$C124)</f>
        <v>0</v>
      </c>
      <c r="J124">
        <f>SUMIFS(Weekly_Data!$J:$J,Weekly_Data!$A:$A,"AIAgents",Weekly_Data!$C:$C,$C124)</f>
        <v>0</v>
      </c>
    </row>
    <row r="125" spans="1:10" ht="15" customHeight="1">
      <c r="A125" t="s">
        <v>9</v>
      </c>
      <c r="B125" t="s">
        <v>66</v>
      </c>
      <c r="C125">
        <v>20</v>
      </c>
      <c r="D125">
        <v>5</v>
      </c>
      <c r="E125">
        <v>3</v>
      </c>
      <c r="F125" s="5" t="str">
        <f>IFERROR(ROUND(AVERAGEIFS(Weekly_Data!$F:$F,Weekly_Data!$A:$A,"AIAgents",Weekly_Data!$C:$C,$C125),0),"")</f>
        <v/>
      </c>
      <c r="G125" s="5" t="str">
        <f>IFERROR(ROUND(AVERAGEIFS(Weekly_Data!$G:$G,Weekly_Data!$A:$A,"AIAgents",Weekly_Data!$C:$C,$C125),0),"")</f>
        <v/>
      </c>
      <c r="H125" t="s">
        <v>91</v>
      </c>
      <c r="I125">
        <f>SUMIFS(Weekly_Data!$I:$I,Weekly_Data!$A:$A,"AIAgents",Weekly_Data!$C:$C,$C125)</f>
        <v>0</v>
      </c>
      <c r="J125">
        <f>SUMIFS(Weekly_Data!$J:$J,Weekly_Data!$A:$A,"AIAgents",Weekly_Data!$C:$C,$C125)</f>
        <v>0</v>
      </c>
    </row>
    <row r="126" spans="1:10" ht="15" customHeight="1">
      <c r="A126" t="s">
        <v>9</v>
      </c>
      <c r="B126" t="s">
        <v>66</v>
      </c>
      <c r="C126">
        <v>21</v>
      </c>
      <c r="D126">
        <v>5</v>
      </c>
      <c r="E126">
        <v>4</v>
      </c>
      <c r="F126" s="5" t="str">
        <f>IFERROR(ROUND(AVERAGEIFS(Weekly_Data!$F:$F,Weekly_Data!$A:$A,"AIAgents",Weekly_Data!$C:$C,$C126),0),"")</f>
        <v/>
      </c>
      <c r="G126" s="5" t="str">
        <f>IFERROR(ROUND(AVERAGEIFS(Weekly_Data!$G:$G,Weekly_Data!$A:$A,"AIAgents",Weekly_Data!$C:$C,$C126),0),"")</f>
        <v/>
      </c>
      <c r="H126" t="s">
        <v>91</v>
      </c>
      <c r="I126">
        <f>SUMIFS(Weekly_Data!$I:$I,Weekly_Data!$A:$A,"AIAgents",Weekly_Data!$C:$C,$C126)</f>
        <v>0</v>
      </c>
      <c r="J126">
        <f>SUMIFS(Weekly_Data!$J:$J,Weekly_Data!$A:$A,"AIAgents",Weekly_Data!$C:$C,$C126)</f>
        <v>0</v>
      </c>
    </row>
    <row r="127" spans="1:10" ht="15" customHeight="1">
      <c r="A127" t="s">
        <v>9</v>
      </c>
      <c r="B127" t="s">
        <v>66</v>
      </c>
      <c r="C127">
        <v>22</v>
      </c>
      <c r="D127">
        <v>5</v>
      </c>
      <c r="E127">
        <v>5</v>
      </c>
      <c r="F127" s="5" t="str">
        <f>IFERROR(ROUND(AVERAGEIFS(Weekly_Data!$F:$F,Weekly_Data!$A:$A,"AIAgents",Weekly_Data!$C:$C,$C127),0),"")</f>
        <v/>
      </c>
      <c r="G127" s="5" t="str">
        <f>IFERROR(ROUND(AVERAGEIFS(Weekly_Data!$G:$G,Weekly_Data!$A:$A,"AIAgents",Weekly_Data!$C:$C,$C127),0),"")</f>
        <v/>
      </c>
      <c r="H127" t="s">
        <v>91</v>
      </c>
      <c r="I127">
        <f>SUMIFS(Weekly_Data!$I:$I,Weekly_Data!$A:$A,"AIAgents",Weekly_Data!$C:$C,$C127)</f>
        <v>0</v>
      </c>
      <c r="J127">
        <f>SUMIFS(Weekly_Data!$J:$J,Weekly_Data!$A:$A,"AIAgents",Weekly_Data!$C:$C,$C127)</f>
        <v>0</v>
      </c>
    </row>
    <row r="128" spans="1:10" ht="15" customHeight="1">
      <c r="A128" t="s">
        <v>9</v>
      </c>
      <c r="B128" t="s">
        <v>66</v>
      </c>
      <c r="C128">
        <v>23</v>
      </c>
      <c r="D128">
        <v>6</v>
      </c>
      <c r="E128">
        <v>1</v>
      </c>
      <c r="F128" s="5" t="str">
        <f>IFERROR(ROUND(AVERAGEIFS(Weekly_Data!$F:$F,Weekly_Data!$A:$A,"AIAgents",Weekly_Data!$C:$C,$C128),0),"")</f>
        <v/>
      </c>
      <c r="G128" s="5" t="str">
        <f>IFERROR(ROUND(AVERAGEIFS(Weekly_Data!$G:$G,Weekly_Data!$A:$A,"AIAgents",Weekly_Data!$C:$C,$C128),0),"")</f>
        <v/>
      </c>
      <c r="H128" t="s">
        <v>91</v>
      </c>
      <c r="I128">
        <f>SUMIFS(Weekly_Data!$I:$I,Weekly_Data!$A:$A,"AIAgents",Weekly_Data!$C:$C,$C128)</f>
        <v>0</v>
      </c>
      <c r="J128">
        <f>SUMIFS(Weekly_Data!$J:$J,Weekly_Data!$A:$A,"AIAgents",Weekly_Data!$C:$C,$C128)</f>
        <v>0</v>
      </c>
    </row>
    <row r="129" spans="1:10" ht="15" customHeight="1">
      <c r="A129" t="s">
        <v>9</v>
      </c>
      <c r="B129" t="s">
        <v>66</v>
      </c>
      <c r="C129">
        <v>24</v>
      </c>
      <c r="D129">
        <v>6</v>
      </c>
      <c r="E129">
        <v>2</v>
      </c>
      <c r="F129" s="5" t="str">
        <f>IFERROR(ROUND(AVERAGEIFS(Weekly_Data!$F:$F,Weekly_Data!$A:$A,"AIAgents",Weekly_Data!$C:$C,$C129),0),"")</f>
        <v/>
      </c>
      <c r="G129" s="5" t="str">
        <f>IFERROR(ROUND(AVERAGEIFS(Weekly_Data!$G:$G,Weekly_Data!$A:$A,"AIAgents",Weekly_Data!$C:$C,$C129),0),"")</f>
        <v/>
      </c>
      <c r="H129" t="s">
        <v>91</v>
      </c>
      <c r="I129">
        <f>SUMIFS(Weekly_Data!$I:$I,Weekly_Data!$A:$A,"AIAgents",Weekly_Data!$C:$C,$C129)</f>
        <v>0</v>
      </c>
      <c r="J129">
        <f>SUMIFS(Weekly_Data!$J:$J,Weekly_Data!$A:$A,"AIAgents",Weekly_Data!$C:$C,$C129)</f>
        <v>0</v>
      </c>
    </row>
    <row r="130" spans="1:10" ht="15" customHeight="1">
      <c r="A130" t="s">
        <v>9</v>
      </c>
      <c r="B130" t="s">
        <v>66</v>
      </c>
      <c r="C130">
        <v>25</v>
      </c>
      <c r="D130">
        <v>6</v>
      </c>
      <c r="E130">
        <v>3</v>
      </c>
      <c r="F130" s="5" t="str">
        <f>IFERROR(ROUND(AVERAGEIFS(Weekly_Data!$F:$F,Weekly_Data!$A:$A,"AIAgents",Weekly_Data!$C:$C,$C130),0),"")</f>
        <v/>
      </c>
      <c r="G130" s="5" t="str">
        <f>IFERROR(ROUND(AVERAGEIFS(Weekly_Data!$G:$G,Weekly_Data!$A:$A,"AIAgents",Weekly_Data!$C:$C,$C130),0),"")</f>
        <v/>
      </c>
      <c r="I130">
        <f>SUMIFS(Weekly_Data!$I:$I,Weekly_Data!$A:$A,"AIAgents",Weekly_Data!$C:$C,$C130)</f>
        <v>0</v>
      </c>
      <c r="J130">
        <f>SUMIFS(Weekly_Data!$J:$J,Weekly_Data!$A:$A,"AIAgents",Weekly_Data!$C:$C,$C130)</f>
        <v>0</v>
      </c>
    </row>
    <row r="131" spans="1:10" ht="15" customHeight="1">
      <c r="A131" t="s">
        <v>9</v>
      </c>
      <c r="B131" t="s">
        <v>66</v>
      </c>
      <c r="C131">
        <v>26</v>
      </c>
      <c r="D131">
        <v>6</v>
      </c>
      <c r="E131">
        <v>4</v>
      </c>
      <c r="F131" s="5" t="str">
        <f>IFERROR(ROUND(AVERAGEIFS(Weekly_Data!$F:$F,Weekly_Data!$A:$A,"AIAgents",Weekly_Data!$C:$C,$C131),0),"")</f>
        <v/>
      </c>
      <c r="G131" s="5" t="str">
        <f>IFERROR(ROUND(AVERAGEIFS(Weekly_Data!$G:$G,Weekly_Data!$A:$A,"AIAgents",Weekly_Data!$C:$C,$C131),0),"")</f>
        <v/>
      </c>
      <c r="I131">
        <f>SUMIFS(Weekly_Data!$I:$I,Weekly_Data!$A:$A,"AIAgents",Weekly_Data!$C:$C,$C131)</f>
        <v>0</v>
      </c>
      <c r="J131">
        <f>SUMIFS(Weekly_Data!$J:$J,Weekly_Data!$A:$A,"AIAgents",Weekly_Data!$C:$C,$C131)</f>
        <v>0</v>
      </c>
    </row>
    <row r="132" spans="1:10" ht="15" customHeight="1">
      <c r="A132" t="s">
        <v>9</v>
      </c>
      <c r="B132" t="s">
        <v>66</v>
      </c>
      <c r="C132">
        <v>27</v>
      </c>
      <c r="D132">
        <v>7</v>
      </c>
      <c r="E132">
        <v>1</v>
      </c>
      <c r="F132" s="5" t="str">
        <f>IFERROR(ROUND(AVERAGEIFS(Weekly_Data!$F:$F,Weekly_Data!$A:$A,"AIAgents",Weekly_Data!$C:$C,$C132),0),"")</f>
        <v/>
      </c>
      <c r="G132" s="5" t="str">
        <f>IFERROR(ROUND(AVERAGEIFS(Weekly_Data!$G:$G,Weekly_Data!$A:$A,"AIAgents",Weekly_Data!$C:$C,$C132),0),"")</f>
        <v/>
      </c>
      <c r="I132">
        <f>SUMIFS(Weekly_Data!$I:$I,Weekly_Data!$A:$A,"AIAgents",Weekly_Data!$C:$C,$C132)</f>
        <v>0</v>
      </c>
      <c r="J132">
        <f>SUMIFS(Weekly_Data!$J:$J,Weekly_Data!$A:$A,"AIAgents",Weekly_Data!$C:$C,$C132)</f>
        <v>0</v>
      </c>
    </row>
    <row r="133" spans="1:10" ht="15" customHeight="1">
      <c r="A133" t="s">
        <v>9</v>
      </c>
      <c r="B133" t="s">
        <v>66</v>
      </c>
      <c r="C133">
        <v>28</v>
      </c>
      <c r="D133">
        <v>7</v>
      </c>
      <c r="E133">
        <v>2</v>
      </c>
      <c r="F133" s="5" t="str">
        <f>IFERROR(ROUND(AVERAGEIFS(Weekly_Data!$F:$F,Weekly_Data!$A:$A,"AIAgents",Weekly_Data!$C:$C,$C133),0),"")</f>
        <v/>
      </c>
      <c r="G133" s="5" t="str">
        <f>IFERROR(ROUND(AVERAGEIFS(Weekly_Data!$G:$G,Weekly_Data!$A:$A,"AIAgents",Weekly_Data!$C:$C,$C133),0),"")</f>
        <v/>
      </c>
      <c r="I133">
        <f>SUMIFS(Weekly_Data!$I:$I,Weekly_Data!$A:$A,"AIAgents",Weekly_Data!$C:$C,$C133)</f>
        <v>0</v>
      </c>
      <c r="J133">
        <f>SUMIFS(Weekly_Data!$J:$J,Weekly_Data!$A:$A,"AIAgents",Weekly_Data!$C:$C,$C133)</f>
        <v>0</v>
      </c>
    </row>
    <row r="134" spans="1:10" ht="15" customHeight="1">
      <c r="A134" t="s">
        <v>9</v>
      </c>
      <c r="B134" t="s">
        <v>66</v>
      </c>
      <c r="C134">
        <v>29</v>
      </c>
      <c r="D134">
        <v>7</v>
      </c>
      <c r="E134">
        <v>3</v>
      </c>
      <c r="F134" s="5" t="str">
        <f>IFERROR(ROUND(AVERAGEIFS(Weekly_Data!$F:$F,Weekly_Data!$A:$A,"AIAgents",Weekly_Data!$C:$C,$C134),0),"")</f>
        <v/>
      </c>
      <c r="G134" s="5" t="str">
        <f>IFERROR(ROUND(AVERAGEIFS(Weekly_Data!$G:$G,Weekly_Data!$A:$A,"AIAgents",Weekly_Data!$C:$C,$C134),0),"")</f>
        <v/>
      </c>
      <c r="I134">
        <f>SUMIFS(Weekly_Data!$I:$I,Weekly_Data!$A:$A,"AIAgents",Weekly_Data!$C:$C,$C134)</f>
        <v>0</v>
      </c>
      <c r="J134">
        <f>SUMIFS(Weekly_Data!$J:$J,Weekly_Data!$A:$A,"AIAgents",Weekly_Data!$C:$C,$C134)</f>
        <v>0</v>
      </c>
    </row>
    <row r="135" spans="1:10" ht="15" customHeight="1">
      <c r="A135" t="s">
        <v>9</v>
      </c>
      <c r="B135" t="s">
        <v>66</v>
      </c>
      <c r="C135">
        <v>30</v>
      </c>
      <c r="D135">
        <v>7</v>
      </c>
      <c r="E135">
        <v>4</v>
      </c>
      <c r="F135" s="5" t="str">
        <f>IFERROR(ROUND(AVERAGEIFS(Weekly_Data!$F:$F,Weekly_Data!$A:$A,"AIAgents",Weekly_Data!$C:$C,$C135),0),"")</f>
        <v/>
      </c>
      <c r="G135" s="5" t="str">
        <f>IFERROR(ROUND(AVERAGEIFS(Weekly_Data!$G:$G,Weekly_Data!$A:$A,"AIAgents",Weekly_Data!$C:$C,$C135),0),"")</f>
        <v/>
      </c>
      <c r="I135">
        <f>SUMIFS(Weekly_Data!$I:$I,Weekly_Data!$A:$A,"AIAgents",Weekly_Data!$C:$C,$C135)</f>
        <v>0</v>
      </c>
      <c r="J135">
        <f>SUMIFS(Weekly_Data!$J:$J,Weekly_Data!$A:$A,"AIAgents",Weekly_Data!$C:$C,$C135)</f>
        <v>0</v>
      </c>
    </row>
    <row r="136" spans="1:10" ht="15" customHeight="1">
      <c r="A136" t="s">
        <v>9</v>
      </c>
      <c r="B136" t="s">
        <v>66</v>
      </c>
      <c r="C136">
        <v>31</v>
      </c>
      <c r="D136">
        <v>8</v>
      </c>
      <c r="E136">
        <v>1</v>
      </c>
      <c r="F136" s="5" t="str">
        <f>IFERROR(ROUND(AVERAGEIFS(Weekly_Data!$F:$F,Weekly_Data!$A:$A,"AIAgents",Weekly_Data!$C:$C,$C136),0),"")</f>
        <v/>
      </c>
      <c r="G136" s="5" t="str">
        <f>IFERROR(ROUND(AVERAGEIFS(Weekly_Data!$G:$G,Weekly_Data!$A:$A,"AIAgents",Weekly_Data!$C:$C,$C136),0),"")</f>
        <v/>
      </c>
      <c r="I136">
        <f>SUMIFS(Weekly_Data!$I:$I,Weekly_Data!$A:$A,"AIAgents",Weekly_Data!$C:$C,$C136)</f>
        <v>0</v>
      </c>
      <c r="J136">
        <f>SUMIFS(Weekly_Data!$J:$J,Weekly_Data!$A:$A,"AIAgents",Weekly_Data!$C:$C,$C136)</f>
        <v>0</v>
      </c>
    </row>
    <row r="137" spans="1:10" ht="15" customHeight="1">
      <c r="A137" t="s">
        <v>9</v>
      </c>
      <c r="B137" t="s">
        <v>66</v>
      </c>
      <c r="C137">
        <v>32</v>
      </c>
      <c r="D137">
        <v>8</v>
      </c>
      <c r="E137">
        <v>2</v>
      </c>
      <c r="F137" s="5" t="str">
        <f>IFERROR(ROUND(AVERAGEIFS(Weekly_Data!$F:$F,Weekly_Data!$A:$A,"AIAgents",Weekly_Data!$C:$C,$C137),0),"")</f>
        <v/>
      </c>
      <c r="G137" s="5" t="str">
        <f>IFERROR(ROUND(AVERAGEIFS(Weekly_Data!$G:$G,Weekly_Data!$A:$A,"AIAgents",Weekly_Data!$C:$C,$C137),0),"")</f>
        <v/>
      </c>
      <c r="I137">
        <f>SUMIFS(Weekly_Data!$I:$I,Weekly_Data!$A:$A,"AIAgents",Weekly_Data!$C:$C,$C137)</f>
        <v>0</v>
      </c>
      <c r="J137">
        <f>SUMIFS(Weekly_Data!$J:$J,Weekly_Data!$A:$A,"AIAgents",Weekly_Data!$C:$C,$C137)</f>
        <v>0</v>
      </c>
    </row>
    <row r="138" spans="1:10" ht="15" customHeight="1">
      <c r="A138" t="s">
        <v>9</v>
      </c>
      <c r="B138" t="s">
        <v>66</v>
      </c>
      <c r="C138">
        <v>33</v>
      </c>
      <c r="D138">
        <v>8</v>
      </c>
      <c r="E138">
        <v>3</v>
      </c>
      <c r="F138" s="5" t="str">
        <f>IFERROR(ROUND(AVERAGEIFS(Weekly_Data!$F:$F,Weekly_Data!$A:$A,"AIAgents",Weekly_Data!$C:$C,$C138),0),"")</f>
        <v/>
      </c>
      <c r="G138" s="5" t="str">
        <f>IFERROR(ROUND(AVERAGEIFS(Weekly_Data!$G:$G,Weekly_Data!$A:$A,"AIAgents",Weekly_Data!$C:$C,$C138),0),"")</f>
        <v/>
      </c>
      <c r="I138">
        <f>SUMIFS(Weekly_Data!$I:$I,Weekly_Data!$A:$A,"AIAgents",Weekly_Data!$C:$C,$C138)</f>
        <v>0</v>
      </c>
      <c r="J138">
        <f>SUMIFS(Weekly_Data!$J:$J,Weekly_Data!$A:$A,"AIAgents",Weekly_Data!$C:$C,$C138)</f>
        <v>0</v>
      </c>
    </row>
    <row r="139" spans="1:10" ht="15" customHeight="1">
      <c r="A139" t="s">
        <v>9</v>
      </c>
      <c r="B139" t="s">
        <v>66</v>
      </c>
      <c r="C139">
        <v>34</v>
      </c>
      <c r="D139">
        <v>8</v>
      </c>
      <c r="E139">
        <v>4</v>
      </c>
      <c r="F139" s="5" t="str">
        <f>IFERROR(ROUND(AVERAGEIFS(Weekly_Data!$F:$F,Weekly_Data!$A:$A,"AIAgents",Weekly_Data!$C:$C,$C139),0),"")</f>
        <v/>
      </c>
      <c r="G139" s="5" t="str">
        <f>IFERROR(ROUND(AVERAGEIFS(Weekly_Data!$G:$G,Weekly_Data!$A:$A,"AIAgents",Weekly_Data!$C:$C,$C139),0),"")</f>
        <v/>
      </c>
      <c r="I139">
        <f>SUMIFS(Weekly_Data!$I:$I,Weekly_Data!$A:$A,"AIAgents",Weekly_Data!$C:$C,$C139)</f>
        <v>0</v>
      </c>
      <c r="J139">
        <f>SUMIFS(Weekly_Data!$J:$J,Weekly_Data!$A:$A,"AIAgents",Weekly_Data!$C:$C,$C139)</f>
        <v>0</v>
      </c>
    </row>
    <row r="140" spans="1:10" ht="15" customHeight="1">
      <c r="A140" t="s">
        <v>9</v>
      </c>
      <c r="B140" t="s">
        <v>66</v>
      </c>
      <c r="C140">
        <v>35</v>
      </c>
      <c r="D140">
        <v>8</v>
      </c>
      <c r="E140">
        <v>5</v>
      </c>
      <c r="F140" s="5" t="str">
        <f>IFERROR(ROUND(AVERAGEIFS(Weekly_Data!$F:$F,Weekly_Data!$A:$A,"AIAgents",Weekly_Data!$C:$C,$C140),0),"")</f>
        <v/>
      </c>
      <c r="G140" s="5" t="str">
        <f>IFERROR(ROUND(AVERAGEIFS(Weekly_Data!$G:$G,Weekly_Data!$A:$A,"AIAgents",Weekly_Data!$C:$C,$C140),0),"")</f>
        <v/>
      </c>
      <c r="I140">
        <f>SUMIFS(Weekly_Data!$I:$I,Weekly_Data!$A:$A,"AIAgents",Weekly_Data!$C:$C,$C140)</f>
        <v>0</v>
      </c>
      <c r="J140">
        <f>SUMIFS(Weekly_Data!$J:$J,Weekly_Data!$A:$A,"AIAgents",Weekly_Data!$C:$C,$C140)</f>
        <v>0</v>
      </c>
    </row>
    <row r="141" spans="1:10" ht="15" customHeight="1">
      <c r="A141" t="s">
        <v>9</v>
      </c>
      <c r="B141" t="s">
        <v>66</v>
      </c>
      <c r="C141">
        <v>36</v>
      </c>
      <c r="D141">
        <v>9</v>
      </c>
      <c r="E141">
        <v>1</v>
      </c>
      <c r="F141" s="5" t="str">
        <f>IFERROR(ROUND(AVERAGEIFS(Weekly_Data!$F:$F,Weekly_Data!$A:$A,"AIAgents",Weekly_Data!$C:$C,$C141),0),"")</f>
        <v/>
      </c>
      <c r="G141" s="5" t="str">
        <f>IFERROR(ROUND(AVERAGEIFS(Weekly_Data!$G:$G,Weekly_Data!$A:$A,"AIAgents",Weekly_Data!$C:$C,$C141),0),"")</f>
        <v/>
      </c>
      <c r="I141">
        <f>SUMIFS(Weekly_Data!$I:$I,Weekly_Data!$A:$A,"AIAgents",Weekly_Data!$C:$C,$C141)</f>
        <v>0</v>
      </c>
      <c r="J141">
        <f>SUMIFS(Weekly_Data!$J:$J,Weekly_Data!$A:$A,"AIAgents",Weekly_Data!$C:$C,$C141)</f>
        <v>0</v>
      </c>
    </row>
    <row r="142" spans="1:10" ht="15" customHeight="1">
      <c r="A142" t="s">
        <v>9</v>
      </c>
      <c r="B142" t="s">
        <v>66</v>
      </c>
      <c r="C142">
        <v>37</v>
      </c>
      <c r="D142">
        <v>9</v>
      </c>
      <c r="E142">
        <v>2</v>
      </c>
      <c r="F142" s="5" t="str">
        <f>IFERROR(ROUND(AVERAGEIFS(Weekly_Data!$F:$F,Weekly_Data!$A:$A,"AIAgents",Weekly_Data!$C:$C,$C142),0),"")</f>
        <v/>
      </c>
      <c r="G142" s="5" t="str">
        <f>IFERROR(ROUND(AVERAGEIFS(Weekly_Data!$G:$G,Weekly_Data!$A:$A,"AIAgents",Weekly_Data!$C:$C,$C142),0),"")</f>
        <v/>
      </c>
      <c r="I142">
        <f>SUMIFS(Weekly_Data!$I:$I,Weekly_Data!$A:$A,"AIAgents",Weekly_Data!$C:$C,$C142)</f>
        <v>0</v>
      </c>
      <c r="J142">
        <f>SUMIFS(Weekly_Data!$J:$J,Weekly_Data!$A:$A,"AIAgents",Weekly_Data!$C:$C,$C142)</f>
        <v>0</v>
      </c>
    </row>
    <row r="143" spans="1:10" ht="15" customHeight="1">
      <c r="A143" t="s">
        <v>9</v>
      </c>
      <c r="B143" t="s">
        <v>66</v>
      </c>
      <c r="C143">
        <v>38</v>
      </c>
      <c r="D143">
        <v>9</v>
      </c>
      <c r="E143">
        <v>3</v>
      </c>
      <c r="F143" s="5" t="str">
        <f>IFERROR(ROUND(AVERAGEIFS(Weekly_Data!$F:$F,Weekly_Data!$A:$A,"AIAgents",Weekly_Data!$C:$C,$C143),0),"")</f>
        <v/>
      </c>
      <c r="G143" s="5" t="str">
        <f>IFERROR(ROUND(AVERAGEIFS(Weekly_Data!$G:$G,Weekly_Data!$A:$A,"AIAgents",Weekly_Data!$C:$C,$C143),0),"")</f>
        <v/>
      </c>
      <c r="I143">
        <f>SUMIFS(Weekly_Data!$I:$I,Weekly_Data!$A:$A,"AIAgents",Weekly_Data!$C:$C,$C143)</f>
        <v>0</v>
      </c>
      <c r="J143">
        <f>SUMIFS(Weekly_Data!$J:$J,Weekly_Data!$A:$A,"AIAgents",Weekly_Data!$C:$C,$C143)</f>
        <v>0</v>
      </c>
    </row>
    <row r="144" spans="1:10" ht="15" customHeight="1">
      <c r="A144" t="s">
        <v>9</v>
      </c>
      <c r="B144" t="s">
        <v>66</v>
      </c>
      <c r="C144">
        <v>39</v>
      </c>
      <c r="D144">
        <v>9</v>
      </c>
      <c r="E144">
        <v>4</v>
      </c>
      <c r="F144" s="5" t="str">
        <f>IFERROR(ROUND(AVERAGEIFS(Weekly_Data!$F:$F,Weekly_Data!$A:$A,"AIAgents",Weekly_Data!$C:$C,$C144),0),"")</f>
        <v/>
      </c>
      <c r="G144" s="5" t="str">
        <f>IFERROR(ROUND(AVERAGEIFS(Weekly_Data!$G:$G,Weekly_Data!$A:$A,"AIAgents",Weekly_Data!$C:$C,$C144),0),"")</f>
        <v/>
      </c>
      <c r="I144">
        <f>SUMIFS(Weekly_Data!$I:$I,Weekly_Data!$A:$A,"AIAgents",Weekly_Data!$C:$C,$C144)</f>
        <v>0</v>
      </c>
      <c r="J144">
        <f>SUMIFS(Weekly_Data!$J:$J,Weekly_Data!$A:$A,"AIAgents",Weekly_Data!$C:$C,$C144)</f>
        <v>0</v>
      </c>
    </row>
    <row r="145" spans="1:10" ht="15" customHeight="1">
      <c r="A145" t="s">
        <v>9</v>
      </c>
      <c r="B145" t="s">
        <v>66</v>
      </c>
      <c r="C145">
        <v>40</v>
      </c>
      <c r="D145">
        <v>10</v>
      </c>
      <c r="E145">
        <v>1</v>
      </c>
      <c r="F145" s="5" t="str">
        <f>IFERROR(ROUND(AVERAGEIFS(Weekly_Data!$F:$F,Weekly_Data!$A:$A,"AIAgents",Weekly_Data!$C:$C,$C145),0),"")</f>
        <v/>
      </c>
      <c r="G145" s="5" t="str">
        <f>IFERROR(ROUND(AVERAGEIFS(Weekly_Data!$G:$G,Weekly_Data!$A:$A,"AIAgents",Weekly_Data!$C:$C,$C145),0),"")</f>
        <v/>
      </c>
      <c r="I145">
        <f>SUMIFS(Weekly_Data!$I:$I,Weekly_Data!$A:$A,"AIAgents",Weekly_Data!$C:$C,$C145)</f>
        <v>0</v>
      </c>
      <c r="J145">
        <f>SUMIFS(Weekly_Data!$J:$J,Weekly_Data!$A:$A,"AIAgents",Weekly_Data!$C:$C,$C145)</f>
        <v>0</v>
      </c>
    </row>
    <row r="146" spans="1:10" ht="15" customHeight="1">
      <c r="A146" t="s">
        <v>9</v>
      </c>
      <c r="B146" t="s">
        <v>66</v>
      </c>
      <c r="C146">
        <v>41</v>
      </c>
      <c r="D146">
        <v>10</v>
      </c>
      <c r="E146">
        <v>2</v>
      </c>
      <c r="F146" s="5" t="str">
        <f>IFERROR(ROUND(AVERAGEIFS(Weekly_Data!$F:$F,Weekly_Data!$A:$A,"AIAgents",Weekly_Data!$C:$C,$C146),0),"")</f>
        <v/>
      </c>
      <c r="G146" s="5" t="str">
        <f>IFERROR(ROUND(AVERAGEIFS(Weekly_Data!$G:$G,Weekly_Data!$A:$A,"AIAgents",Weekly_Data!$C:$C,$C146),0),"")</f>
        <v/>
      </c>
      <c r="I146">
        <f>SUMIFS(Weekly_Data!$I:$I,Weekly_Data!$A:$A,"AIAgents",Weekly_Data!$C:$C,$C146)</f>
        <v>0</v>
      </c>
      <c r="J146">
        <f>SUMIFS(Weekly_Data!$J:$J,Weekly_Data!$A:$A,"AIAgents",Weekly_Data!$C:$C,$C146)</f>
        <v>0</v>
      </c>
    </row>
    <row r="147" spans="1:10" ht="15" customHeight="1">
      <c r="A147" t="s">
        <v>9</v>
      </c>
      <c r="B147" t="s">
        <v>66</v>
      </c>
      <c r="C147">
        <v>42</v>
      </c>
      <c r="D147">
        <v>10</v>
      </c>
      <c r="E147">
        <v>3</v>
      </c>
      <c r="F147" s="5" t="str">
        <f>IFERROR(ROUND(AVERAGEIFS(Weekly_Data!$F:$F,Weekly_Data!$A:$A,"AIAgents",Weekly_Data!$C:$C,$C147),0),"")</f>
        <v/>
      </c>
      <c r="G147" s="5" t="str">
        <f>IFERROR(ROUND(AVERAGEIFS(Weekly_Data!$G:$G,Weekly_Data!$A:$A,"AIAgents",Weekly_Data!$C:$C,$C147),0),"")</f>
        <v/>
      </c>
      <c r="I147">
        <f>SUMIFS(Weekly_Data!$I:$I,Weekly_Data!$A:$A,"AIAgents",Weekly_Data!$C:$C,$C147)</f>
        <v>0</v>
      </c>
      <c r="J147">
        <f>SUMIFS(Weekly_Data!$J:$J,Weekly_Data!$A:$A,"AIAgents",Weekly_Data!$C:$C,$C147)</f>
        <v>0</v>
      </c>
    </row>
    <row r="148" spans="1:10" ht="15" customHeight="1">
      <c r="A148" t="s">
        <v>9</v>
      </c>
      <c r="B148" t="s">
        <v>66</v>
      </c>
      <c r="C148">
        <v>43</v>
      </c>
      <c r="D148">
        <v>10</v>
      </c>
      <c r="E148">
        <v>4</v>
      </c>
      <c r="F148" s="5" t="str">
        <f>IFERROR(ROUND(AVERAGEIFS(Weekly_Data!$F:$F,Weekly_Data!$A:$A,"AIAgents",Weekly_Data!$C:$C,$C148),0),"")</f>
        <v/>
      </c>
      <c r="G148" s="5" t="str">
        <f>IFERROR(ROUND(AVERAGEIFS(Weekly_Data!$G:$G,Weekly_Data!$A:$A,"AIAgents",Weekly_Data!$C:$C,$C148),0),"")</f>
        <v/>
      </c>
      <c r="I148">
        <f>SUMIFS(Weekly_Data!$I:$I,Weekly_Data!$A:$A,"AIAgents",Weekly_Data!$C:$C,$C148)</f>
        <v>0</v>
      </c>
      <c r="J148">
        <f>SUMIFS(Weekly_Data!$J:$J,Weekly_Data!$A:$A,"AIAgents",Weekly_Data!$C:$C,$C148)</f>
        <v>0</v>
      </c>
    </row>
    <row r="149" spans="1:10" ht="15" customHeight="1">
      <c r="A149" t="s">
        <v>9</v>
      </c>
      <c r="B149" t="s">
        <v>66</v>
      </c>
      <c r="C149">
        <v>44</v>
      </c>
      <c r="D149">
        <v>10</v>
      </c>
      <c r="E149">
        <v>5</v>
      </c>
      <c r="F149" s="5" t="str">
        <f>IFERROR(ROUND(AVERAGEIFS(Weekly_Data!$F:$F,Weekly_Data!$A:$A,"AIAgents",Weekly_Data!$C:$C,$C149),0),"")</f>
        <v/>
      </c>
      <c r="G149" s="5" t="str">
        <f>IFERROR(ROUND(AVERAGEIFS(Weekly_Data!$G:$G,Weekly_Data!$A:$A,"AIAgents",Weekly_Data!$C:$C,$C149),0),"")</f>
        <v/>
      </c>
      <c r="I149">
        <f>SUMIFS(Weekly_Data!$I:$I,Weekly_Data!$A:$A,"AIAgents",Weekly_Data!$C:$C,$C149)</f>
        <v>0</v>
      </c>
      <c r="J149">
        <f>SUMIFS(Weekly_Data!$J:$J,Weekly_Data!$A:$A,"AIAgents",Weekly_Data!$C:$C,$C149)</f>
        <v>0</v>
      </c>
    </row>
    <row r="150" spans="1:10" ht="15" customHeight="1">
      <c r="A150" t="s">
        <v>9</v>
      </c>
      <c r="B150" t="s">
        <v>66</v>
      </c>
      <c r="C150">
        <v>45</v>
      </c>
      <c r="D150">
        <v>11</v>
      </c>
      <c r="E150">
        <v>1</v>
      </c>
      <c r="F150" s="5" t="str">
        <f>IFERROR(ROUND(AVERAGEIFS(Weekly_Data!$F:$F,Weekly_Data!$A:$A,"AIAgents",Weekly_Data!$C:$C,$C150),0),"")</f>
        <v/>
      </c>
      <c r="G150" s="5" t="str">
        <f>IFERROR(ROUND(AVERAGEIFS(Weekly_Data!$G:$G,Weekly_Data!$A:$A,"AIAgents",Weekly_Data!$C:$C,$C150),0),"")</f>
        <v/>
      </c>
      <c r="I150">
        <f>SUMIFS(Weekly_Data!$I:$I,Weekly_Data!$A:$A,"AIAgents",Weekly_Data!$C:$C,$C150)</f>
        <v>0</v>
      </c>
      <c r="J150">
        <f>SUMIFS(Weekly_Data!$J:$J,Weekly_Data!$A:$A,"AIAgents",Weekly_Data!$C:$C,$C150)</f>
        <v>0</v>
      </c>
    </row>
    <row r="151" spans="1:10" ht="15" customHeight="1">
      <c r="A151" t="s">
        <v>9</v>
      </c>
      <c r="B151" t="s">
        <v>66</v>
      </c>
      <c r="C151">
        <v>46</v>
      </c>
      <c r="D151">
        <v>11</v>
      </c>
      <c r="E151">
        <v>2</v>
      </c>
      <c r="F151" s="5" t="str">
        <f>IFERROR(ROUND(AVERAGEIFS(Weekly_Data!$F:$F,Weekly_Data!$A:$A,"AIAgents",Weekly_Data!$C:$C,$C151),0),"")</f>
        <v/>
      </c>
      <c r="G151" s="5" t="str">
        <f>IFERROR(ROUND(AVERAGEIFS(Weekly_Data!$G:$G,Weekly_Data!$A:$A,"AIAgents",Weekly_Data!$C:$C,$C151),0),"")</f>
        <v/>
      </c>
      <c r="I151">
        <f>SUMIFS(Weekly_Data!$I:$I,Weekly_Data!$A:$A,"AIAgents",Weekly_Data!$C:$C,$C151)</f>
        <v>0</v>
      </c>
      <c r="J151">
        <f>SUMIFS(Weekly_Data!$J:$J,Weekly_Data!$A:$A,"AIAgents",Weekly_Data!$C:$C,$C151)</f>
        <v>0</v>
      </c>
    </row>
    <row r="152" spans="1:10" ht="15" customHeight="1">
      <c r="A152" t="s">
        <v>9</v>
      </c>
      <c r="B152" t="s">
        <v>66</v>
      </c>
      <c r="C152">
        <v>47</v>
      </c>
      <c r="D152">
        <v>11</v>
      </c>
      <c r="E152">
        <v>3</v>
      </c>
      <c r="F152" s="5" t="str">
        <f>IFERROR(ROUND(AVERAGEIFS(Weekly_Data!$F:$F,Weekly_Data!$A:$A,"AIAgents",Weekly_Data!$C:$C,$C152),0),"")</f>
        <v/>
      </c>
      <c r="G152" s="5" t="str">
        <f>IFERROR(ROUND(AVERAGEIFS(Weekly_Data!$G:$G,Weekly_Data!$A:$A,"AIAgents",Weekly_Data!$C:$C,$C152),0),"")</f>
        <v/>
      </c>
      <c r="I152">
        <f>SUMIFS(Weekly_Data!$I:$I,Weekly_Data!$A:$A,"AIAgents",Weekly_Data!$C:$C,$C152)</f>
        <v>0</v>
      </c>
      <c r="J152">
        <f>SUMIFS(Weekly_Data!$J:$J,Weekly_Data!$A:$A,"AIAgents",Weekly_Data!$C:$C,$C152)</f>
        <v>0</v>
      </c>
    </row>
    <row r="153" spans="1:10" ht="15" customHeight="1">
      <c r="A153" t="s">
        <v>9</v>
      </c>
      <c r="B153" t="s">
        <v>66</v>
      </c>
      <c r="C153">
        <v>48</v>
      </c>
      <c r="D153">
        <v>11</v>
      </c>
      <c r="E153">
        <v>4</v>
      </c>
      <c r="F153" s="5" t="str">
        <f>IFERROR(ROUND(AVERAGEIFS(Weekly_Data!$F:$F,Weekly_Data!$A:$A,"AIAgents",Weekly_Data!$C:$C,$C153),0),"")</f>
        <v/>
      </c>
      <c r="G153" s="5" t="str">
        <f>IFERROR(ROUND(AVERAGEIFS(Weekly_Data!$G:$G,Weekly_Data!$A:$A,"AIAgents",Weekly_Data!$C:$C,$C153),0),"")</f>
        <v/>
      </c>
      <c r="I153">
        <f>SUMIFS(Weekly_Data!$I:$I,Weekly_Data!$A:$A,"AIAgents",Weekly_Data!$C:$C,$C153)</f>
        <v>0</v>
      </c>
      <c r="J153">
        <f>SUMIFS(Weekly_Data!$J:$J,Weekly_Data!$A:$A,"AIAgents",Weekly_Data!$C:$C,$C153)</f>
        <v>0</v>
      </c>
    </row>
    <row r="154" spans="1:10" ht="15" customHeight="1">
      <c r="A154" t="s">
        <v>9</v>
      </c>
      <c r="B154" t="s">
        <v>66</v>
      </c>
      <c r="C154">
        <v>49</v>
      </c>
      <c r="D154">
        <v>12</v>
      </c>
      <c r="E154">
        <v>1</v>
      </c>
      <c r="F154" s="5" t="str">
        <f>IFERROR(ROUND(AVERAGEIFS(Weekly_Data!$F:$F,Weekly_Data!$A:$A,"AIAgents",Weekly_Data!$C:$C,$C154),0),"")</f>
        <v/>
      </c>
      <c r="G154" s="5" t="str">
        <f>IFERROR(ROUND(AVERAGEIFS(Weekly_Data!$G:$G,Weekly_Data!$A:$A,"AIAgents",Weekly_Data!$C:$C,$C154),0),"")</f>
        <v/>
      </c>
      <c r="I154">
        <f>SUMIFS(Weekly_Data!$I:$I,Weekly_Data!$A:$A,"AIAgents",Weekly_Data!$C:$C,$C154)</f>
        <v>0</v>
      </c>
      <c r="J154">
        <f>SUMIFS(Weekly_Data!$J:$J,Weekly_Data!$A:$A,"AIAgents",Weekly_Data!$C:$C,$C154)</f>
        <v>0</v>
      </c>
    </row>
    <row r="155" spans="1:10" ht="15" customHeight="1">
      <c r="A155" t="s">
        <v>9</v>
      </c>
      <c r="B155" t="s">
        <v>66</v>
      </c>
      <c r="C155">
        <v>50</v>
      </c>
      <c r="D155">
        <v>12</v>
      </c>
      <c r="E155">
        <v>2</v>
      </c>
      <c r="F155" s="5" t="str">
        <f>IFERROR(ROUND(AVERAGEIFS(Weekly_Data!$F:$F,Weekly_Data!$A:$A,"AIAgents",Weekly_Data!$C:$C,$C155),0),"")</f>
        <v/>
      </c>
      <c r="G155" s="5" t="str">
        <f>IFERROR(ROUND(AVERAGEIFS(Weekly_Data!$G:$G,Weekly_Data!$A:$A,"AIAgents",Weekly_Data!$C:$C,$C155),0),"")</f>
        <v/>
      </c>
      <c r="I155">
        <f>SUMIFS(Weekly_Data!$I:$I,Weekly_Data!$A:$A,"AIAgents",Weekly_Data!$C:$C,$C155)</f>
        <v>0</v>
      </c>
      <c r="J155">
        <f>SUMIFS(Weekly_Data!$J:$J,Weekly_Data!$A:$A,"AIAgents",Weekly_Data!$C:$C,$C155)</f>
        <v>0</v>
      </c>
    </row>
    <row r="156" spans="1:10" ht="15" customHeight="1">
      <c r="A156" t="s">
        <v>9</v>
      </c>
      <c r="B156" t="s">
        <v>66</v>
      </c>
      <c r="C156">
        <v>51</v>
      </c>
      <c r="D156">
        <v>12</v>
      </c>
      <c r="E156">
        <v>3</v>
      </c>
      <c r="F156" s="5" t="str">
        <f>IFERROR(ROUND(AVERAGEIFS(Weekly_Data!$F:$F,Weekly_Data!$A:$A,"AIAgents",Weekly_Data!$C:$C,$C156),0),"")</f>
        <v/>
      </c>
      <c r="G156" s="5" t="str">
        <f>IFERROR(ROUND(AVERAGEIFS(Weekly_Data!$G:$G,Weekly_Data!$A:$A,"AIAgents",Weekly_Data!$C:$C,$C156),0),"")</f>
        <v/>
      </c>
      <c r="I156">
        <f>SUMIFS(Weekly_Data!$I:$I,Weekly_Data!$A:$A,"AIAgents",Weekly_Data!$C:$C,$C156)</f>
        <v>0</v>
      </c>
      <c r="J156">
        <f>SUMIFS(Weekly_Data!$J:$J,Weekly_Data!$A:$A,"AIAgents",Weekly_Data!$C:$C,$C156)</f>
        <v>0</v>
      </c>
    </row>
    <row r="157" spans="1:10" ht="15" customHeight="1">
      <c r="A157" t="s">
        <v>9</v>
      </c>
      <c r="B157" t="s">
        <v>66</v>
      </c>
      <c r="C157">
        <v>52</v>
      </c>
      <c r="D157">
        <v>12</v>
      </c>
      <c r="E157">
        <v>4</v>
      </c>
      <c r="F157" s="5" t="str">
        <f>IFERROR(ROUND(AVERAGEIFS(Weekly_Data!$F:$F,Weekly_Data!$A:$A,"AIAgents",Weekly_Data!$C:$C,$C157),0),"")</f>
        <v/>
      </c>
      <c r="G157" s="5" t="str">
        <f>IFERROR(ROUND(AVERAGEIFS(Weekly_Data!$G:$G,Weekly_Data!$A:$A,"AIAgents",Weekly_Data!$C:$C,$C157),0),"")</f>
        <v/>
      </c>
      <c r="I157">
        <f>SUMIFS(Weekly_Data!$I:$I,Weekly_Data!$A:$A,"AIAgents",Weekly_Data!$C:$C,$C157)</f>
        <v>0</v>
      </c>
      <c r="J157">
        <f>SUMIFS(Weekly_Data!$J:$J,Weekly_Data!$A:$A,"AIAgents",Weekly_Data!$C:$C,$C157)</f>
        <v>0</v>
      </c>
    </row>
    <row r="158" spans="1:10" ht="15" customHeight="1">
      <c r="A158" t="s">
        <v>9</v>
      </c>
      <c r="B158" t="s">
        <v>71</v>
      </c>
      <c r="C158">
        <v>1</v>
      </c>
      <c r="D158">
        <v>1</v>
      </c>
      <c r="E158">
        <v>1</v>
      </c>
      <c r="F158" s="5" t="str">
        <f>IFERROR(ROUND(AVERAGEIFS(Weekly_Data!$F:$F,Weekly_Data!$A:$A,"SOKnowledge",Weekly_Data!$C:$C,$C158),0),"")</f>
        <v/>
      </c>
      <c r="G158" s="5" t="str">
        <f>IFERROR(ROUND(AVERAGEIFS(Weekly_Data!$G:$G,Weekly_Data!$A:$A,"SOKnowledge",Weekly_Data!$C:$C,$C158),0),"")</f>
        <v/>
      </c>
      <c r="H158" t="s">
        <v>92</v>
      </c>
      <c r="I158">
        <f>SUMIFS(Weekly_Data!$I:$I,Weekly_Data!$A:$A,"SOKnowledge",Weekly_Data!$C:$C,$C158)</f>
        <v>0</v>
      </c>
      <c r="J158">
        <f>SUMIFS(Weekly_Data!$J:$J,Weekly_Data!$A:$A,"SOKnowledge",Weekly_Data!$C:$C,$C158)</f>
        <v>0</v>
      </c>
    </row>
    <row r="159" spans="1:10" ht="15" customHeight="1">
      <c r="A159" t="s">
        <v>9</v>
      </c>
      <c r="B159" t="s">
        <v>71</v>
      </c>
      <c r="C159">
        <v>2</v>
      </c>
      <c r="D159">
        <v>1</v>
      </c>
      <c r="E159">
        <v>2</v>
      </c>
      <c r="F159" s="5" t="str">
        <f>IFERROR(ROUND(AVERAGEIFS(Weekly_Data!$F:$F,Weekly_Data!$A:$A,"SOKnowledge",Weekly_Data!$C:$C,$C159),0),"")</f>
        <v/>
      </c>
      <c r="G159" s="5" t="str">
        <f>IFERROR(ROUND(AVERAGEIFS(Weekly_Data!$G:$G,Weekly_Data!$A:$A,"SOKnowledge",Weekly_Data!$C:$C,$C159),0),"")</f>
        <v/>
      </c>
      <c r="H159" t="s">
        <v>92</v>
      </c>
      <c r="I159">
        <f>SUMIFS(Weekly_Data!$I:$I,Weekly_Data!$A:$A,"SOKnowledge",Weekly_Data!$C:$C,$C159)</f>
        <v>0</v>
      </c>
      <c r="J159">
        <f>SUMIFS(Weekly_Data!$J:$J,Weekly_Data!$A:$A,"SOKnowledge",Weekly_Data!$C:$C,$C159)</f>
        <v>0</v>
      </c>
    </row>
    <row r="160" spans="1:10" ht="15" customHeight="1">
      <c r="A160" t="s">
        <v>9</v>
      </c>
      <c r="B160" t="s">
        <v>71</v>
      </c>
      <c r="C160">
        <v>3</v>
      </c>
      <c r="D160">
        <v>1</v>
      </c>
      <c r="E160">
        <v>3</v>
      </c>
      <c r="F160" s="5" t="str">
        <f>IFERROR(ROUND(AVERAGEIFS(Weekly_Data!$F:$F,Weekly_Data!$A:$A,"SOKnowledge",Weekly_Data!$C:$C,$C160),0),"")</f>
        <v/>
      </c>
      <c r="G160" s="5" t="str">
        <f>IFERROR(ROUND(AVERAGEIFS(Weekly_Data!$G:$G,Weekly_Data!$A:$A,"SOKnowledge",Weekly_Data!$C:$C,$C160),0),"")</f>
        <v/>
      </c>
      <c r="H160" t="s">
        <v>92</v>
      </c>
      <c r="I160">
        <f>SUMIFS(Weekly_Data!$I:$I,Weekly_Data!$A:$A,"SOKnowledge",Weekly_Data!$C:$C,$C160)</f>
        <v>0</v>
      </c>
      <c r="J160">
        <f>SUMIFS(Weekly_Data!$J:$J,Weekly_Data!$A:$A,"SOKnowledge",Weekly_Data!$C:$C,$C160)</f>
        <v>0</v>
      </c>
    </row>
    <row r="161" spans="1:10" ht="15" customHeight="1">
      <c r="A161" t="s">
        <v>9</v>
      </c>
      <c r="B161" t="s">
        <v>71</v>
      </c>
      <c r="C161">
        <v>4</v>
      </c>
      <c r="D161">
        <v>1</v>
      </c>
      <c r="E161">
        <v>4</v>
      </c>
      <c r="F161" s="5" t="str">
        <f>IFERROR(ROUND(AVERAGEIFS(Weekly_Data!$F:$F,Weekly_Data!$A:$A,"SOKnowledge",Weekly_Data!$C:$C,$C161),0),"")</f>
        <v/>
      </c>
      <c r="G161" s="5" t="str">
        <f>IFERROR(ROUND(AVERAGEIFS(Weekly_Data!$G:$G,Weekly_Data!$A:$A,"SOKnowledge",Weekly_Data!$C:$C,$C161),0),"")</f>
        <v/>
      </c>
      <c r="H161" t="s">
        <v>92</v>
      </c>
      <c r="I161">
        <f>SUMIFS(Weekly_Data!$I:$I,Weekly_Data!$A:$A,"SOKnowledge",Weekly_Data!$C:$C,$C161)</f>
        <v>0</v>
      </c>
      <c r="J161">
        <f>SUMIFS(Weekly_Data!$J:$J,Weekly_Data!$A:$A,"SOKnowledge",Weekly_Data!$C:$C,$C161)</f>
        <v>0</v>
      </c>
    </row>
    <row r="162" spans="1:10" ht="15" customHeight="1">
      <c r="A162" t="s">
        <v>9</v>
      </c>
      <c r="B162" t="s">
        <v>71</v>
      </c>
      <c r="C162">
        <v>5</v>
      </c>
      <c r="D162">
        <v>1</v>
      </c>
      <c r="E162">
        <v>5</v>
      </c>
      <c r="F162" s="5" t="str">
        <f>IFERROR(ROUND(AVERAGEIFS(Weekly_Data!$F:$F,Weekly_Data!$A:$A,"SOKnowledge",Weekly_Data!$C:$C,$C162),0),"")</f>
        <v/>
      </c>
      <c r="G162" s="5" t="str">
        <f>IFERROR(ROUND(AVERAGEIFS(Weekly_Data!$G:$G,Weekly_Data!$A:$A,"SOKnowledge",Weekly_Data!$C:$C,$C162),0),"")</f>
        <v/>
      </c>
      <c r="H162" t="s">
        <v>92</v>
      </c>
      <c r="I162">
        <f>SUMIFS(Weekly_Data!$I:$I,Weekly_Data!$A:$A,"SOKnowledge",Weekly_Data!$C:$C,$C162)</f>
        <v>0</v>
      </c>
      <c r="J162">
        <f>SUMIFS(Weekly_Data!$J:$J,Weekly_Data!$A:$A,"SOKnowledge",Weekly_Data!$C:$C,$C162)</f>
        <v>0</v>
      </c>
    </row>
    <row r="163" spans="1:10" ht="15" customHeight="1">
      <c r="A163" t="s">
        <v>9</v>
      </c>
      <c r="B163" t="s">
        <v>71</v>
      </c>
      <c r="C163">
        <v>6</v>
      </c>
      <c r="D163">
        <v>2</v>
      </c>
      <c r="E163">
        <v>1</v>
      </c>
      <c r="F163" s="5" t="str">
        <f>IFERROR(ROUND(AVERAGEIFS(Weekly_Data!$F:$F,Weekly_Data!$A:$A,"SOKnowledge",Weekly_Data!$C:$C,$C163),0),"")</f>
        <v/>
      </c>
      <c r="G163" s="5" t="str">
        <f>IFERROR(ROUND(AVERAGEIFS(Weekly_Data!$G:$G,Weekly_Data!$A:$A,"SOKnowledge",Weekly_Data!$C:$C,$C163),0),"")</f>
        <v/>
      </c>
      <c r="H163" t="s">
        <v>92</v>
      </c>
      <c r="I163">
        <f>SUMIFS(Weekly_Data!$I:$I,Weekly_Data!$A:$A,"SOKnowledge",Weekly_Data!$C:$C,$C163)</f>
        <v>0</v>
      </c>
      <c r="J163">
        <f>SUMIFS(Weekly_Data!$J:$J,Weekly_Data!$A:$A,"SOKnowledge",Weekly_Data!$C:$C,$C163)</f>
        <v>0</v>
      </c>
    </row>
    <row r="164" spans="1:10" ht="15" customHeight="1">
      <c r="A164" t="s">
        <v>9</v>
      </c>
      <c r="B164" t="s">
        <v>71</v>
      </c>
      <c r="C164">
        <v>7</v>
      </c>
      <c r="D164">
        <v>2</v>
      </c>
      <c r="E164">
        <v>2</v>
      </c>
      <c r="F164" s="5" t="str">
        <f>IFERROR(ROUND(AVERAGEIFS(Weekly_Data!$F:$F,Weekly_Data!$A:$A,"SOKnowledge",Weekly_Data!$C:$C,$C164),0),"")</f>
        <v/>
      </c>
      <c r="G164" s="5" t="str">
        <f>IFERROR(ROUND(AVERAGEIFS(Weekly_Data!$G:$G,Weekly_Data!$A:$A,"SOKnowledge",Weekly_Data!$C:$C,$C164),0),"")</f>
        <v/>
      </c>
      <c r="H164" t="s">
        <v>92</v>
      </c>
      <c r="I164">
        <f>SUMIFS(Weekly_Data!$I:$I,Weekly_Data!$A:$A,"SOKnowledge",Weekly_Data!$C:$C,$C164)</f>
        <v>0</v>
      </c>
      <c r="J164">
        <f>SUMIFS(Weekly_Data!$J:$J,Weekly_Data!$A:$A,"SOKnowledge",Weekly_Data!$C:$C,$C164)</f>
        <v>0</v>
      </c>
    </row>
    <row r="165" spans="1:10" ht="15" customHeight="1">
      <c r="A165" t="s">
        <v>9</v>
      </c>
      <c r="B165" t="s">
        <v>71</v>
      </c>
      <c r="C165">
        <v>8</v>
      </c>
      <c r="D165">
        <v>2</v>
      </c>
      <c r="E165">
        <v>3</v>
      </c>
      <c r="F165" s="5" t="str">
        <f>IFERROR(ROUND(AVERAGEIFS(Weekly_Data!$F:$F,Weekly_Data!$A:$A,"SOKnowledge",Weekly_Data!$C:$C,$C165),0),"")</f>
        <v/>
      </c>
      <c r="G165" s="5" t="str">
        <f>IFERROR(ROUND(AVERAGEIFS(Weekly_Data!$G:$G,Weekly_Data!$A:$A,"SOKnowledge",Weekly_Data!$C:$C,$C165),0),"")</f>
        <v/>
      </c>
      <c r="H165" t="s">
        <v>92</v>
      </c>
      <c r="I165">
        <f>SUMIFS(Weekly_Data!$I:$I,Weekly_Data!$A:$A,"SOKnowledge",Weekly_Data!$C:$C,$C165)</f>
        <v>0</v>
      </c>
      <c r="J165">
        <f>SUMIFS(Weekly_Data!$J:$J,Weekly_Data!$A:$A,"SOKnowledge",Weekly_Data!$C:$C,$C165)</f>
        <v>0</v>
      </c>
    </row>
    <row r="166" spans="1:10" ht="15" customHeight="1">
      <c r="A166" t="s">
        <v>9</v>
      </c>
      <c r="B166" t="s">
        <v>71</v>
      </c>
      <c r="C166">
        <v>9</v>
      </c>
      <c r="D166">
        <v>2</v>
      </c>
      <c r="E166">
        <v>4</v>
      </c>
      <c r="F166" s="5" t="str">
        <f>IFERROR(ROUND(AVERAGEIFS(Weekly_Data!$F:$F,Weekly_Data!$A:$A,"SOKnowledge",Weekly_Data!$C:$C,$C166),0),"")</f>
        <v/>
      </c>
      <c r="G166" s="5" t="str">
        <f>IFERROR(ROUND(AVERAGEIFS(Weekly_Data!$G:$G,Weekly_Data!$A:$A,"SOKnowledge",Weekly_Data!$C:$C,$C166),0),"")</f>
        <v/>
      </c>
      <c r="H166" t="s">
        <v>92</v>
      </c>
      <c r="I166">
        <f>SUMIFS(Weekly_Data!$I:$I,Weekly_Data!$A:$A,"SOKnowledge",Weekly_Data!$C:$C,$C166)</f>
        <v>0</v>
      </c>
      <c r="J166">
        <f>SUMIFS(Weekly_Data!$J:$J,Weekly_Data!$A:$A,"SOKnowledge",Weekly_Data!$C:$C,$C166)</f>
        <v>0</v>
      </c>
    </row>
    <row r="167" spans="1:10" ht="15" customHeight="1">
      <c r="A167" t="s">
        <v>9</v>
      </c>
      <c r="B167" t="s">
        <v>71</v>
      </c>
      <c r="C167">
        <v>10</v>
      </c>
      <c r="D167">
        <v>3</v>
      </c>
      <c r="E167">
        <v>1</v>
      </c>
      <c r="F167" s="5" t="str">
        <f>IFERROR(ROUND(AVERAGEIFS(Weekly_Data!$F:$F,Weekly_Data!$A:$A,"SOKnowledge",Weekly_Data!$C:$C,$C167),0),"")</f>
        <v/>
      </c>
      <c r="G167" s="5" t="str">
        <f>IFERROR(ROUND(AVERAGEIFS(Weekly_Data!$G:$G,Weekly_Data!$A:$A,"SOKnowledge",Weekly_Data!$C:$C,$C167),0),"")</f>
        <v/>
      </c>
      <c r="H167" t="s">
        <v>92</v>
      </c>
      <c r="I167">
        <f>SUMIFS(Weekly_Data!$I:$I,Weekly_Data!$A:$A,"SOKnowledge",Weekly_Data!$C:$C,$C167)</f>
        <v>0</v>
      </c>
      <c r="J167">
        <f>SUMIFS(Weekly_Data!$J:$J,Weekly_Data!$A:$A,"SOKnowledge",Weekly_Data!$C:$C,$C167)</f>
        <v>0</v>
      </c>
    </row>
    <row r="168" spans="1:10" ht="15" customHeight="1">
      <c r="A168" t="s">
        <v>9</v>
      </c>
      <c r="B168" t="s">
        <v>71</v>
      </c>
      <c r="C168">
        <v>11</v>
      </c>
      <c r="D168">
        <v>3</v>
      </c>
      <c r="E168">
        <v>2</v>
      </c>
      <c r="F168" s="5" t="str">
        <f>IFERROR(ROUND(AVERAGEIFS(Weekly_Data!$F:$F,Weekly_Data!$A:$A,"SOKnowledge",Weekly_Data!$C:$C,$C168),0),"")</f>
        <v/>
      </c>
      <c r="G168" s="5" t="str">
        <f>IFERROR(ROUND(AVERAGEIFS(Weekly_Data!$G:$G,Weekly_Data!$A:$A,"SOKnowledge",Weekly_Data!$C:$C,$C168),0),"")</f>
        <v/>
      </c>
      <c r="H168" t="s">
        <v>92</v>
      </c>
      <c r="I168">
        <f>SUMIFS(Weekly_Data!$I:$I,Weekly_Data!$A:$A,"SOKnowledge",Weekly_Data!$C:$C,$C168)</f>
        <v>0</v>
      </c>
      <c r="J168">
        <f>SUMIFS(Weekly_Data!$J:$J,Weekly_Data!$A:$A,"SOKnowledge",Weekly_Data!$C:$C,$C168)</f>
        <v>0</v>
      </c>
    </row>
    <row r="169" spans="1:10" ht="15" customHeight="1">
      <c r="A169" t="s">
        <v>9</v>
      </c>
      <c r="B169" t="s">
        <v>71</v>
      </c>
      <c r="C169">
        <v>12</v>
      </c>
      <c r="D169">
        <v>3</v>
      </c>
      <c r="E169">
        <v>3</v>
      </c>
      <c r="F169" s="5" t="str">
        <f>IFERROR(ROUND(AVERAGEIFS(Weekly_Data!$F:$F,Weekly_Data!$A:$A,"SOKnowledge",Weekly_Data!$C:$C,$C169),0),"")</f>
        <v/>
      </c>
      <c r="G169" s="5" t="str">
        <f>IFERROR(ROUND(AVERAGEIFS(Weekly_Data!$G:$G,Weekly_Data!$A:$A,"SOKnowledge",Weekly_Data!$C:$C,$C169),0),"")</f>
        <v/>
      </c>
      <c r="H169" t="s">
        <v>92</v>
      </c>
      <c r="I169">
        <f>SUMIFS(Weekly_Data!$I:$I,Weekly_Data!$A:$A,"SOKnowledge",Weekly_Data!$C:$C,$C169)</f>
        <v>0</v>
      </c>
      <c r="J169">
        <f>SUMIFS(Weekly_Data!$J:$J,Weekly_Data!$A:$A,"SOKnowledge",Weekly_Data!$C:$C,$C169)</f>
        <v>0</v>
      </c>
    </row>
    <row r="170" spans="1:10" ht="15" customHeight="1">
      <c r="A170" t="s">
        <v>9</v>
      </c>
      <c r="B170" t="s">
        <v>71</v>
      </c>
      <c r="C170">
        <v>13</v>
      </c>
      <c r="D170">
        <v>3</v>
      </c>
      <c r="E170">
        <v>4</v>
      </c>
      <c r="F170" s="5" t="str">
        <f>IFERROR(ROUND(AVERAGEIFS(Weekly_Data!$F:$F,Weekly_Data!$A:$A,"SOKnowledge",Weekly_Data!$C:$C,$C170),0),"")</f>
        <v/>
      </c>
      <c r="G170" s="5" t="str">
        <f>IFERROR(ROUND(AVERAGEIFS(Weekly_Data!$G:$G,Weekly_Data!$A:$A,"SOKnowledge",Weekly_Data!$C:$C,$C170),0),"")</f>
        <v/>
      </c>
      <c r="H170" t="s">
        <v>92</v>
      </c>
      <c r="I170">
        <f>SUMIFS(Weekly_Data!$I:$I,Weekly_Data!$A:$A,"SOKnowledge",Weekly_Data!$C:$C,$C170)</f>
        <v>0</v>
      </c>
      <c r="J170">
        <f>SUMIFS(Weekly_Data!$J:$J,Weekly_Data!$A:$A,"SOKnowledge",Weekly_Data!$C:$C,$C170)</f>
        <v>0</v>
      </c>
    </row>
    <row r="171" spans="1:10" ht="15" customHeight="1">
      <c r="A171" t="s">
        <v>9</v>
      </c>
      <c r="B171" t="s">
        <v>71</v>
      </c>
      <c r="C171">
        <v>14</v>
      </c>
      <c r="D171">
        <v>4</v>
      </c>
      <c r="E171">
        <v>1</v>
      </c>
      <c r="F171" s="5" t="str">
        <f>IFERROR(ROUND(AVERAGEIFS(Weekly_Data!$F:$F,Weekly_Data!$A:$A,"SOKnowledge",Weekly_Data!$C:$C,$C171),0),"")</f>
        <v/>
      </c>
      <c r="G171" s="5" t="str">
        <f>IFERROR(ROUND(AVERAGEIFS(Weekly_Data!$G:$G,Weekly_Data!$A:$A,"SOKnowledge",Weekly_Data!$C:$C,$C171),0),"")</f>
        <v/>
      </c>
      <c r="H171" t="s">
        <v>92</v>
      </c>
      <c r="I171">
        <f>SUMIFS(Weekly_Data!$I:$I,Weekly_Data!$A:$A,"SOKnowledge",Weekly_Data!$C:$C,$C171)</f>
        <v>0</v>
      </c>
      <c r="J171">
        <f>SUMIFS(Weekly_Data!$J:$J,Weekly_Data!$A:$A,"SOKnowledge",Weekly_Data!$C:$C,$C171)</f>
        <v>0</v>
      </c>
    </row>
    <row r="172" spans="1:10" ht="15" customHeight="1">
      <c r="A172" t="s">
        <v>9</v>
      </c>
      <c r="B172" t="s">
        <v>71</v>
      </c>
      <c r="C172">
        <v>15</v>
      </c>
      <c r="D172">
        <v>4</v>
      </c>
      <c r="E172">
        <v>2</v>
      </c>
      <c r="F172" s="5" t="str">
        <f>IFERROR(ROUND(AVERAGEIFS(Weekly_Data!$F:$F,Weekly_Data!$A:$A,"SOKnowledge",Weekly_Data!$C:$C,$C172),0),"")</f>
        <v/>
      </c>
      <c r="G172" s="5" t="str">
        <f>IFERROR(ROUND(AVERAGEIFS(Weekly_Data!$G:$G,Weekly_Data!$A:$A,"SOKnowledge",Weekly_Data!$C:$C,$C172),0),"")</f>
        <v/>
      </c>
      <c r="H172" t="s">
        <v>92</v>
      </c>
      <c r="I172">
        <f>SUMIFS(Weekly_Data!$I:$I,Weekly_Data!$A:$A,"SOKnowledge",Weekly_Data!$C:$C,$C172)</f>
        <v>0</v>
      </c>
      <c r="J172">
        <f>SUMIFS(Weekly_Data!$J:$J,Weekly_Data!$A:$A,"SOKnowledge",Weekly_Data!$C:$C,$C172)</f>
        <v>0</v>
      </c>
    </row>
    <row r="173" spans="1:10" ht="15" customHeight="1">
      <c r="A173" t="s">
        <v>9</v>
      </c>
      <c r="B173" t="s">
        <v>71</v>
      </c>
      <c r="C173">
        <v>16</v>
      </c>
      <c r="D173">
        <v>4</v>
      </c>
      <c r="E173">
        <v>3</v>
      </c>
      <c r="F173" s="5" t="str">
        <f>IFERROR(ROUND(AVERAGEIFS(Weekly_Data!$F:$F,Weekly_Data!$A:$A,"SOKnowledge",Weekly_Data!$C:$C,$C173),0),"")</f>
        <v/>
      </c>
      <c r="G173" s="5" t="str">
        <f>IFERROR(ROUND(AVERAGEIFS(Weekly_Data!$G:$G,Weekly_Data!$A:$A,"SOKnowledge",Weekly_Data!$C:$C,$C173),0),"")</f>
        <v/>
      </c>
      <c r="H173" t="s">
        <v>92</v>
      </c>
      <c r="I173">
        <f>SUMIFS(Weekly_Data!$I:$I,Weekly_Data!$A:$A,"SOKnowledge",Weekly_Data!$C:$C,$C173)</f>
        <v>0</v>
      </c>
      <c r="J173">
        <f>SUMIFS(Weekly_Data!$J:$J,Weekly_Data!$A:$A,"SOKnowledge",Weekly_Data!$C:$C,$C173)</f>
        <v>0</v>
      </c>
    </row>
    <row r="174" spans="1:10" ht="15" customHeight="1">
      <c r="A174" t="s">
        <v>9</v>
      </c>
      <c r="B174" t="s">
        <v>71</v>
      </c>
      <c r="C174">
        <v>17</v>
      </c>
      <c r="D174">
        <v>4</v>
      </c>
      <c r="E174">
        <v>4</v>
      </c>
      <c r="F174" s="5" t="str">
        <f>IFERROR(ROUND(AVERAGEIFS(Weekly_Data!$F:$F,Weekly_Data!$A:$A,"SOKnowledge",Weekly_Data!$C:$C,$C174),0),"")</f>
        <v/>
      </c>
      <c r="G174" s="5" t="str">
        <f>IFERROR(ROUND(AVERAGEIFS(Weekly_Data!$G:$G,Weekly_Data!$A:$A,"SOKnowledge",Weekly_Data!$C:$C,$C174),0),"")</f>
        <v/>
      </c>
      <c r="H174" t="s">
        <v>92</v>
      </c>
      <c r="I174">
        <f>SUMIFS(Weekly_Data!$I:$I,Weekly_Data!$A:$A,"SOKnowledge",Weekly_Data!$C:$C,$C174)</f>
        <v>0</v>
      </c>
      <c r="J174">
        <f>SUMIFS(Weekly_Data!$J:$J,Weekly_Data!$A:$A,"SOKnowledge",Weekly_Data!$C:$C,$C174)</f>
        <v>0</v>
      </c>
    </row>
    <row r="175" spans="1:10" ht="15" customHeight="1">
      <c r="A175" t="s">
        <v>9</v>
      </c>
      <c r="B175" t="s">
        <v>71</v>
      </c>
      <c r="C175">
        <v>18</v>
      </c>
      <c r="D175">
        <v>5</v>
      </c>
      <c r="E175">
        <v>1</v>
      </c>
      <c r="F175" s="5" t="str">
        <f>IFERROR(ROUND(AVERAGEIFS(Weekly_Data!$F:$F,Weekly_Data!$A:$A,"SOKnowledge",Weekly_Data!$C:$C,$C175),0),"")</f>
        <v/>
      </c>
      <c r="G175" s="5" t="str">
        <f>IFERROR(ROUND(AVERAGEIFS(Weekly_Data!$G:$G,Weekly_Data!$A:$A,"SOKnowledge",Weekly_Data!$C:$C,$C175),0),"")</f>
        <v/>
      </c>
      <c r="H175" t="s">
        <v>92</v>
      </c>
      <c r="I175">
        <f>SUMIFS(Weekly_Data!$I:$I,Weekly_Data!$A:$A,"SOKnowledge",Weekly_Data!$C:$C,$C175)</f>
        <v>0</v>
      </c>
      <c r="J175">
        <f>SUMIFS(Weekly_Data!$J:$J,Weekly_Data!$A:$A,"SOKnowledge",Weekly_Data!$C:$C,$C175)</f>
        <v>0</v>
      </c>
    </row>
    <row r="176" spans="1:10" ht="15" customHeight="1">
      <c r="A176" t="s">
        <v>9</v>
      </c>
      <c r="B176" t="s">
        <v>71</v>
      </c>
      <c r="C176">
        <v>19</v>
      </c>
      <c r="D176">
        <v>5</v>
      </c>
      <c r="E176">
        <v>2</v>
      </c>
      <c r="F176" s="5" t="str">
        <f>IFERROR(ROUND(AVERAGEIFS(Weekly_Data!$F:$F,Weekly_Data!$A:$A,"SOKnowledge",Weekly_Data!$C:$C,$C176),0),"")</f>
        <v/>
      </c>
      <c r="G176" s="5" t="str">
        <f>IFERROR(ROUND(AVERAGEIFS(Weekly_Data!$G:$G,Weekly_Data!$A:$A,"SOKnowledge",Weekly_Data!$C:$C,$C176),0),"")</f>
        <v/>
      </c>
      <c r="H176" t="s">
        <v>92</v>
      </c>
      <c r="I176">
        <f>SUMIFS(Weekly_Data!$I:$I,Weekly_Data!$A:$A,"SOKnowledge",Weekly_Data!$C:$C,$C176)</f>
        <v>0</v>
      </c>
      <c r="J176">
        <f>SUMIFS(Weekly_Data!$J:$J,Weekly_Data!$A:$A,"SOKnowledge",Weekly_Data!$C:$C,$C176)</f>
        <v>0</v>
      </c>
    </row>
    <row r="177" spans="1:10" ht="15" customHeight="1">
      <c r="A177" t="s">
        <v>9</v>
      </c>
      <c r="B177" t="s">
        <v>71</v>
      </c>
      <c r="C177">
        <v>20</v>
      </c>
      <c r="D177">
        <v>5</v>
      </c>
      <c r="E177">
        <v>3</v>
      </c>
      <c r="F177" s="5" t="str">
        <f>IFERROR(ROUND(AVERAGEIFS(Weekly_Data!$F:$F,Weekly_Data!$A:$A,"SOKnowledge",Weekly_Data!$C:$C,$C177),0),"")</f>
        <v/>
      </c>
      <c r="G177" s="5" t="str">
        <f>IFERROR(ROUND(AVERAGEIFS(Weekly_Data!$G:$G,Weekly_Data!$A:$A,"SOKnowledge",Weekly_Data!$C:$C,$C177),0),"")</f>
        <v/>
      </c>
      <c r="H177" t="s">
        <v>92</v>
      </c>
      <c r="I177">
        <f>SUMIFS(Weekly_Data!$I:$I,Weekly_Data!$A:$A,"SOKnowledge",Weekly_Data!$C:$C,$C177)</f>
        <v>0</v>
      </c>
      <c r="J177">
        <f>SUMIFS(Weekly_Data!$J:$J,Weekly_Data!$A:$A,"SOKnowledge",Weekly_Data!$C:$C,$C177)</f>
        <v>0</v>
      </c>
    </row>
    <row r="178" spans="1:10" ht="15" customHeight="1">
      <c r="A178" t="s">
        <v>9</v>
      </c>
      <c r="B178" t="s">
        <v>71</v>
      </c>
      <c r="C178">
        <v>21</v>
      </c>
      <c r="D178">
        <v>5</v>
      </c>
      <c r="E178">
        <v>4</v>
      </c>
      <c r="F178" s="5" t="str">
        <f>IFERROR(ROUND(AVERAGEIFS(Weekly_Data!$F:$F,Weekly_Data!$A:$A,"SOKnowledge",Weekly_Data!$C:$C,$C178),0),"")</f>
        <v/>
      </c>
      <c r="G178" s="5" t="str">
        <f>IFERROR(ROUND(AVERAGEIFS(Weekly_Data!$G:$G,Weekly_Data!$A:$A,"SOKnowledge",Weekly_Data!$C:$C,$C178),0),"")</f>
        <v/>
      </c>
      <c r="H178" t="s">
        <v>92</v>
      </c>
      <c r="I178">
        <f>SUMIFS(Weekly_Data!$I:$I,Weekly_Data!$A:$A,"SOKnowledge",Weekly_Data!$C:$C,$C178)</f>
        <v>0</v>
      </c>
      <c r="J178">
        <f>SUMIFS(Weekly_Data!$J:$J,Weekly_Data!$A:$A,"SOKnowledge",Weekly_Data!$C:$C,$C178)</f>
        <v>0</v>
      </c>
    </row>
    <row r="179" spans="1:10" ht="15" customHeight="1">
      <c r="A179" t="s">
        <v>9</v>
      </c>
      <c r="B179" t="s">
        <v>71</v>
      </c>
      <c r="C179">
        <v>22</v>
      </c>
      <c r="D179">
        <v>5</v>
      </c>
      <c r="E179">
        <v>5</v>
      </c>
      <c r="F179" s="5" t="str">
        <f>IFERROR(ROUND(AVERAGEIFS(Weekly_Data!$F:$F,Weekly_Data!$A:$A,"SOKnowledge",Weekly_Data!$C:$C,$C179),0),"")</f>
        <v/>
      </c>
      <c r="G179" s="5" t="str">
        <f>IFERROR(ROUND(AVERAGEIFS(Weekly_Data!$G:$G,Weekly_Data!$A:$A,"SOKnowledge",Weekly_Data!$C:$C,$C179),0),"")</f>
        <v/>
      </c>
      <c r="H179" t="s">
        <v>92</v>
      </c>
      <c r="I179">
        <f>SUMIFS(Weekly_Data!$I:$I,Weekly_Data!$A:$A,"SOKnowledge",Weekly_Data!$C:$C,$C179)</f>
        <v>0</v>
      </c>
      <c r="J179">
        <f>SUMIFS(Weekly_Data!$J:$J,Weekly_Data!$A:$A,"SOKnowledge",Weekly_Data!$C:$C,$C179)</f>
        <v>0</v>
      </c>
    </row>
    <row r="180" spans="1:10" ht="15" customHeight="1">
      <c r="A180" t="s">
        <v>9</v>
      </c>
      <c r="B180" t="s">
        <v>71</v>
      </c>
      <c r="C180">
        <v>23</v>
      </c>
      <c r="D180">
        <v>6</v>
      </c>
      <c r="E180">
        <v>1</v>
      </c>
      <c r="F180" s="5" t="str">
        <f>IFERROR(ROUND(AVERAGEIFS(Weekly_Data!$F:$F,Weekly_Data!$A:$A,"SOKnowledge",Weekly_Data!$C:$C,$C180),0),"")</f>
        <v/>
      </c>
      <c r="G180" s="5" t="str">
        <f>IFERROR(ROUND(AVERAGEIFS(Weekly_Data!$G:$G,Weekly_Data!$A:$A,"SOKnowledge",Weekly_Data!$C:$C,$C180),0),"")</f>
        <v/>
      </c>
      <c r="H180" t="s">
        <v>92</v>
      </c>
      <c r="I180">
        <f>SUMIFS(Weekly_Data!$I:$I,Weekly_Data!$A:$A,"SOKnowledge",Weekly_Data!$C:$C,$C180)</f>
        <v>0</v>
      </c>
      <c r="J180">
        <f>SUMIFS(Weekly_Data!$J:$J,Weekly_Data!$A:$A,"SOKnowledge",Weekly_Data!$C:$C,$C180)</f>
        <v>0</v>
      </c>
    </row>
    <row r="181" spans="1:10" ht="15" customHeight="1">
      <c r="A181" t="s">
        <v>9</v>
      </c>
      <c r="B181" t="s">
        <v>71</v>
      </c>
      <c r="C181">
        <v>24</v>
      </c>
      <c r="D181">
        <v>6</v>
      </c>
      <c r="E181">
        <v>2</v>
      </c>
      <c r="F181" s="5" t="str">
        <f>IFERROR(ROUND(AVERAGEIFS(Weekly_Data!$F:$F,Weekly_Data!$A:$A,"SOKnowledge",Weekly_Data!$C:$C,$C181),0),"")</f>
        <v/>
      </c>
      <c r="G181" s="5" t="str">
        <f>IFERROR(ROUND(AVERAGEIFS(Weekly_Data!$G:$G,Weekly_Data!$A:$A,"SOKnowledge",Weekly_Data!$C:$C,$C181),0),"")</f>
        <v/>
      </c>
      <c r="H181" t="s">
        <v>92</v>
      </c>
      <c r="I181">
        <f>SUMIFS(Weekly_Data!$I:$I,Weekly_Data!$A:$A,"SOKnowledge",Weekly_Data!$C:$C,$C181)</f>
        <v>0</v>
      </c>
      <c r="J181">
        <f>SUMIFS(Weekly_Data!$J:$J,Weekly_Data!$A:$A,"SOKnowledge",Weekly_Data!$C:$C,$C181)</f>
        <v>0</v>
      </c>
    </row>
    <row r="182" spans="1:10" ht="15" customHeight="1">
      <c r="A182" t="s">
        <v>9</v>
      </c>
      <c r="B182" t="s">
        <v>71</v>
      </c>
      <c r="C182">
        <v>25</v>
      </c>
      <c r="D182">
        <v>6</v>
      </c>
      <c r="E182">
        <v>3</v>
      </c>
      <c r="F182" s="5" t="str">
        <f>IFERROR(ROUND(AVERAGEIFS(Weekly_Data!$F:$F,Weekly_Data!$A:$A,"SOKnowledge",Weekly_Data!$C:$C,$C182),0),"")</f>
        <v/>
      </c>
      <c r="G182" s="5" t="str">
        <f>IFERROR(ROUND(AVERAGEIFS(Weekly_Data!$G:$G,Weekly_Data!$A:$A,"SOKnowledge",Weekly_Data!$C:$C,$C182),0),"")</f>
        <v/>
      </c>
      <c r="I182">
        <f>SUMIFS(Weekly_Data!$I:$I,Weekly_Data!$A:$A,"SOKnowledge",Weekly_Data!$C:$C,$C182)</f>
        <v>0</v>
      </c>
      <c r="J182">
        <f>SUMIFS(Weekly_Data!$J:$J,Weekly_Data!$A:$A,"SOKnowledge",Weekly_Data!$C:$C,$C182)</f>
        <v>0</v>
      </c>
    </row>
    <row r="183" spans="1:10" ht="15" customHeight="1">
      <c r="A183" t="s">
        <v>9</v>
      </c>
      <c r="B183" t="s">
        <v>71</v>
      </c>
      <c r="C183">
        <v>26</v>
      </c>
      <c r="D183">
        <v>6</v>
      </c>
      <c r="E183">
        <v>4</v>
      </c>
      <c r="F183" s="5" t="str">
        <f>IFERROR(ROUND(AVERAGEIFS(Weekly_Data!$F:$F,Weekly_Data!$A:$A,"SOKnowledge",Weekly_Data!$C:$C,$C183),0),"")</f>
        <v/>
      </c>
      <c r="G183" s="5" t="str">
        <f>IFERROR(ROUND(AVERAGEIFS(Weekly_Data!$G:$G,Weekly_Data!$A:$A,"SOKnowledge",Weekly_Data!$C:$C,$C183),0),"")</f>
        <v/>
      </c>
      <c r="I183">
        <f>SUMIFS(Weekly_Data!$I:$I,Weekly_Data!$A:$A,"SOKnowledge",Weekly_Data!$C:$C,$C183)</f>
        <v>0</v>
      </c>
      <c r="J183">
        <f>SUMIFS(Weekly_Data!$J:$J,Weekly_Data!$A:$A,"SOKnowledge",Weekly_Data!$C:$C,$C183)</f>
        <v>0</v>
      </c>
    </row>
    <row r="184" spans="1:10" ht="15" customHeight="1">
      <c r="A184" t="s">
        <v>9</v>
      </c>
      <c r="B184" t="s">
        <v>71</v>
      </c>
      <c r="C184">
        <v>27</v>
      </c>
      <c r="D184">
        <v>7</v>
      </c>
      <c r="E184">
        <v>1</v>
      </c>
      <c r="F184" s="5" t="str">
        <f>IFERROR(ROUND(AVERAGEIFS(Weekly_Data!$F:$F,Weekly_Data!$A:$A,"SOKnowledge",Weekly_Data!$C:$C,$C184),0),"")</f>
        <v/>
      </c>
      <c r="G184" s="5" t="str">
        <f>IFERROR(ROUND(AVERAGEIFS(Weekly_Data!$G:$G,Weekly_Data!$A:$A,"SOKnowledge",Weekly_Data!$C:$C,$C184),0),"")</f>
        <v/>
      </c>
      <c r="I184">
        <f>SUMIFS(Weekly_Data!$I:$I,Weekly_Data!$A:$A,"SOKnowledge",Weekly_Data!$C:$C,$C184)</f>
        <v>0</v>
      </c>
      <c r="J184">
        <f>SUMIFS(Weekly_Data!$J:$J,Weekly_Data!$A:$A,"SOKnowledge",Weekly_Data!$C:$C,$C184)</f>
        <v>0</v>
      </c>
    </row>
    <row r="185" spans="1:10" ht="15" customHeight="1">
      <c r="A185" t="s">
        <v>9</v>
      </c>
      <c r="B185" t="s">
        <v>71</v>
      </c>
      <c r="C185">
        <v>28</v>
      </c>
      <c r="D185">
        <v>7</v>
      </c>
      <c r="E185">
        <v>2</v>
      </c>
      <c r="F185" s="5" t="str">
        <f>IFERROR(ROUND(AVERAGEIFS(Weekly_Data!$F:$F,Weekly_Data!$A:$A,"SOKnowledge",Weekly_Data!$C:$C,$C185),0),"")</f>
        <v/>
      </c>
      <c r="G185" s="5" t="str">
        <f>IFERROR(ROUND(AVERAGEIFS(Weekly_Data!$G:$G,Weekly_Data!$A:$A,"SOKnowledge",Weekly_Data!$C:$C,$C185),0),"")</f>
        <v/>
      </c>
      <c r="I185">
        <f>SUMIFS(Weekly_Data!$I:$I,Weekly_Data!$A:$A,"SOKnowledge",Weekly_Data!$C:$C,$C185)</f>
        <v>0</v>
      </c>
      <c r="J185">
        <f>SUMIFS(Weekly_Data!$J:$J,Weekly_Data!$A:$A,"SOKnowledge",Weekly_Data!$C:$C,$C185)</f>
        <v>0</v>
      </c>
    </row>
    <row r="186" spans="1:10" ht="15" customHeight="1">
      <c r="A186" t="s">
        <v>9</v>
      </c>
      <c r="B186" t="s">
        <v>71</v>
      </c>
      <c r="C186">
        <v>29</v>
      </c>
      <c r="D186">
        <v>7</v>
      </c>
      <c r="E186">
        <v>3</v>
      </c>
      <c r="F186" s="5" t="str">
        <f>IFERROR(ROUND(AVERAGEIFS(Weekly_Data!$F:$F,Weekly_Data!$A:$A,"SOKnowledge",Weekly_Data!$C:$C,$C186),0),"")</f>
        <v/>
      </c>
      <c r="G186" s="5" t="str">
        <f>IFERROR(ROUND(AVERAGEIFS(Weekly_Data!$G:$G,Weekly_Data!$A:$A,"SOKnowledge",Weekly_Data!$C:$C,$C186),0),"")</f>
        <v/>
      </c>
      <c r="I186">
        <f>SUMIFS(Weekly_Data!$I:$I,Weekly_Data!$A:$A,"SOKnowledge",Weekly_Data!$C:$C,$C186)</f>
        <v>0</v>
      </c>
      <c r="J186">
        <f>SUMIFS(Weekly_Data!$J:$J,Weekly_Data!$A:$A,"SOKnowledge",Weekly_Data!$C:$C,$C186)</f>
        <v>0</v>
      </c>
    </row>
    <row r="187" spans="1:10" ht="15" customHeight="1">
      <c r="A187" t="s">
        <v>9</v>
      </c>
      <c r="B187" t="s">
        <v>71</v>
      </c>
      <c r="C187">
        <v>30</v>
      </c>
      <c r="D187">
        <v>7</v>
      </c>
      <c r="E187">
        <v>4</v>
      </c>
      <c r="F187" s="5" t="str">
        <f>IFERROR(ROUND(AVERAGEIFS(Weekly_Data!$F:$F,Weekly_Data!$A:$A,"SOKnowledge",Weekly_Data!$C:$C,$C187),0),"")</f>
        <v/>
      </c>
      <c r="G187" s="5" t="str">
        <f>IFERROR(ROUND(AVERAGEIFS(Weekly_Data!$G:$G,Weekly_Data!$A:$A,"SOKnowledge",Weekly_Data!$C:$C,$C187),0),"")</f>
        <v/>
      </c>
      <c r="I187">
        <f>SUMIFS(Weekly_Data!$I:$I,Weekly_Data!$A:$A,"SOKnowledge",Weekly_Data!$C:$C,$C187)</f>
        <v>0</v>
      </c>
      <c r="J187">
        <f>SUMIFS(Weekly_Data!$J:$J,Weekly_Data!$A:$A,"SOKnowledge",Weekly_Data!$C:$C,$C187)</f>
        <v>0</v>
      </c>
    </row>
    <row r="188" spans="1:10" ht="15" customHeight="1">
      <c r="A188" t="s">
        <v>9</v>
      </c>
      <c r="B188" t="s">
        <v>71</v>
      </c>
      <c r="C188">
        <v>31</v>
      </c>
      <c r="D188">
        <v>8</v>
      </c>
      <c r="E188">
        <v>1</v>
      </c>
      <c r="F188" s="5" t="str">
        <f>IFERROR(ROUND(AVERAGEIFS(Weekly_Data!$F:$F,Weekly_Data!$A:$A,"SOKnowledge",Weekly_Data!$C:$C,$C188),0),"")</f>
        <v/>
      </c>
      <c r="G188" s="5" t="str">
        <f>IFERROR(ROUND(AVERAGEIFS(Weekly_Data!$G:$G,Weekly_Data!$A:$A,"SOKnowledge",Weekly_Data!$C:$C,$C188),0),"")</f>
        <v/>
      </c>
      <c r="I188">
        <f>SUMIFS(Weekly_Data!$I:$I,Weekly_Data!$A:$A,"SOKnowledge",Weekly_Data!$C:$C,$C188)</f>
        <v>0</v>
      </c>
      <c r="J188">
        <f>SUMIFS(Weekly_Data!$J:$J,Weekly_Data!$A:$A,"SOKnowledge",Weekly_Data!$C:$C,$C188)</f>
        <v>0</v>
      </c>
    </row>
    <row r="189" spans="1:10" ht="15" customHeight="1">
      <c r="A189" t="s">
        <v>9</v>
      </c>
      <c r="B189" t="s">
        <v>71</v>
      </c>
      <c r="C189">
        <v>32</v>
      </c>
      <c r="D189">
        <v>8</v>
      </c>
      <c r="E189">
        <v>2</v>
      </c>
      <c r="F189" s="5" t="str">
        <f>IFERROR(ROUND(AVERAGEIFS(Weekly_Data!$F:$F,Weekly_Data!$A:$A,"SOKnowledge",Weekly_Data!$C:$C,$C189),0),"")</f>
        <v/>
      </c>
      <c r="G189" s="5" t="str">
        <f>IFERROR(ROUND(AVERAGEIFS(Weekly_Data!$G:$G,Weekly_Data!$A:$A,"SOKnowledge",Weekly_Data!$C:$C,$C189),0),"")</f>
        <v/>
      </c>
      <c r="I189">
        <f>SUMIFS(Weekly_Data!$I:$I,Weekly_Data!$A:$A,"SOKnowledge",Weekly_Data!$C:$C,$C189)</f>
        <v>0</v>
      </c>
      <c r="J189">
        <f>SUMIFS(Weekly_Data!$J:$J,Weekly_Data!$A:$A,"SOKnowledge",Weekly_Data!$C:$C,$C189)</f>
        <v>0</v>
      </c>
    </row>
    <row r="190" spans="1:10" ht="15" customHeight="1">
      <c r="A190" t="s">
        <v>9</v>
      </c>
      <c r="B190" t="s">
        <v>71</v>
      </c>
      <c r="C190">
        <v>33</v>
      </c>
      <c r="D190">
        <v>8</v>
      </c>
      <c r="E190">
        <v>3</v>
      </c>
      <c r="F190" s="5" t="str">
        <f>IFERROR(ROUND(AVERAGEIFS(Weekly_Data!$F:$F,Weekly_Data!$A:$A,"SOKnowledge",Weekly_Data!$C:$C,$C190),0),"")</f>
        <v/>
      </c>
      <c r="G190" s="5" t="str">
        <f>IFERROR(ROUND(AVERAGEIFS(Weekly_Data!$G:$G,Weekly_Data!$A:$A,"SOKnowledge",Weekly_Data!$C:$C,$C190),0),"")</f>
        <v/>
      </c>
      <c r="I190">
        <f>SUMIFS(Weekly_Data!$I:$I,Weekly_Data!$A:$A,"SOKnowledge",Weekly_Data!$C:$C,$C190)</f>
        <v>0</v>
      </c>
      <c r="J190">
        <f>SUMIFS(Weekly_Data!$J:$J,Weekly_Data!$A:$A,"SOKnowledge",Weekly_Data!$C:$C,$C190)</f>
        <v>0</v>
      </c>
    </row>
    <row r="191" spans="1:10" ht="15" customHeight="1">
      <c r="A191" t="s">
        <v>9</v>
      </c>
      <c r="B191" t="s">
        <v>71</v>
      </c>
      <c r="C191">
        <v>34</v>
      </c>
      <c r="D191">
        <v>8</v>
      </c>
      <c r="E191">
        <v>4</v>
      </c>
      <c r="F191" s="5" t="str">
        <f>IFERROR(ROUND(AVERAGEIFS(Weekly_Data!$F:$F,Weekly_Data!$A:$A,"SOKnowledge",Weekly_Data!$C:$C,$C191),0),"")</f>
        <v/>
      </c>
      <c r="G191" s="5" t="str">
        <f>IFERROR(ROUND(AVERAGEIFS(Weekly_Data!$G:$G,Weekly_Data!$A:$A,"SOKnowledge",Weekly_Data!$C:$C,$C191),0),"")</f>
        <v/>
      </c>
      <c r="I191">
        <f>SUMIFS(Weekly_Data!$I:$I,Weekly_Data!$A:$A,"SOKnowledge",Weekly_Data!$C:$C,$C191)</f>
        <v>0</v>
      </c>
      <c r="J191">
        <f>SUMIFS(Weekly_Data!$J:$J,Weekly_Data!$A:$A,"SOKnowledge",Weekly_Data!$C:$C,$C191)</f>
        <v>0</v>
      </c>
    </row>
    <row r="192" spans="1:10" ht="15" customHeight="1">
      <c r="A192" t="s">
        <v>9</v>
      </c>
      <c r="B192" t="s">
        <v>71</v>
      </c>
      <c r="C192">
        <v>35</v>
      </c>
      <c r="D192">
        <v>8</v>
      </c>
      <c r="E192">
        <v>5</v>
      </c>
      <c r="F192" s="5" t="str">
        <f>IFERROR(ROUND(AVERAGEIFS(Weekly_Data!$F:$F,Weekly_Data!$A:$A,"SOKnowledge",Weekly_Data!$C:$C,$C192),0),"")</f>
        <v/>
      </c>
      <c r="G192" s="5" t="str">
        <f>IFERROR(ROUND(AVERAGEIFS(Weekly_Data!$G:$G,Weekly_Data!$A:$A,"SOKnowledge",Weekly_Data!$C:$C,$C192),0),"")</f>
        <v/>
      </c>
      <c r="I192">
        <f>SUMIFS(Weekly_Data!$I:$I,Weekly_Data!$A:$A,"SOKnowledge",Weekly_Data!$C:$C,$C192)</f>
        <v>0</v>
      </c>
      <c r="J192">
        <f>SUMIFS(Weekly_Data!$J:$J,Weekly_Data!$A:$A,"SOKnowledge",Weekly_Data!$C:$C,$C192)</f>
        <v>0</v>
      </c>
    </row>
    <row r="193" spans="1:10" ht="15" customHeight="1">
      <c r="A193" t="s">
        <v>9</v>
      </c>
      <c r="B193" t="s">
        <v>71</v>
      </c>
      <c r="C193">
        <v>36</v>
      </c>
      <c r="D193">
        <v>9</v>
      </c>
      <c r="E193">
        <v>1</v>
      </c>
      <c r="F193" s="5" t="str">
        <f>IFERROR(ROUND(AVERAGEIFS(Weekly_Data!$F:$F,Weekly_Data!$A:$A,"SOKnowledge",Weekly_Data!$C:$C,$C193),0),"")</f>
        <v/>
      </c>
      <c r="G193" s="5" t="str">
        <f>IFERROR(ROUND(AVERAGEIFS(Weekly_Data!$G:$G,Weekly_Data!$A:$A,"SOKnowledge",Weekly_Data!$C:$C,$C193),0),"")</f>
        <v/>
      </c>
      <c r="I193">
        <f>SUMIFS(Weekly_Data!$I:$I,Weekly_Data!$A:$A,"SOKnowledge",Weekly_Data!$C:$C,$C193)</f>
        <v>0</v>
      </c>
      <c r="J193">
        <f>SUMIFS(Weekly_Data!$J:$J,Weekly_Data!$A:$A,"SOKnowledge",Weekly_Data!$C:$C,$C193)</f>
        <v>0</v>
      </c>
    </row>
    <row r="194" spans="1:10" ht="15" customHeight="1">
      <c r="A194" t="s">
        <v>9</v>
      </c>
      <c r="B194" t="s">
        <v>71</v>
      </c>
      <c r="C194">
        <v>37</v>
      </c>
      <c r="D194">
        <v>9</v>
      </c>
      <c r="E194">
        <v>2</v>
      </c>
      <c r="F194" s="5" t="str">
        <f>IFERROR(ROUND(AVERAGEIFS(Weekly_Data!$F:$F,Weekly_Data!$A:$A,"SOKnowledge",Weekly_Data!$C:$C,$C194),0),"")</f>
        <v/>
      </c>
      <c r="G194" s="5" t="str">
        <f>IFERROR(ROUND(AVERAGEIFS(Weekly_Data!$G:$G,Weekly_Data!$A:$A,"SOKnowledge",Weekly_Data!$C:$C,$C194),0),"")</f>
        <v/>
      </c>
      <c r="I194">
        <f>SUMIFS(Weekly_Data!$I:$I,Weekly_Data!$A:$A,"SOKnowledge",Weekly_Data!$C:$C,$C194)</f>
        <v>0</v>
      </c>
      <c r="J194">
        <f>SUMIFS(Weekly_Data!$J:$J,Weekly_Data!$A:$A,"SOKnowledge",Weekly_Data!$C:$C,$C194)</f>
        <v>0</v>
      </c>
    </row>
    <row r="195" spans="1:10" ht="15" customHeight="1">
      <c r="A195" t="s">
        <v>9</v>
      </c>
      <c r="B195" t="s">
        <v>71</v>
      </c>
      <c r="C195">
        <v>38</v>
      </c>
      <c r="D195">
        <v>9</v>
      </c>
      <c r="E195">
        <v>3</v>
      </c>
      <c r="F195" s="5" t="str">
        <f>IFERROR(ROUND(AVERAGEIFS(Weekly_Data!$F:$F,Weekly_Data!$A:$A,"SOKnowledge",Weekly_Data!$C:$C,$C195),0),"")</f>
        <v/>
      </c>
      <c r="G195" s="5" t="str">
        <f>IFERROR(ROUND(AVERAGEIFS(Weekly_Data!$G:$G,Weekly_Data!$A:$A,"SOKnowledge",Weekly_Data!$C:$C,$C195),0),"")</f>
        <v/>
      </c>
      <c r="I195">
        <f>SUMIFS(Weekly_Data!$I:$I,Weekly_Data!$A:$A,"SOKnowledge",Weekly_Data!$C:$C,$C195)</f>
        <v>0</v>
      </c>
      <c r="J195">
        <f>SUMIFS(Weekly_Data!$J:$J,Weekly_Data!$A:$A,"SOKnowledge",Weekly_Data!$C:$C,$C195)</f>
        <v>0</v>
      </c>
    </row>
    <row r="196" spans="1:10" ht="15" customHeight="1">
      <c r="A196" t="s">
        <v>9</v>
      </c>
      <c r="B196" t="s">
        <v>71</v>
      </c>
      <c r="C196">
        <v>39</v>
      </c>
      <c r="D196">
        <v>9</v>
      </c>
      <c r="E196">
        <v>4</v>
      </c>
      <c r="F196" s="5" t="str">
        <f>IFERROR(ROUND(AVERAGEIFS(Weekly_Data!$F:$F,Weekly_Data!$A:$A,"SOKnowledge",Weekly_Data!$C:$C,$C196),0),"")</f>
        <v/>
      </c>
      <c r="G196" s="5" t="str">
        <f>IFERROR(ROUND(AVERAGEIFS(Weekly_Data!$G:$G,Weekly_Data!$A:$A,"SOKnowledge",Weekly_Data!$C:$C,$C196),0),"")</f>
        <v/>
      </c>
      <c r="I196">
        <f>SUMIFS(Weekly_Data!$I:$I,Weekly_Data!$A:$A,"SOKnowledge",Weekly_Data!$C:$C,$C196)</f>
        <v>0</v>
      </c>
      <c r="J196">
        <f>SUMIFS(Weekly_Data!$J:$J,Weekly_Data!$A:$A,"SOKnowledge",Weekly_Data!$C:$C,$C196)</f>
        <v>0</v>
      </c>
    </row>
    <row r="197" spans="1:10" ht="15" customHeight="1">
      <c r="A197" t="s">
        <v>9</v>
      </c>
      <c r="B197" t="s">
        <v>71</v>
      </c>
      <c r="C197">
        <v>40</v>
      </c>
      <c r="D197">
        <v>10</v>
      </c>
      <c r="E197">
        <v>1</v>
      </c>
      <c r="F197" s="5" t="str">
        <f>IFERROR(ROUND(AVERAGEIFS(Weekly_Data!$F:$F,Weekly_Data!$A:$A,"SOKnowledge",Weekly_Data!$C:$C,$C197),0),"")</f>
        <v/>
      </c>
      <c r="G197" s="5" t="str">
        <f>IFERROR(ROUND(AVERAGEIFS(Weekly_Data!$G:$G,Weekly_Data!$A:$A,"SOKnowledge",Weekly_Data!$C:$C,$C197),0),"")</f>
        <v/>
      </c>
      <c r="I197">
        <f>SUMIFS(Weekly_Data!$I:$I,Weekly_Data!$A:$A,"SOKnowledge",Weekly_Data!$C:$C,$C197)</f>
        <v>0</v>
      </c>
      <c r="J197">
        <f>SUMIFS(Weekly_Data!$J:$J,Weekly_Data!$A:$A,"SOKnowledge",Weekly_Data!$C:$C,$C197)</f>
        <v>0</v>
      </c>
    </row>
    <row r="198" spans="1:10" ht="15" customHeight="1">
      <c r="A198" t="s">
        <v>9</v>
      </c>
      <c r="B198" t="s">
        <v>71</v>
      </c>
      <c r="C198">
        <v>41</v>
      </c>
      <c r="D198">
        <v>10</v>
      </c>
      <c r="E198">
        <v>2</v>
      </c>
      <c r="F198" s="5" t="str">
        <f>IFERROR(ROUND(AVERAGEIFS(Weekly_Data!$F:$F,Weekly_Data!$A:$A,"SOKnowledge",Weekly_Data!$C:$C,$C198),0),"")</f>
        <v/>
      </c>
      <c r="G198" s="5" t="str">
        <f>IFERROR(ROUND(AVERAGEIFS(Weekly_Data!$G:$G,Weekly_Data!$A:$A,"SOKnowledge",Weekly_Data!$C:$C,$C198),0),"")</f>
        <v/>
      </c>
      <c r="I198">
        <f>SUMIFS(Weekly_Data!$I:$I,Weekly_Data!$A:$A,"SOKnowledge",Weekly_Data!$C:$C,$C198)</f>
        <v>0</v>
      </c>
      <c r="J198">
        <f>SUMIFS(Weekly_Data!$J:$J,Weekly_Data!$A:$A,"SOKnowledge",Weekly_Data!$C:$C,$C198)</f>
        <v>0</v>
      </c>
    </row>
    <row r="199" spans="1:10" ht="15" customHeight="1">
      <c r="A199" t="s">
        <v>9</v>
      </c>
      <c r="B199" t="s">
        <v>71</v>
      </c>
      <c r="C199">
        <v>42</v>
      </c>
      <c r="D199">
        <v>10</v>
      </c>
      <c r="E199">
        <v>3</v>
      </c>
      <c r="F199" s="5" t="str">
        <f>IFERROR(ROUND(AVERAGEIFS(Weekly_Data!$F:$F,Weekly_Data!$A:$A,"SOKnowledge",Weekly_Data!$C:$C,$C199),0),"")</f>
        <v/>
      </c>
      <c r="G199" s="5" t="str">
        <f>IFERROR(ROUND(AVERAGEIFS(Weekly_Data!$G:$G,Weekly_Data!$A:$A,"SOKnowledge",Weekly_Data!$C:$C,$C199),0),"")</f>
        <v/>
      </c>
      <c r="I199">
        <f>SUMIFS(Weekly_Data!$I:$I,Weekly_Data!$A:$A,"SOKnowledge",Weekly_Data!$C:$C,$C199)</f>
        <v>0</v>
      </c>
      <c r="J199">
        <f>SUMIFS(Weekly_Data!$J:$J,Weekly_Data!$A:$A,"SOKnowledge",Weekly_Data!$C:$C,$C199)</f>
        <v>0</v>
      </c>
    </row>
    <row r="200" spans="1:10" ht="15" customHeight="1">
      <c r="A200" t="s">
        <v>9</v>
      </c>
      <c r="B200" t="s">
        <v>71</v>
      </c>
      <c r="C200">
        <v>43</v>
      </c>
      <c r="D200">
        <v>10</v>
      </c>
      <c r="E200">
        <v>4</v>
      </c>
      <c r="F200" s="5" t="str">
        <f>IFERROR(ROUND(AVERAGEIFS(Weekly_Data!$F:$F,Weekly_Data!$A:$A,"SOKnowledge",Weekly_Data!$C:$C,$C200),0),"")</f>
        <v/>
      </c>
      <c r="G200" s="5" t="str">
        <f>IFERROR(ROUND(AVERAGEIFS(Weekly_Data!$G:$G,Weekly_Data!$A:$A,"SOKnowledge",Weekly_Data!$C:$C,$C200),0),"")</f>
        <v/>
      </c>
      <c r="I200">
        <f>SUMIFS(Weekly_Data!$I:$I,Weekly_Data!$A:$A,"SOKnowledge",Weekly_Data!$C:$C,$C200)</f>
        <v>0</v>
      </c>
      <c r="J200">
        <f>SUMIFS(Weekly_Data!$J:$J,Weekly_Data!$A:$A,"SOKnowledge",Weekly_Data!$C:$C,$C200)</f>
        <v>0</v>
      </c>
    </row>
    <row r="201" spans="1:10" ht="15" customHeight="1">
      <c r="A201" t="s">
        <v>9</v>
      </c>
      <c r="B201" t="s">
        <v>71</v>
      </c>
      <c r="C201">
        <v>44</v>
      </c>
      <c r="D201">
        <v>10</v>
      </c>
      <c r="E201">
        <v>5</v>
      </c>
      <c r="F201" s="5" t="str">
        <f>IFERROR(ROUND(AVERAGEIFS(Weekly_Data!$F:$F,Weekly_Data!$A:$A,"SOKnowledge",Weekly_Data!$C:$C,$C201),0),"")</f>
        <v/>
      </c>
      <c r="G201" s="5" t="str">
        <f>IFERROR(ROUND(AVERAGEIFS(Weekly_Data!$G:$G,Weekly_Data!$A:$A,"SOKnowledge",Weekly_Data!$C:$C,$C201),0),"")</f>
        <v/>
      </c>
      <c r="I201">
        <f>SUMIFS(Weekly_Data!$I:$I,Weekly_Data!$A:$A,"SOKnowledge",Weekly_Data!$C:$C,$C201)</f>
        <v>0</v>
      </c>
      <c r="J201">
        <f>SUMIFS(Weekly_Data!$J:$J,Weekly_Data!$A:$A,"SOKnowledge",Weekly_Data!$C:$C,$C201)</f>
        <v>0</v>
      </c>
    </row>
    <row r="202" spans="1:10" ht="15" customHeight="1">
      <c r="A202" t="s">
        <v>9</v>
      </c>
      <c r="B202" t="s">
        <v>71</v>
      </c>
      <c r="C202">
        <v>45</v>
      </c>
      <c r="D202">
        <v>11</v>
      </c>
      <c r="E202">
        <v>1</v>
      </c>
      <c r="F202" s="5" t="str">
        <f>IFERROR(ROUND(AVERAGEIFS(Weekly_Data!$F:$F,Weekly_Data!$A:$A,"SOKnowledge",Weekly_Data!$C:$C,$C202),0),"")</f>
        <v/>
      </c>
      <c r="G202" s="5" t="str">
        <f>IFERROR(ROUND(AVERAGEIFS(Weekly_Data!$G:$G,Weekly_Data!$A:$A,"SOKnowledge",Weekly_Data!$C:$C,$C202),0),"")</f>
        <v/>
      </c>
      <c r="I202">
        <f>SUMIFS(Weekly_Data!$I:$I,Weekly_Data!$A:$A,"SOKnowledge",Weekly_Data!$C:$C,$C202)</f>
        <v>0</v>
      </c>
      <c r="J202">
        <f>SUMIFS(Weekly_Data!$J:$J,Weekly_Data!$A:$A,"SOKnowledge",Weekly_Data!$C:$C,$C202)</f>
        <v>0</v>
      </c>
    </row>
    <row r="203" spans="1:10" ht="15" customHeight="1">
      <c r="A203" t="s">
        <v>9</v>
      </c>
      <c r="B203" t="s">
        <v>71</v>
      </c>
      <c r="C203">
        <v>46</v>
      </c>
      <c r="D203">
        <v>11</v>
      </c>
      <c r="E203">
        <v>2</v>
      </c>
      <c r="F203" s="5" t="str">
        <f>IFERROR(ROUND(AVERAGEIFS(Weekly_Data!$F:$F,Weekly_Data!$A:$A,"SOKnowledge",Weekly_Data!$C:$C,$C203),0),"")</f>
        <v/>
      </c>
      <c r="G203" s="5" t="str">
        <f>IFERROR(ROUND(AVERAGEIFS(Weekly_Data!$G:$G,Weekly_Data!$A:$A,"SOKnowledge",Weekly_Data!$C:$C,$C203),0),"")</f>
        <v/>
      </c>
      <c r="I203">
        <f>SUMIFS(Weekly_Data!$I:$I,Weekly_Data!$A:$A,"SOKnowledge",Weekly_Data!$C:$C,$C203)</f>
        <v>0</v>
      </c>
      <c r="J203">
        <f>SUMIFS(Weekly_Data!$J:$J,Weekly_Data!$A:$A,"SOKnowledge",Weekly_Data!$C:$C,$C203)</f>
        <v>0</v>
      </c>
    </row>
    <row r="204" spans="1:10" ht="15" customHeight="1">
      <c r="A204" t="s">
        <v>9</v>
      </c>
      <c r="B204" t="s">
        <v>71</v>
      </c>
      <c r="C204">
        <v>47</v>
      </c>
      <c r="D204">
        <v>11</v>
      </c>
      <c r="E204">
        <v>3</v>
      </c>
      <c r="F204" s="5" t="str">
        <f>IFERROR(ROUND(AVERAGEIFS(Weekly_Data!$F:$F,Weekly_Data!$A:$A,"SOKnowledge",Weekly_Data!$C:$C,$C204),0),"")</f>
        <v/>
      </c>
      <c r="G204" s="5" t="str">
        <f>IFERROR(ROUND(AVERAGEIFS(Weekly_Data!$G:$G,Weekly_Data!$A:$A,"SOKnowledge",Weekly_Data!$C:$C,$C204),0),"")</f>
        <v/>
      </c>
      <c r="I204">
        <f>SUMIFS(Weekly_Data!$I:$I,Weekly_Data!$A:$A,"SOKnowledge",Weekly_Data!$C:$C,$C204)</f>
        <v>0</v>
      </c>
      <c r="J204">
        <f>SUMIFS(Weekly_Data!$J:$J,Weekly_Data!$A:$A,"SOKnowledge",Weekly_Data!$C:$C,$C204)</f>
        <v>0</v>
      </c>
    </row>
    <row r="205" spans="1:10" ht="15" customHeight="1">
      <c r="A205" t="s">
        <v>9</v>
      </c>
      <c r="B205" t="s">
        <v>71</v>
      </c>
      <c r="C205">
        <v>48</v>
      </c>
      <c r="D205">
        <v>11</v>
      </c>
      <c r="E205">
        <v>4</v>
      </c>
      <c r="F205" s="5" t="str">
        <f>IFERROR(ROUND(AVERAGEIFS(Weekly_Data!$F:$F,Weekly_Data!$A:$A,"SOKnowledge",Weekly_Data!$C:$C,$C205),0),"")</f>
        <v/>
      </c>
      <c r="G205" s="5" t="str">
        <f>IFERROR(ROUND(AVERAGEIFS(Weekly_Data!$G:$G,Weekly_Data!$A:$A,"SOKnowledge",Weekly_Data!$C:$C,$C205),0),"")</f>
        <v/>
      </c>
      <c r="I205">
        <f>SUMIFS(Weekly_Data!$I:$I,Weekly_Data!$A:$A,"SOKnowledge",Weekly_Data!$C:$C,$C205)</f>
        <v>0</v>
      </c>
      <c r="J205">
        <f>SUMIFS(Weekly_Data!$J:$J,Weekly_Data!$A:$A,"SOKnowledge",Weekly_Data!$C:$C,$C205)</f>
        <v>0</v>
      </c>
    </row>
    <row r="206" spans="1:10" ht="15" customHeight="1">
      <c r="A206" t="s">
        <v>9</v>
      </c>
      <c r="B206" t="s">
        <v>71</v>
      </c>
      <c r="C206">
        <v>49</v>
      </c>
      <c r="D206">
        <v>12</v>
      </c>
      <c r="E206">
        <v>1</v>
      </c>
      <c r="F206" s="5" t="str">
        <f>IFERROR(ROUND(AVERAGEIFS(Weekly_Data!$F:$F,Weekly_Data!$A:$A,"SOKnowledge",Weekly_Data!$C:$C,$C206),0),"")</f>
        <v/>
      </c>
      <c r="G206" s="5" t="str">
        <f>IFERROR(ROUND(AVERAGEIFS(Weekly_Data!$G:$G,Weekly_Data!$A:$A,"SOKnowledge",Weekly_Data!$C:$C,$C206),0),"")</f>
        <v/>
      </c>
      <c r="I206">
        <f>SUMIFS(Weekly_Data!$I:$I,Weekly_Data!$A:$A,"SOKnowledge",Weekly_Data!$C:$C,$C206)</f>
        <v>0</v>
      </c>
      <c r="J206">
        <f>SUMIFS(Weekly_Data!$J:$J,Weekly_Data!$A:$A,"SOKnowledge",Weekly_Data!$C:$C,$C206)</f>
        <v>0</v>
      </c>
    </row>
    <row r="207" spans="1:10" ht="15" customHeight="1">
      <c r="A207" t="s">
        <v>9</v>
      </c>
      <c r="B207" t="s">
        <v>71</v>
      </c>
      <c r="C207">
        <v>50</v>
      </c>
      <c r="D207">
        <v>12</v>
      </c>
      <c r="E207">
        <v>2</v>
      </c>
      <c r="F207" s="5" t="str">
        <f>IFERROR(ROUND(AVERAGEIFS(Weekly_Data!$F:$F,Weekly_Data!$A:$A,"SOKnowledge",Weekly_Data!$C:$C,$C207),0),"")</f>
        <v/>
      </c>
      <c r="G207" s="5" t="str">
        <f>IFERROR(ROUND(AVERAGEIFS(Weekly_Data!$G:$G,Weekly_Data!$A:$A,"SOKnowledge",Weekly_Data!$C:$C,$C207),0),"")</f>
        <v/>
      </c>
      <c r="I207">
        <f>SUMIFS(Weekly_Data!$I:$I,Weekly_Data!$A:$A,"SOKnowledge",Weekly_Data!$C:$C,$C207)</f>
        <v>0</v>
      </c>
      <c r="J207">
        <f>SUMIFS(Weekly_Data!$J:$J,Weekly_Data!$A:$A,"SOKnowledge",Weekly_Data!$C:$C,$C207)</f>
        <v>0</v>
      </c>
    </row>
    <row r="208" spans="1:10" ht="15" customHeight="1">
      <c r="A208" t="s">
        <v>9</v>
      </c>
      <c r="B208" t="s">
        <v>71</v>
      </c>
      <c r="C208">
        <v>51</v>
      </c>
      <c r="D208">
        <v>12</v>
      </c>
      <c r="E208">
        <v>3</v>
      </c>
      <c r="F208" s="5" t="str">
        <f>IFERROR(ROUND(AVERAGEIFS(Weekly_Data!$F:$F,Weekly_Data!$A:$A,"SOKnowledge",Weekly_Data!$C:$C,$C208),0),"")</f>
        <v/>
      </c>
      <c r="G208" s="5" t="str">
        <f>IFERROR(ROUND(AVERAGEIFS(Weekly_Data!$G:$G,Weekly_Data!$A:$A,"SOKnowledge",Weekly_Data!$C:$C,$C208),0),"")</f>
        <v/>
      </c>
      <c r="I208">
        <f>SUMIFS(Weekly_Data!$I:$I,Weekly_Data!$A:$A,"SOKnowledge",Weekly_Data!$C:$C,$C208)</f>
        <v>0</v>
      </c>
      <c r="J208">
        <f>SUMIFS(Weekly_Data!$J:$J,Weekly_Data!$A:$A,"SOKnowledge",Weekly_Data!$C:$C,$C208)</f>
        <v>0</v>
      </c>
    </row>
    <row r="209" spans="1:10" ht="15" customHeight="1">
      <c r="A209" t="s">
        <v>9</v>
      </c>
      <c r="B209" t="s">
        <v>71</v>
      </c>
      <c r="C209">
        <v>52</v>
      </c>
      <c r="D209">
        <v>12</v>
      </c>
      <c r="E209">
        <v>4</v>
      </c>
      <c r="F209" s="5" t="str">
        <f>IFERROR(ROUND(AVERAGEIFS(Weekly_Data!$F:$F,Weekly_Data!$A:$A,"SOKnowledge",Weekly_Data!$C:$C,$C209),0),"")</f>
        <v/>
      </c>
      <c r="G209" s="5" t="str">
        <f>IFERROR(ROUND(AVERAGEIFS(Weekly_Data!$G:$G,Weekly_Data!$A:$A,"SOKnowledge",Weekly_Data!$C:$C,$C209),0),"")</f>
        <v/>
      </c>
      <c r="I209">
        <f>SUMIFS(Weekly_Data!$I:$I,Weekly_Data!$A:$A,"SOKnowledge",Weekly_Data!$C:$C,$C209)</f>
        <v>0</v>
      </c>
      <c r="J209">
        <f>SUMIFS(Weekly_Data!$J:$J,Weekly_Data!$A:$A,"SOKnowledge",Weekly_Data!$C:$C,$C209)</f>
        <v>0</v>
      </c>
    </row>
    <row r="210" spans="1:10" ht="15" customHeight="1">
      <c r="A210" t="s">
        <v>9</v>
      </c>
      <c r="B210" t="s">
        <v>74</v>
      </c>
      <c r="C210">
        <v>1</v>
      </c>
      <c r="D210">
        <v>1</v>
      </c>
      <c r="E210">
        <v>1</v>
      </c>
      <c r="F210" s="5">
        <f>AVERAGEIFS(Governance_Domains!$H:$H,Governance_Domains!$B:$B,$C210)/100</f>
        <v>0</v>
      </c>
      <c r="G210" s="5">
        <f>AVERAGEIFS(Governance_Domains!$H:$H,Governance_Domains!$B:$B,$C210)/100</f>
        <v>0</v>
      </c>
      <c r="H210" t="s">
        <v>92</v>
      </c>
      <c r="I210">
        <v>0</v>
      </c>
      <c r="J210">
        <v>0</v>
      </c>
    </row>
    <row r="211" spans="1:10" ht="15" customHeight="1">
      <c r="A211" t="s">
        <v>9</v>
      </c>
      <c r="B211" t="s">
        <v>74</v>
      </c>
      <c r="C211">
        <v>2</v>
      </c>
      <c r="D211">
        <v>1</v>
      </c>
      <c r="E211">
        <v>2</v>
      </c>
      <c r="F211" s="5">
        <f>AVERAGEIFS(Governance_Domains!$H:$H,Governance_Domains!$B:$B,$C211)/100</f>
        <v>0</v>
      </c>
      <c r="G211" s="5">
        <f>AVERAGEIFS(Governance_Domains!$H:$H,Governance_Domains!$B:$B,$C211)/100</f>
        <v>0</v>
      </c>
      <c r="H211" t="s">
        <v>92</v>
      </c>
      <c r="I211">
        <v>0</v>
      </c>
      <c r="J211">
        <v>0</v>
      </c>
    </row>
    <row r="212" spans="1:10" ht="15" customHeight="1">
      <c r="A212" t="s">
        <v>9</v>
      </c>
      <c r="B212" t="s">
        <v>74</v>
      </c>
      <c r="C212">
        <v>3</v>
      </c>
      <c r="D212">
        <v>1</v>
      </c>
      <c r="E212">
        <v>3</v>
      </c>
      <c r="F212" s="5">
        <f>AVERAGEIFS(Governance_Domains!$H:$H,Governance_Domains!$B:$B,$C212)/100</f>
        <v>0</v>
      </c>
      <c r="G212" s="5">
        <f>AVERAGEIFS(Governance_Domains!$H:$H,Governance_Domains!$B:$B,$C212)/100</f>
        <v>0</v>
      </c>
      <c r="H212" t="s">
        <v>92</v>
      </c>
      <c r="I212">
        <v>0</v>
      </c>
      <c r="J212">
        <v>0</v>
      </c>
    </row>
    <row r="213" spans="1:10" ht="15" customHeight="1">
      <c r="A213" t="s">
        <v>9</v>
      </c>
      <c r="B213" t="s">
        <v>74</v>
      </c>
      <c r="C213">
        <v>4</v>
      </c>
      <c r="D213">
        <v>1</v>
      </c>
      <c r="E213">
        <v>4</v>
      </c>
      <c r="F213" s="5">
        <f>AVERAGEIFS(Governance_Domains!$H:$H,Governance_Domains!$B:$B,$C213)/100</f>
        <v>0</v>
      </c>
      <c r="G213" s="5">
        <f>AVERAGEIFS(Governance_Domains!$H:$H,Governance_Domains!$B:$B,$C213)/100</f>
        <v>0</v>
      </c>
      <c r="H213" t="s">
        <v>92</v>
      </c>
      <c r="I213">
        <v>0</v>
      </c>
      <c r="J213">
        <v>0</v>
      </c>
    </row>
    <row r="214" spans="1:10" ht="15" customHeight="1">
      <c r="A214" t="s">
        <v>9</v>
      </c>
      <c r="B214" t="s">
        <v>74</v>
      </c>
      <c r="C214">
        <v>5</v>
      </c>
      <c r="D214">
        <v>1</v>
      </c>
      <c r="E214">
        <v>5</v>
      </c>
      <c r="F214" s="5">
        <f>AVERAGEIFS(Governance_Domains!$H:$H,Governance_Domains!$B:$B,$C214)/100</f>
        <v>0</v>
      </c>
      <c r="G214" s="5">
        <f>AVERAGEIFS(Governance_Domains!$H:$H,Governance_Domains!$B:$B,$C214)/100</f>
        <v>0</v>
      </c>
      <c r="H214" t="s">
        <v>92</v>
      </c>
      <c r="I214">
        <v>0</v>
      </c>
      <c r="J214">
        <v>0</v>
      </c>
    </row>
    <row r="215" spans="1:10" ht="15" customHeight="1">
      <c r="A215" t="s">
        <v>9</v>
      </c>
      <c r="B215" t="s">
        <v>74</v>
      </c>
      <c r="C215">
        <v>6</v>
      </c>
      <c r="D215">
        <v>2</v>
      </c>
      <c r="E215">
        <v>1</v>
      </c>
      <c r="F215" s="5">
        <f>AVERAGEIFS(Governance_Domains!$H:$H,Governance_Domains!$B:$B,$C215)/100</f>
        <v>0</v>
      </c>
      <c r="G215" s="5">
        <f>AVERAGEIFS(Governance_Domains!$H:$H,Governance_Domains!$B:$B,$C215)/100</f>
        <v>0</v>
      </c>
      <c r="H215" t="s">
        <v>92</v>
      </c>
      <c r="I215">
        <v>0</v>
      </c>
      <c r="J215">
        <v>0</v>
      </c>
    </row>
    <row r="216" spans="1:10" ht="15" customHeight="1">
      <c r="A216" t="s">
        <v>9</v>
      </c>
      <c r="B216" t="s">
        <v>74</v>
      </c>
      <c r="C216">
        <v>7</v>
      </c>
      <c r="D216">
        <v>2</v>
      </c>
      <c r="E216">
        <v>2</v>
      </c>
      <c r="F216" s="5">
        <f>AVERAGEIFS(Governance_Domains!$H:$H,Governance_Domains!$B:$B,$C216)/100</f>
        <v>0</v>
      </c>
      <c r="G216" s="5">
        <f>AVERAGEIFS(Governance_Domains!$H:$H,Governance_Domains!$B:$B,$C216)/100</f>
        <v>0</v>
      </c>
      <c r="H216" t="s">
        <v>92</v>
      </c>
      <c r="I216">
        <v>0</v>
      </c>
      <c r="J216">
        <v>0</v>
      </c>
    </row>
    <row r="217" spans="1:10" ht="15" customHeight="1">
      <c r="A217" t="s">
        <v>9</v>
      </c>
      <c r="B217" t="s">
        <v>74</v>
      </c>
      <c r="C217">
        <v>8</v>
      </c>
      <c r="D217">
        <v>2</v>
      </c>
      <c r="E217">
        <v>3</v>
      </c>
      <c r="F217" s="5">
        <f>AVERAGEIFS(Governance_Domains!$H:$H,Governance_Domains!$B:$B,$C217)/100</f>
        <v>0</v>
      </c>
      <c r="G217" s="5">
        <f>AVERAGEIFS(Governance_Domains!$H:$H,Governance_Domains!$B:$B,$C217)/100</f>
        <v>0</v>
      </c>
      <c r="H217" t="s">
        <v>92</v>
      </c>
      <c r="I217">
        <v>0</v>
      </c>
      <c r="J217">
        <v>0</v>
      </c>
    </row>
    <row r="218" spans="1:10" ht="15" customHeight="1">
      <c r="A218" t="s">
        <v>9</v>
      </c>
      <c r="B218" t="s">
        <v>74</v>
      </c>
      <c r="C218">
        <v>9</v>
      </c>
      <c r="D218">
        <v>2</v>
      </c>
      <c r="E218">
        <v>4</v>
      </c>
      <c r="F218" s="5">
        <f>AVERAGEIFS(Governance_Domains!$H:$H,Governance_Domains!$B:$B,$C218)/100</f>
        <v>0</v>
      </c>
      <c r="G218" s="5">
        <f>AVERAGEIFS(Governance_Domains!$H:$H,Governance_Domains!$B:$B,$C218)/100</f>
        <v>0</v>
      </c>
      <c r="H218" t="s">
        <v>92</v>
      </c>
      <c r="I218">
        <v>0</v>
      </c>
      <c r="J218">
        <v>0</v>
      </c>
    </row>
    <row r="219" spans="1:10" ht="15" customHeight="1">
      <c r="A219" t="s">
        <v>9</v>
      </c>
      <c r="B219" t="s">
        <v>74</v>
      </c>
      <c r="C219">
        <v>10</v>
      </c>
      <c r="D219">
        <v>3</v>
      </c>
      <c r="E219">
        <v>1</v>
      </c>
      <c r="F219" s="5">
        <f>AVERAGEIFS(Governance_Domains!$H:$H,Governance_Domains!$B:$B,$C219)/100</f>
        <v>0</v>
      </c>
      <c r="G219" s="5">
        <f>AVERAGEIFS(Governance_Domains!$H:$H,Governance_Domains!$B:$B,$C219)/100</f>
        <v>0</v>
      </c>
      <c r="H219" t="s">
        <v>92</v>
      </c>
      <c r="I219">
        <v>0</v>
      </c>
      <c r="J219">
        <v>0</v>
      </c>
    </row>
    <row r="220" spans="1:10" ht="15" customHeight="1">
      <c r="A220" t="s">
        <v>9</v>
      </c>
      <c r="B220" t="s">
        <v>74</v>
      </c>
      <c r="C220">
        <v>11</v>
      </c>
      <c r="D220">
        <v>3</v>
      </c>
      <c r="E220">
        <v>2</v>
      </c>
      <c r="F220" s="5">
        <f>AVERAGEIFS(Governance_Domains!$H:$H,Governance_Domains!$B:$B,$C220)/100</f>
        <v>0</v>
      </c>
      <c r="G220" s="5">
        <f>AVERAGEIFS(Governance_Domains!$H:$H,Governance_Domains!$B:$B,$C220)/100</f>
        <v>0</v>
      </c>
      <c r="H220" t="s">
        <v>92</v>
      </c>
      <c r="I220">
        <v>0</v>
      </c>
      <c r="J220">
        <v>0</v>
      </c>
    </row>
    <row r="221" spans="1:10" ht="15" customHeight="1">
      <c r="A221" t="s">
        <v>9</v>
      </c>
      <c r="B221" t="s">
        <v>74</v>
      </c>
      <c r="C221">
        <v>12</v>
      </c>
      <c r="D221">
        <v>3</v>
      </c>
      <c r="E221">
        <v>3</v>
      </c>
      <c r="F221" s="5">
        <f>AVERAGEIFS(Governance_Domains!$H:$H,Governance_Domains!$B:$B,$C221)/100</f>
        <v>0</v>
      </c>
      <c r="G221" s="5">
        <f>AVERAGEIFS(Governance_Domains!$H:$H,Governance_Domains!$B:$B,$C221)/100</f>
        <v>0</v>
      </c>
      <c r="H221" t="s">
        <v>92</v>
      </c>
      <c r="I221">
        <v>0</v>
      </c>
      <c r="J221">
        <v>0</v>
      </c>
    </row>
    <row r="222" spans="1:10" ht="15" customHeight="1">
      <c r="A222" t="s">
        <v>9</v>
      </c>
      <c r="B222" t="s">
        <v>74</v>
      </c>
      <c r="C222">
        <v>13</v>
      </c>
      <c r="D222">
        <v>3</v>
      </c>
      <c r="E222">
        <v>4</v>
      </c>
      <c r="F222" s="5">
        <f>AVERAGEIFS(Governance_Domains!$H:$H,Governance_Domains!$B:$B,$C222)/100</f>
        <v>0</v>
      </c>
      <c r="G222" s="5">
        <f>AVERAGEIFS(Governance_Domains!$H:$H,Governance_Domains!$B:$B,$C222)/100</f>
        <v>0</v>
      </c>
      <c r="H222" t="s">
        <v>92</v>
      </c>
      <c r="I222">
        <v>0</v>
      </c>
      <c r="J222">
        <v>0</v>
      </c>
    </row>
    <row r="223" spans="1:10" ht="15" customHeight="1">
      <c r="A223" t="s">
        <v>9</v>
      </c>
      <c r="B223" t="s">
        <v>74</v>
      </c>
      <c r="C223">
        <v>14</v>
      </c>
      <c r="D223">
        <v>4</v>
      </c>
      <c r="E223">
        <v>1</v>
      </c>
      <c r="F223" s="5">
        <f>AVERAGEIFS(Governance_Domains!$H:$H,Governance_Domains!$B:$B,$C223)/100</f>
        <v>0</v>
      </c>
      <c r="G223" s="5">
        <f>AVERAGEIFS(Governance_Domains!$H:$H,Governance_Domains!$B:$B,$C223)/100</f>
        <v>0</v>
      </c>
      <c r="H223" t="s">
        <v>92</v>
      </c>
      <c r="I223">
        <v>0</v>
      </c>
      <c r="J223">
        <v>0</v>
      </c>
    </row>
    <row r="224" spans="1:10" ht="15" customHeight="1">
      <c r="A224" t="s">
        <v>9</v>
      </c>
      <c r="B224" t="s">
        <v>74</v>
      </c>
      <c r="C224">
        <v>15</v>
      </c>
      <c r="D224">
        <v>4</v>
      </c>
      <c r="E224">
        <v>2</v>
      </c>
      <c r="F224" s="5">
        <f>AVERAGEIFS(Governance_Domains!$H:$H,Governance_Domains!$B:$B,$C224)/100</f>
        <v>0</v>
      </c>
      <c r="G224" s="5">
        <f>AVERAGEIFS(Governance_Domains!$H:$H,Governance_Domains!$B:$B,$C224)/100</f>
        <v>0</v>
      </c>
      <c r="H224" t="s">
        <v>92</v>
      </c>
      <c r="I224">
        <v>0</v>
      </c>
      <c r="J224">
        <v>0</v>
      </c>
    </row>
    <row r="225" spans="1:10" ht="15" customHeight="1">
      <c r="A225" t="s">
        <v>9</v>
      </c>
      <c r="B225" t="s">
        <v>74</v>
      </c>
      <c r="C225">
        <v>16</v>
      </c>
      <c r="D225">
        <v>4</v>
      </c>
      <c r="E225">
        <v>3</v>
      </c>
      <c r="F225" s="5">
        <f>AVERAGEIFS(Governance_Domains!$H:$H,Governance_Domains!$B:$B,$C225)/100</f>
        <v>0</v>
      </c>
      <c r="G225" s="5">
        <f>AVERAGEIFS(Governance_Domains!$H:$H,Governance_Domains!$B:$B,$C225)/100</f>
        <v>0</v>
      </c>
      <c r="H225" t="s">
        <v>92</v>
      </c>
      <c r="I225">
        <v>0</v>
      </c>
      <c r="J225">
        <v>0</v>
      </c>
    </row>
    <row r="226" spans="1:10" ht="15" customHeight="1">
      <c r="A226" t="s">
        <v>9</v>
      </c>
      <c r="B226" t="s">
        <v>74</v>
      </c>
      <c r="C226">
        <v>17</v>
      </c>
      <c r="D226">
        <v>4</v>
      </c>
      <c r="E226">
        <v>4</v>
      </c>
      <c r="F226" s="5">
        <f>AVERAGEIFS(Governance_Domains!$H:$H,Governance_Domains!$B:$B,$C226)/100</f>
        <v>0</v>
      </c>
      <c r="G226" s="5">
        <f>AVERAGEIFS(Governance_Domains!$H:$H,Governance_Domains!$B:$B,$C226)/100</f>
        <v>0</v>
      </c>
      <c r="H226" t="s">
        <v>92</v>
      </c>
      <c r="I226">
        <v>0</v>
      </c>
      <c r="J226">
        <v>0</v>
      </c>
    </row>
    <row r="227" spans="1:10" ht="15" customHeight="1">
      <c r="A227" t="s">
        <v>9</v>
      </c>
      <c r="B227" t="s">
        <v>74</v>
      </c>
      <c r="C227">
        <v>18</v>
      </c>
      <c r="D227">
        <v>5</v>
      </c>
      <c r="E227">
        <v>1</v>
      </c>
      <c r="F227" s="5">
        <f>AVERAGEIFS(Governance_Domains!$H:$H,Governance_Domains!$B:$B,$C227)/100</f>
        <v>0</v>
      </c>
      <c r="G227" s="5">
        <f>AVERAGEIFS(Governance_Domains!$H:$H,Governance_Domains!$B:$B,$C227)/100</f>
        <v>0</v>
      </c>
      <c r="H227" t="s">
        <v>92</v>
      </c>
      <c r="I227">
        <v>0</v>
      </c>
      <c r="J227">
        <v>0</v>
      </c>
    </row>
    <row r="228" spans="1:10" ht="15" customHeight="1">
      <c r="A228" t="s">
        <v>9</v>
      </c>
      <c r="B228" t="s">
        <v>74</v>
      </c>
      <c r="C228">
        <v>19</v>
      </c>
      <c r="D228">
        <v>5</v>
      </c>
      <c r="E228">
        <v>2</v>
      </c>
      <c r="F228" s="5">
        <f>AVERAGEIFS(Governance_Domains!$H:$H,Governance_Domains!$B:$B,$C228)/100</f>
        <v>0</v>
      </c>
      <c r="G228" s="5">
        <f>AVERAGEIFS(Governance_Domains!$H:$H,Governance_Domains!$B:$B,$C228)/100</f>
        <v>0</v>
      </c>
      <c r="H228" t="s">
        <v>92</v>
      </c>
      <c r="I228">
        <v>0</v>
      </c>
      <c r="J228">
        <v>0</v>
      </c>
    </row>
    <row r="229" spans="1:10" ht="15" customHeight="1">
      <c r="A229" t="s">
        <v>9</v>
      </c>
      <c r="B229" t="s">
        <v>74</v>
      </c>
      <c r="C229">
        <v>20</v>
      </c>
      <c r="D229">
        <v>5</v>
      </c>
      <c r="E229">
        <v>3</v>
      </c>
      <c r="F229" s="5">
        <f>AVERAGEIFS(Governance_Domains!$H:$H,Governance_Domains!$B:$B,$C229)/100</f>
        <v>0</v>
      </c>
      <c r="G229" s="5">
        <f>AVERAGEIFS(Governance_Domains!$H:$H,Governance_Domains!$B:$B,$C229)/100</f>
        <v>0</v>
      </c>
      <c r="H229" t="s">
        <v>92</v>
      </c>
      <c r="I229">
        <v>0</v>
      </c>
      <c r="J229">
        <v>0</v>
      </c>
    </row>
    <row r="230" spans="1:10" ht="15" customHeight="1">
      <c r="A230" t="s">
        <v>9</v>
      </c>
      <c r="B230" t="s">
        <v>74</v>
      </c>
      <c r="C230">
        <v>21</v>
      </c>
      <c r="D230">
        <v>5</v>
      </c>
      <c r="E230">
        <v>4</v>
      </c>
      <c r="F230" s="5">
        <f>AVERAGEIFS(Governance_Domains!$H:$H,Governance_Domains!$B:$B,$C230)/100</f>
        <v>0</v>
      </c>
      <c r="G230" s="5">
        <f>AVERAGEIFS(Governance_Domains!$H:$H,Governance_Domains!$B:$B,$C230)/100</f>
        <v>0</v>
      </c>
      <c r="H230" t="s">
        <v>92</v>
      </c>
      <c r="I230">
        <v>0</v>
      </c>
      <c r="J230">
        <v>0</v>
      </c>
    </row>
    <row r="231" spans="1:10" ht="15" customHeight="1">
      <c r="A231" t="s">
        <v>9</v>
      </c>
      <c r="B231" t="s">
        <v>74</v>
      </c>
      <c r="C231">
        <v>22</v>
      </c>
      <c r="D231">
        <v>5</v>
      </c>
      <c r="E231">
        <v>5</v>
      </c>
      <c r="F231" s="5">
        <f>AVERAGEIFS(Governance_Domains!$H:$H,Governance_Domains!$B:$B,$C231)/100</f>
        <v>0</v>
      </c>
      <c r="G231" s="5">
        <f>AVERAGEIFS(Governance_Domains!$H:$H,Governance_Domains!$B:$B,$C231)/100</f>
        <v>0</v>
      </c>
      <c r="H231" t="s">
        <v>92</v>
      </c>
      <c r="I231">
        <v>0</v>
      </c>
      <c r="J231">
        <v>0</v>
      </c>
    </row>
    <row r="232" spans="1:10" ht="15" customHeight="1">
      <c r="A232" t="s">
        <v>9</v>
      </c>
      <c r="B232" t="s">
        <v>74</v>
      </c>
      <c r="C232">
        <v>23</v>
      </c>
      <c r="D232">
        <v>6</v>
      </c>
      <c r="E232">
        <v>1</v>
      </c>
      <c r="F232" s="5">
        <f>AVERAGEIFS(Governance_Domains!$H:$H,Governance_Domains!$B:$B,$C232)/100</f>
        <v>0</v>
      </c>
      <c r="G232" s="5">
        <f>AVERAGEIFS(Governance_Domains!$H:$H,Governance_Domains!$B:$B,$C232)/100</f>
        <v>0</v>
      </c>
      <c r="H232" t="s">
        <v>92</v>
      </c>
      <c r="I232">
        <v>0</v>
      </c>
      <c r="J232">
        <v>0</v>
      </c>
    </row>
    <row r="233" spans="1:10" ht="15" customHeight="1">
      <c r="A233" t="s">
        <v>9</v>
      </c>
      <c r="B233" t="s">
        <v>74</v>
      </c>
      <c r="C233">
        <v>24</v>
      </c>
      <c r="D233">
        <v>6</v>
      </c>
      <c r="E233">
        <v>2</v>
      </c>
      <c r="F233" s="5">
        <f>AVERAGEIFS(Governance_Domains!$H:$H,Governance_Domains!$B:$B,$C233)/100</f>
        <v>0</v>
      </c>
      <c r="G233" s="5">
        <f>AVERAGEIFS(Governance_Domains!$H:$H,Governance_Domains!$B:$B,$C233)/100</f>
        <v>0</v>
      </c>
      <c r="H233" t="s">
        <v>92</v>
      </c>
      <c r="I233">
        <v>0</v>
      </c>
      <c r="J233">
        <v>0</v>
      </c>
    </row>
    <row r="234" spans="1:10" ht="15" customHeight="1">
      <c r="A234" t="s">
        <v>9</v>
      </c>
      <c r="B234" t="s">
        <v>74</v>
      </c>
      <c r="C234">
        <v>25</v>
      </c>
      <c r="D234">
        <v>6</v>
      </c>
      <c r="E234">
        <v>3</v>
      </c>
      <c r="F234" s="5">
        <f>AVERAGEIFS(Governance_Domains!$H:$H,Governance_Domains!$B:$B,$C234)/100</f>
        <v>0</v>
      </c>
      <c r="G234" s="5">
        <f>AVERAGEIFS(Governance_Domains!$H:$H,Governance_Domains!$B:$B,$C234)/100</f>
        <v>0</v>
      </c>
      <c r="I234">
        <v>0</v>
      </c>
      <c r="J234">
        <v>0</v>
      </c>
    </row>
    <row r="235" spans="1:10" ht="15" customHeight="1">
      <c r="A235" t="s">
        <v>9</v>
      </c>
      <c r="B235" t="s">
        <v>74</v>
      </c>
      <c r="C235">
        <v>26</v>
      </c>
      <c r="D235">
        <v>6</v>
      </c>
      <c r="E235">
        <v>4</v>
      </c>
      <c r="F235" s="5">
        <f>AVERAGEIFS(Governance_Domains!$H:$H,Governance_Domains!$B:$B,$C235)/100</f>
        <v>0</v>
      </c>
      <c r="G235" s="5">
        <f>AVERAGEIFS(Governance_Domains!$H:$H,Governance_Domains!$B:$B,$C235)/100</f>
        <v>0</v>
      </c>
      <c r="I235">
        <v>0</v>
      </c>
      <c r="J235">
        <v>0</v>
      </c>
    </row>
    <row r="236" spans="1:10" ht="15" customHeight="1">
      <c r="A236" t="s">
        <v>9</v>
      </c>
      <c r="B236" t="s">
        <v>74</v>
      </c>
      <c r="C236">
        <v>27</v>
      </c>
      <c r="D236">
        <v>7</v>
      </c>
      <c r="E236">
        <v>1</v>
      </c>
      <c r="F236" s="5">
        <f>AVERAGEIFS(Governance_Domains!$H:$H,Governance_Domains!$B:$B,$C236)/100</f>
        <v>0</v>
      </c>
      <c r="G236" s="5">
        <f>AVERAGEIFS(Governance_Domains!$H:$H,Governance_Domains!$B:$B,$C236)/100</f>
        <v>0</v>
      </c>
      <c r="I236">
        <v>0</v>
      </c>
      <c r="J236">
        <v>0</v>
      </c>
    </row>
    <row r="237" spans="1:10" ht="15" customHeight="1">
      <c r="A237" t="s">
        <v>9</v>
      </c>
      <c r="B237" t="s">
        <v>74</v>
      </c>
      <c r="C237">
        <v>28</v>
      </c>
      <c r="D237">
        <v>7</v>
      </c>
      <c r="E237">
        <v>2</v>
      </c>
      <c r="F237" s="5">
        <f>AVERAGEIFS(Governance_Domains!$H:$H,Governance_Domains!$B:$B,$C237)/100</f>
        <v>0</v>
      </c>
      <c r="G237" s="5">
        <f>AVERAGEIFS(Governance_Domains!$H:$H,Governance_Domains!$B:$B,$C237)/100</f>
        <v>0</v>
      </c>
      <c r="I237">
        <v>0</v>
      </c>
      <c r="J237">
        <v>0</v>
      </c>
    </row>
    <row r="238" spans="1:10" ht="15" customHeight="1">
      <c r="A238" t="s">
        <v>9</v>
      </c>
      <c r="B238" t="s">
        <v>74</v>
      </c>
      <c r="C238">
        <v>29</v>
      </c>
      <c r="D238">
        <v>7</v>
      </c>
      <c r="E238">
        <v>3</v>
      </c>
      <c r="F238" s="5">
        <f>AVERAGEIFS(Governance_Domains!$H:$H,Governance_Domains!$B:$B,$C238)/100</f>
        <v>0</v>
      </c>
      <c r="G238" s="5">
        <f>AVERAGEIFS(Governance_Domains!$H:$H,Governance_Domains!$B:$B,$C238)/100</f>
        <v>0</v>
      </c>
      <c r="I238">
        <v>0</v>
      </c>
      <c r="J238">
        <v>0</v>
      </c>
    </row>
    <row r="239" spans="1:10" ht="15" customHeight="1">
      <c r="A239" t="s">
        <v>9</v>
      </c>
      <c r="B239" t="s">
        <v>74</v>
      </c>
      <c r="C239">
        <v>30</v>
      </c>
      <c r="D239">
        <v>7</v>
      </c>
      <c r="E239">
        <v>4</v>
      </c>
      <c r="F239" s="5">
        <f>AVERAGEIFS(Governance_Domains!$H:$H,Governance_Domains!$B:$B,$C239)/100</f>
        <v>0</v>
      </c>
      <c r="G239" s="5">
        <f>AVERAGEIFS(Governance_Domains!$H:$H,Governance_Domains!$B:$B,$C239)/100</f>
        <v>0</v>
      </c>
      <c r="I239">
        <v>0</v>
      </c>
      <c r="J239">
        <v>0</v>
      </c>
    </row>
    <row r="240" spans="1:10" ht="15" customHeight="1">
      <c r="A240" t="s">
        <v>9</v>
      </c>
      <c r="B240" t="s">
        <v>74</v>
      </c>
      <c r="C240">
        <v>31</v>
      </c>
      <c r="D240">
        <v>8</v>
      </c>
      <c r="E240">
        <v>1</v>
      </c>
      <c r="F240" s="5">
        <f>AVERAGEIFS(Governance_Domains!$H:$H,Governance_Domains!$B:$B,$C240)/100</f>
        <v>0</v>
      </c>
      <c r="G240" s="5">
        <f>AVERAGEIFS(Governance_Domains!$H:$H,Governance_Domains!$B:$B,$C240)/100</f>
        <v>0</v>
      </c>
      <c r="I240">
        <v>0</v>
      </c>
      <c r="J240">
        <v>0</v>
      </c>
    </row>
    <row r="241" spans="1:10" ht="15" customHeight="1">
      <c r="A241" t="s">
        <v>9</v>
      </c>
      <c r="B241" t="s">
        <v>74</v>
      </c>
      <c r="C241">
        <v>32</v>
      </c>
      <c r="D241">
        <v>8</v>
      </c>
      <c r="E241">
        <v>2</v>
      </c>
      <c r="F241" s="5">
        <f>AVERAGEIFS(Governance_Domains!$H:$H,Governance_Domains!$B:$B,$C241)/100</f>
        <v>0</v>
      </c>
      <c r="G241" s="5">
        <f>AVERAGEIFS(Governance_Domains!$H:$H,Governance_Domains!$B:$B,$C241)/100</f>
        <v>0</v>
      </c>
      <c r="I241">
        <v>0</v>
      </c>
      <c r="J241">
        <v>0</v>
      </c>
    </row>
    <row r="242" spans="1:10" ht="15" customHeight="1">
      <c r="A242" t="s">
        <v>9</v>
      </c>
      <c r="B242" t="s">
        <v>74</v>
      </c>
      <c r="C242">
        <v>33</v>
      </c>
      <c r="D242">
        <v>8</v>
      </c>
      <c r="E242">
        <v>3</v>
      </c>
      <c r="F242" s="5">
        <f>AVERAGEIFS(Governance_Domains!$H:$H,Governance_Domains!$B:$B,$C242)/100</f>
        <v>0</v>
      </c>
      <c r="G242" s="5">
        <f>AVERAGEIFS(Governance_Domains!$H:$H,Governance_Domains!$B:$B,$C242)/100</f>
        <v>0</v>
      </c>
      <c r="I242">
        <v>0</v>
      </c>
      <c r="J242">
        <v>0</v>
      </c>
    </row>
    <row r="243" spans="1:10" ht="15" customHeight="1">
      <c r="A243" t="s">
        <v>9</v>
      </c>
      <c r="B243" t="s">
        <v>74</v>
      </c>
      <c r="C243">
        <v>34</v>
      </c>
      <c r="D243">
        <v>8</v>
      </c>
      <c r="E243">
        <v>4</v>
      </c>
      <c r="F243" s="5">
        <f>AVERAGEIFS(Governance_Domains!$H:$H,Governance_Domains!$B:$B,$C243)/100</f>
        <v>0</v>
      </c>
      <c r="G243" s="5">
        <f>AVERAGEIFS(Governance_Domains!$H:$H,Governance_Domains!$B:$B,$C243)/100</f>
        <v>0</v>
      </c>
      <c r="I243">
        <v>0</v>
      </c>
      <c r="J243">
        <v>0</v>
      </c>
    </row>
    <row r="244" spans="1:10" ht="15" customHeight="1">
      <c r="A244" t="s">
        <v>9</v>
      </c>
      <c r="B244" t="s">
        <v>74</v>
      </c>
      <c r="C244">
        <v>35</v>
      </c>
      <c r="D244">
        <v>8</v>
      </c>
      <c r="E244">
        <v>5</v>
      </c>
      <c r="F244" s="5">
        <f>AVERAGEIFS(Governance_Domains!$H:$H,Governance_Domains!$B:$B,$C244)/100</f>
        <v>0</v>
      </c>
      <c r="G244" s="5">
        <f>AVERAGEIFS(Governance_Domains!$H:$H,Governance_Domains!$B:$B,$C244)/100</f>
        <v>0</v>
      </c>
      <c r="I244">
        <v>0</v>
      </c>
      <c r="J244">
        <v>0</v>
      </c>
    </row>
    <row r="245" spans="1:10" ht="15" customHeight="1">
      <c r="A245" t="s">
        <v>9</v>
      </c>
      <c r="B245" t="s">
        <v>74</v>
      </c>
      <c r="C245">
        <v>36</v>
      </c>
      <c r="D245">
        <v>9</v>
      </c>
      <c r="E245">
        <v>1</v>
      </c>
      <c r="F245" s="5">
        <f>AVERAGEIFS(Governance_Domains!$H:$H,Governance_Domains!$B:$B,$C245)/100</f>
        <v>0</v>
      </c>
      <c r="G245" s="5">
        <f>AVERAGEIFS(Governance_Domains!$H:$H,Governance_Domains!$B:$B,$C245)/100</f>
        <v>0</v>
      </c>
      <c r="I245">
        <v>0</v>
      </c>
      <c r="J245">
        <v>0</v>
      </c>
    </row>
    <row r="246" spans="1:10" ht="15" customHeight="1">
      <c r="A246" t="s">
        <v>9</v>
      </c>
      <c r="B246" t="s">
        <v>74</v>
      </c>
      <c r="C246">
        <v>37</v>
      </c>
      <c r="D246">
        <v>9</v>
      </c>
      <c r="E246">
        <v>2</v>
      </c>
      <c r="F246" s="5">
        <f>AVERAGEIFS(Governance_Domains!$H:$H,Governance_Domains!$B:$B,$C246)/100</f>
        <v>0</v>
      </c>
      <c r="G246" s="5">
        <f>AVERAGEIFS(Governance_Domains!$H:$H,Governance_Domains!$B:$B,$C246)/100</f>
        <v>0</v>
      </c>
      <c r="I246">
        <v>0</v>
      </c>
      <c r="J246">
        <v>0</v>
      </c>
    </row>
    <row r="247" spans="1:10" ht="15" customHeight="1">
      <c r="A247" t="s">
        <v>9</v>
      </c>
      <c r="B247" t="s">
        <v>74</v>
      </c>
      <c r="C247">
        <v>38</v>
      </c>
      <c r="D247">
        <v>9</v>
      </c>
      <c r="E247">
        <v>3</v>
      </c>
      <c r="F247" s="5">
        <f>AVERAGEIFS(Governance_Domains!$H:$H,Governance_Domains!$B:$B,$C247)/100</f>
        <v>0</v>
      </c>
      <c r="G247" s="5">
        <f>AVERAGEIFS(Governance_Domains!$H:$H,Governance_Domains!$B:$B,$C247)/100</f>
        <v>0</v>
      </c>
      <c r="I247">
        <v>0</v>
      </c>
      <c r="J247">
        <v>0</v>
      </c>
    </row>
    <row r="248" spans="1:10" ht="15" customHeight="1">
      <c r="A248" t="s">
        <v>9</v>
      </c>
      <c r="B248" t="s">
        <v>74</v>
      </c>
      <c r="C248">
        <v>39</v>
      </c>
      <c r="D248">
        <v>9</v>
      </c>
      <c r="E248">
        <v>4</v>
      </c>
      <c r="F248" s="5">
        <f>AVERAGEIFS(Governance_Domains!$H:$H,Governance_Domains!$B:$B,$C248)/100</f>
        <v>0</v>
      </c>
      <c r="G248" s="5">
        <f>AVERAGEIFS(Governance_Domains!$H:$H,Governance_Domains!$B:$B,$C248)/100</f>
        <v>0</v>
      </c>
      <c r="I248">
        <v>0</v>
      </c>
      <c r="J248">
        <v>0</v>
      </c>
    </row>
    <row r="249" spans="1:10" ht="15" customHeight="1">
      <c r="A249" t="s">
        <v>9</v>
      </c>
      <c r="B249" t="s">
        <v>74</v>
      </c>
      <c r="C249">
        <v>40</v>
      </c>
      <c r="D249">
        <v>10</v>
      </c>
      <c r="E249">
        <v>1</v>
      </c>
      <c r="F249" s="5">
        <f>AVERAGEIFS(Governance_Domains!$H:$H,Governance_Domains!$B:$B,$C249)/100</f>
        <v>0</v>
      </c>
      <c r="G249" s="5">
        <f>AVERAGEIFS(Governance_Domains!$H:$H,Governance_Domains!$B:$B,$C249)/100</f>
        <v>0</v>
      </c>
      <c r="I249">
        <v>0</v>
      </c>
      <c r="J249">
        <v>0</v>
      </c>
    </row>
    <row r="250" spans="1:10" ht="15" customHeight="1">
      <c r="A250" t="s">
        <v>9</v>
      </c>
      <c r="B250" t="s">
        <v>74</v>
      </c>
      <c r="C250">
        <v>41</v>
      </c>
      <c r="D250">
        <v>10</v>
      </c>
      <c r="E250">
        <v>2</v>
      </c>
      <c r="F250" s="5">
        <f>AVERAGEIFS(Governance_Domains!$H:$H,Governance_Domains!$B:$B,$C250)/100</f>
        <v>0</v>
      </c>
      <c r="G250" s="5">
        <f>AVERAGEIFS(Governance_Domains!$H:$H,Governance_Domains!$B:$B,$C250)/100</f>
        <v>0</v>
      </c>
      <c r="I250">
        <v>0</v>
      </c>
      <c r="J250">
        <v>0</v>
      </c>
    </row>
    <row r="251" spans="1:10" ht="15" customHeight="1">
      <c r="A251" t="s">
        <v>9</v>
      </c>
      <c r="B251" t="s">
        <v>74</v>
      </c>
      <c r="C251">
        <v>42</v>
      </c>
      <c r="D251">
        <v>10</v>
      </c>
      <c r="E251">
        <v>3</v>
      </c>
      <c r="F251" s="5">
        <f>AVERAGEIFS(Governance_Domains!$H:$H,Governance_Domains!$B:$B,$C251)/100</f>
        <v>0</v>
      </c>
      <c r="G251" s="5">
        <f>AVERAGEIFS(Governance_Domains!$H:$H,Governance_Domains!$B:$B,$C251)/100</f>
        <v>0</v>
      </c>
      <c r="I251">
        <v>0</v>
      </c>
      <c r="J251">
        <v>0</v>
      </c>
    </row>
    <row r="252" spans="1:10" ht="15" customHeight="1">
      <c r="A252" t="s">
        <v>9</v>
      </c>
      <c r="B252" t="s">
        <v>74</v>
      </c>
      <c r="C252">
        <v>43</v>
      </c>
      <c r="D252">
        <v>10</v>
      </c>
      <c r="E252">
        <v>4</v>
      </c>
      <c r="F252" s="5">
        <f>AVERAGEIFS(Governance_Domains!$H:$H,Governance_Domains!$B:$B,$C252)/100</f>
        <v>0</v>
      </c>
      <c r="G252" s="5">
        <f>AVERAGEIFS(Governance_Domains!$H:$H,Governance_Domains!$B:$B,$C252)/100</f>
        <v>0</v>
      </c>
      <c r="I252">
        <v>0</v>
      </c>
      <c r="J252">
        <v>0</v>
      </c>
    </row>
    <row r="253" spans="1:10" ht="15" customHeight="1">
      <c r="A253" t="s">
        <v>9</v>
      </c>
      <c r="B253" t="s">
        <v>74</v>
      </c>
      <c r="C253">
        <v>44</v>
      </c>
      <c r="D253">
        <v>10</v>
      </c>
      <c r="E253">
        <v>5</v>
      </c>
      <c r="F253" s="5">
        <f>AVERAGEIFS(Governance_Domains!$H:$H,Governance_Domains!$B:$B,$C253)/100</f>
        <v>0</v>
      </c>
      <c r="G253" s="5">
        <f>AVERAGEIFS(Governance_Domains!$H:$H,Governance_Domains!$B:$B,$C253)/100</f>
        <v>0</v>
      </c>
      <c r="I253">
        <v>0</v>
      </c>
      <c r="J253">
        <v>0</v>
      </c>
    </row>
    <row r="254" spans="1:10" ht="15" customHeight="1">
      <c r="A254" t="s">
        <v>9</v>
      </c>
      <c r="B254" t="s">
        <v>74</v>
      </c>
      <c r="C254">
        <v>45</v>
      </c>
      <c r="D254">
        <v>11</v>
      </c>
      <c r="E254">
        <v>1</v>
      </c>
      <c r="F254" s="5">
        <f>AVERAGEIFS(Governance_Domains!$H:$H,Governance_Domains!$B:$B,$C254)/100</f>
        <v>0</v>
      </c>
      <c r="G254" s="5">
        <f>AVERAGEIFS(Governance_Domains!$H:$H,Governance_Domains!$B:$B,$C254)/100</f>
        <v>0</v>
      </c>
      <c r="I254">
        <v>0</v>
      </c>
      <c r="J254">
        <v>0</v>
      </c>
    </row>
    <row r="255" spans="1:10" ht="15" customHeight="1">
      <c r="A255" t="s">
        <v>9</v>
      </c>
      <c r="B255" t="s">
        <v>74</v>
      </c>
      <c r="C255">
        <v>46</v>
      </c>
      <c r="D255">
        <v>11</v>
      </c>
      <c r="E255">
        <v>2</v>
      </c>
      <c r="F255" s="5">
        <f>AVERAGEIFS(Governance_Domains!$H:$H,Governance_Domains!$B:$B,$C255)/100</f>
        <v>0</v>
      </c>
      <c r="G255" s="5">
        <f>AVERAGEIFS(Governance_Domains!$H:$H,Governance_Domains!$B:$B,$C255)/100</f>
        <v>0</v>
      </c>
      <c r="I255">
        <v>0</v>
      </c>
      <c r="J255">
        <v>0</v>
      </c>
    </row>
    <row r="256" spans="1:10" ht="15" customHeight="1">
      <c r="A256" t="s">
        <v>9</v>
      </c>
      <c r="B256" t="s">
        <v>74</v>
      </c>
      <c r="C256">
        <v>47</v>
      </c>
      <c r="D256">
        <v>11</v>
      </c>
      <c r="E256">
        <v>3</v>
      </c>
      <c r="F256" s="5">
        <f>AVERAGEIFS(Governance_Domains!$H:$H,Governance_Domains!$B:$B,$C256)/100</f>
        <v>0</v>
      </c>
      <c r="G256" s="5">
        <f>AVERAGEIFS(Governance_Domains!$H:$H,Governance_Domains!$B:$B,$C256)/100</f>
        <v>0</v>
      </c>
      <c r="I256">
        <v>0</v>
      </c>
      <c r="J256">
        <v>0</v>
      </c>
    </row>
    <row r="257" spans="1:10" ht="15" customHeight="1">
      <c r="A257" t="s">
        <v>9</v>
      </c>
      <c r="B257" t="s">
        <v>74</v>
      </c>
      <c r="C257">
        <v>48</v>
      </c>
      <c r="D257">
        <v>11</v>
      </c>
      <c r="E257">
        <v>4</v>
      </c>
      <c r="F257" s="5">
        <f>AVERAGEIFS(Governance_Domains!$H:$H,Governance_Domains!$B:$B,$C257)/100</f>
        <v>0</v>
      </c>
      <c r="G257" s="5">
        <f>AVERAGEIFS(Governance_Domains!$H:$H,Governance_Domains!$B:$B,$C257)/100</f>
        <v>0</v>
      </c>
      <c r="I257">
        <v>0</v>
      </c>
      <c r="J257">
        <v>0</v>
      </c>
    </row>
    <row r="258" spans="1:10" ht="15" customHeight="1">
      <c r="A258" t="s">
        <v>9</v>
      </c>
      <c r="B258" t="s">
        <v>74</v>
      </c>
      <c r="C258">
        <v>49</v>
      </c>
      <c r="D258">
        <v>12</v>
      </c>
      <c r="E258">
        <v>1</v>
      </c>
      <c r="F258" s="5">
        <f>AVERAGEIFS(Governance_Domains!$H:$H,Governance_Domains!$B:$B,$C258)/100</f>
        <v>0</v>
      </c>
      <c r="G258" s="5">
        <f>AVERAGEIFS(Governance_Domains!$H:$H,Governance_Domains!$B:$B,$C258)/100</f>
        <v>0</v>
      </c>
      <c r="I258">
        <v>0</v>
      </c>
      <c r="J258">
        <v>0</v>
      </c>
    </row>
    <row r="259" spans="1:10" ht="15" customHeight="1">
      <c r="A259" t="s">
        <v>9</v>
      </c>
      <c r="B259" t="s">
        <v>74</v>
      </c>
      <c r="C259">
        <v>50</v>
      </c>
      <c r="D259">
        <v>12</v>
      </c>
      <c r="E259">
        <v>2</v>
      </c>
      <c r="F259" s="5">
        <f>AVERAGEIFS(Governance_Domains!$H:$H,Governance_Domains!$B:$B,$C259)/100</f>
        <v>0</v>
      </c>
      <c r="G259" s="5">
        <f>AVERAGEIFS(Governance_Domains!$H:$H,Governance_Domains!$B:$B,$C259)/100</f>
        <v>0</v>
      </c>
      <c r="I259">
        <v>0</v>
      </c>
      <c r="J259">
        <v>0</v>
      </c>
    </row>
    <row r="260" spans="1:10" ht="15" customHeight="1">
      <c r="A260" t="s">
        <v>9</v>
      </c>
      <c r="B260" t="s">
        <v>74</v>
      </c>
      <c r="C260">
        <v>51</v>
      </c>
      <c r="D260">
        <v>12</v>
      </c>
      <c r="E260">
        <v>3</v>
      </c>
      <c r="F260" s="5">
        <f>AVERAGEIFS(Governance_Domains!$H:$H,Governance_Domains!$B:$B,$C260)/100</f>
        <v>0</v>
      </c>
      <c r="G260" s="5">
        <f>AVERAGEIFS(Governance_Domains!$H:$H,Governance_Domains!$B:$B,$C260)/100</f>
        <v>0</v>
      </c>
      <c r="I260">
        <v>0</v>
      </c>
      <c r="J260">
        <v>0</v>
      </c>
    </row>
    <row r="261" spans="1:10" ht="15" customHeight="1">
      <c r="A261" t="s">
        <v>9</v>
      </c>
      <c r="B261" t="s">
        <v>74</v>
      </c>
      <c r="C261">
        <v>52</v>
      </c>
      <c r="D261">
        <v>12</v>
      </c>
      <c r="E261">
        <v>4</v>
      </c>
      <c r="F261" s="5">
        <f>AVERAGEIFS(Governance_Domains!$H:$H,Governance_Domains!$B:$B,$C261)/100</f>
        <v>0</v>
      </c>
      <c r="G261" s="5">
        <f>AVERAGEIFS(Governance_Domains!$H:$H,Governance_Domains!$B:$B,$C261)/100</f>
        <v>0</v>
      </c>
      <c r="I261">
        <v>0</v>
      </c>
      <c r="J261">
        <v>0</v>
      </c>
    </row>
    <row r="262" spans="1:10" ht="15" customHeight="1">
      <c r="A262" t="s">
        <v>9</v>
      </c>
      <c r="B262" t="s">
        <v>78</v>
      </c>
      <c r="C262">
        <v>1</v>
      </c>
      <c r="D262">
        <v>1</v>
      </c>
      <c r="E262">
        <v>1</v>
      </c>
      <c r="F262" s="5">
        <f t="shared" ref="F262:F285" si="0">IFERROR(J262/I262,0)</f>
        <v>0</v>
      </c>
      <c r="G262" s="5">
        <f>IFERROR(#REF!/I262,0)</f>
        <v>0</v>
      </c>
      <c r="H262" t="s">
        <v>91</v>
      </c>
      <c r="I262">
        <f>COUNTIFS(Tasks!$A:$A,"Executive",Tasks!$G:$G,"&lt;="&amp;INDEX(Weeks!$D:$D,MATCH($C262,Weeks!$A:$A,0)))-COUNTIFS(Tasks!$A:$A,"Executive",Tasks!$I:$I,"&lt;="&amp;INDEX(Weeks!$D:$D,MATCH($C262,Weeks!$A:$A,0)),Tasks!$I:$I,"&lt;&gt;")</f>
        <v>0</v>
      </c>
      <c r="J262">
        <f>COUNTIFS(Tasks!$A:$A,"Executive",Tasks!$I:$I,"&gt;"&amp;INDEX(Weeks!$D:$D,MATCH($C262-1,Weeks!$A:$A,0)),Tasks!$I:$I,"&lt;="&amp;INDEX(Weeks!$D:$D,MATCH($C262,Weeks!$A:$A,0)),Tasks!$I:$I,"&lt;&gt;")</f>
        <v>0</v>
      </c>
    </row>
    <row r="263" spans="1:10" ht="15" customHeight="1">
      <c r="A263" t="s">
        <v>9</v>
      </c>
      <c r="B263" t="s">
        <v>78</v>
      </c>
      <c r="C263">
        <v>2</v>
      </c>
      <c r="D263">
        <v>1</v>
      </c>
      <c r="E263">
        <v>2</v>
      </c>
      <c r="F263" s="5">
        <f t="shared" si="0"/>
        <v>0</v>
      </c>
      <c r="G263" s="5">
        <f>IFERROR(#REF!/I263,0)</f>
        <v>0</v>
      </c>
      <c r="H263" t="s">
        <v>91</v>
      </c>
      <c r="I263">
        <f>COUNTIFS(Tasks!$A:$A,"Executive",Tasks!$G:$G,"&lt;="&amp;INDEX(Weeks!$D:$D,MATCH($C263,Weeks!$A:$A,0)))-COUNTIFS(Tasks!$A:$A,"Executive",Tasks!$I:$I,"&lt;="&amp;INDEX(Weeks!$D:$D,MATCH($C263,Weeks!$A:$A,0)),Tasks!$I:$I,"&lt;&gt;")</f>
        <v>0</v>
      </c>
      <c r="J263">
        <f>COUNTIFS(Tasks!$A:$A,"Executive",Tasks!$I:$I,"&gt;"&amp;INDEX(Weeks!$D:$D,MATCH($C263-1,Weeks!$A:$A,0)),Tasks!$I:$I,"&lt;="&amp;INDEX(Weeks!$D:$D,MATCH($C263,Weeks!$A:$A,0)),Tasks!$I:$I,"&lt;&gt;")</f>
        <v>0</v>
      </c>
    </row>
    <row r="264" spans="1:10" ht="15" customHeight="1">
      <c r="A264" t="s">
        <v>9</v>
      </c>
      <c r="B264" t="s">
        <v>78</v>
      </c>
      <c r="C264">
        <v>3</v>
      </c>
      <c r="D264">
        <v>1</v>
      </c>
      <c r="E264">
        <v>3</v>
      </c>
      <c r="F264" s="5">
        <f t="shared" si="0"/>
        <v>0</v>
      </c>
      <c r="G264" s="5">
        <f>IFERROR(#REF!/I264,0)</f>
        <v>0</v>
      </c>
      <c r="H264" t="s">
        <v>91</v>
      </c>
      <c r="I264">
        <f>COUNTIFS(Tasks!$A:$A,"Executive",Tasks!$G:$G,"&lt;="&amp;INDEX(Weeks!$D:$D,MATCH($C264,Weeks!$A:$A,0)))-COUNTIFS(Tasks!$A:$A,"Executive",Tasks!$I:$I,"&lt;="&amp;INDEX(Weeks!$D:$D,MATCH($C264,Weeks!$A:$A,0)),Tasks!$I:$I,"&lt;&gt;")</f>
        <v>0</v>
      </c>
      <c r="J264">
        <f>COUNTIFS(Tasks!$A:$A,"Executive",Tasks!$I:$I,"&gt;"&amp;INDEX(Weeks!$D:$D,MATCH($C264-1,Weeks!$A:$A,0)),Tasks!$I:$I,"&lt;="&amp;INDEX(Weeks!$D:$D,MATCH($C264,Weeks!$A:$A,0)),Tasks!$I:$I,"&lt;&gt;")</f>
        <v>0</v>
      </c>
    </row>
    <row r="265" spans="1:10" ht="15" customHeight="1">
      <c r="A265" t="s">
        <v>9</v>
      </c>
      <c r="B265" t="s">
        <v>78</v>
      </c>
      <c r="C265">
        <v>4</v>
      </c>
      <c r="D265">
        <v>1</v>
      </c>
      <c r="E265">
        <v>4</v>
      </c>
      <c r="F265" s="5">
        <f t="shared" si="0"/>
        <v>0</v>
      </c>
      <c r="G265" s="5">
        <f>IFERROR(#REF!/I265,0)</f>
        <v>0</v>
      </c>
      <c r="H265" t="s">
        <v>91</v>
      </c>
      <c r="I265">
        <f>COUNTIFS(Tasks!$A:$A,"Executive",Tasks!$G:$G,"&lt;="&amp;INDEX(Weeks!$D:$D,MATCH($C265,Weeks!$A:$A,0)))-COUNTIFS(Tasks!$A:$A,"Executive",Tasks!$I:$I,"&lt;="&amp;INDEX(Weeks!$D:$D,MATCH($C265,Weeks!$A:$A,0)),Tasks!$I:$I,"&lt;&gt;")</f>
        <v>0</v>
      </c>
      <c r="J265">
        <f>COUNTIFS(Tasks!$A:$A,"Executive",Tasks!$I:$I,"&gt;"&amp;INDEX(Weeks!$D:$D,MATCH($C265-1,Weeks!$A:$A,0)),Tasks!$I:$I,"&lt;="&amp;INDEX(Weeks!$D:$D,MATCH($C265,Weeks!$A:$A,0)),Tasks!$I:$I,"&lt;&gt;")</f>
        <v>0</v>
      </c>
    </row>
    <row r="266" spans="1:10" ht="15" customHeight="1">
      <c r="A266" t="s">
        <v>9</v>
      </c>
      <c r="B266" t="s">
        <v>78</v>
      </c>
      <c r="C266">
        <v>5</v>
      </c>
      <c r="D266">
        <v>1</v>
      </c>
      <c r="E266">
        <v>5</v>
      </c>
      <c r="F266" s="5">
        <f t="shared" si="0"/>
        <v>0</v>
      </c>
      <c r="G266" s="5">
        <f>IFERROR(#REF!/I266,0)</f>
        <v>0</v>
      </c>
      <c r="H266" t="s">
        <v>91</v>
      </c>
      <c r="I266">
        <f>COUNTIFS(Tasks!$A:$A,"Executive",Tasks!$G:$G,"&lt;="&amp;INDEX(Weeks!$D:$D,MATCH($C266,Weeks!$A:$A,0)))-COUNTIFS(Tasks!$A:$A,"Executive",Tasks!$I:$I,"&lt;="&amp;INDEX(Weeks!$D:$D,MATCH($C266,Weeks!$A:$A,0)),Tasks!$I:$I,"&lt;&gt;")</f>
        <v>0</v>
      </c>
      <c r="J266">
        <f>COUNTIFS(Tasks!$A:$A,"Executive",Tasks!$I:$I,"&gt;"&amp;INDEX(Weeks!$D:$D,MATCH($C266-1,Weeks!$A:$A,0)),Tasks!$I:$I,"&lt;="&amp;INDEX(Weeks!$D:$D,MATCH($C266,Weeks!$A:$A,0)),Tasks!$I:$I,"&lt;&gt;")</f>
        <v>0</v>
      </c>
    </row>
    <row r="267" spans="1:10" ht="15" customHeight="1">
      <c r="A267" t="s">
        <v>9</v>
      </c>
      <c r="B267" t="s">
        <v>78</v>
      </c>
      <c r="C267">
        <v>6</v>
      </c>
      <c r="D267">
        <v>2</v>
      </c>
      <c r="E267">
        <v>1</v>
      </c>
      <c r="F267" s="5">
        <f t="shared" si="0"/>
        <v>0</v>
      </c>
      <c r="G267" s="5">
        <f>IFERROR(#REF!/I267,0)</f>
        <v>0</v>
      </c>
      <c r="H267" t="s">
        <v>91</v>
      </c>
      <c r="I267">
        <f>COUNTIFS(Tasks!$A:$A,"Executive",Tasks!$G:$G,"&lt;="&amp;INDEX(Weeks!$D:$D,MATCH($C267,Weeks!$A:$A,0)))-COUNTIFS(Tasks!$A:$A,"Executive",Tasks!$I:$I,"&lt;="&amp;INDEX(Weeks!$D:$D,MATCH($C267,Weeks!$A:$A,0)),Tasks!$I:$I,"&lt;&gt;")</f>
        <v>0</v>
      </c>
      <c r="J267">
        <f>COUNTIFS(Tasks!$A:$A,"Executive",Tasks!$I:$I,"&gt;"&amp;INDEX(Weeks!$D:$D,MATCH($C267-1,Weeks!$A:$A,0)),Tasks!$I:$I,"&lt;="&amp;INDEX(Weeks!$D:$D,MATCH($C267,Weeks!$A:$A,0)),Tasks!$I:$I,"&lt;&gt;")</f>
        <v>0</v>
      </c>
    </row>
    <row r="268" spans="1:10" ht="15" customHeight="1">
      <c r="A268" t="s">
        <v>9</v>
      </c>
      <c r="B268" t="s">
        <v>78</v>
      </c>
      <c r="C268">
        <v>7</v>
      </c>
      <c r="D268">
        <v>2</v>
      </c>
      <c r="E268">
        <v>2</v>
      </c>
      <c r="F268" s="5">
        <f t="shared" si="0"/>
        <v>0</v>
      </c>
      <c r="G268" s="5">
        <f>IFERROR(#REF!/I268,0)</f>
        <v>0</v>
      </c>
      <c r="H268" t="s">
        <v>91</v>
      </c>
      <c r="I268">
        <f>COUNTIFS(Tasks!$A:$A,"Executive",Tasks!$G:$G,"&lt;="&amp;INDEX(Weeks!$D:$D,MATCH($C268,Weeks!$A:$A,0)))-COUNTIFS(Tasks!$A:$A,"Executive",Tasks!$I:$I,"&lt;="&amp;INDEX(Weeks!$D:$D,MATCH($C268,Weeks!$A:$A,0)),Tasks!$I:$I,"&lt;&gt;")</f>
        <v>0</v>
      </c>
      <c r="J268">
        <f>COUNTIFS(Tasks!$A:$A,"Executive",Tasks!$I:$I,"&gt;"&amp;INDEX(Weeks!$D:$D,MATCH($C268-1,Weeks!$A:$A,0)),Tasks!$I:$I,"&lt;="&amp;INDEX(Weeks!$D:$D,MATCH($C268,Weeks!$A:$A,0)),Tasks!$I:$I,"&lt;&gt;")</f>
        <v>0</v>
      </c>
    </row>
    <row r="269" spans="1:10" ht="15" customHeight="1">
      <c r="A269" t="s">
        <v>9</v>
      </c>
      <c r="B269" t="s">
        <v>78</v>
      </c>
      <c r="C269">
        <v>8</v>
      </c>
      <c r="D269">
        <v>2</v>
      </c>
      <c r="E269">
        <v>3</v>
      </c>
      <c r="F269" s="5">
        <f t="shared" si="0"/>
        <v>0</v>
      </c>
      <c r="G269" s="5">
        <f>IFERROR(#REF!/I269,0)</f>
        <v>0</v>
      </c>
      <c r="H269" t="s">
        <v>91</v>
      </c>
      <c r="I269">
        <f>COUNTIFS(Tasks!$A:$A,"Executive",Tasks!$G:$G,"&lt;="&amp;INDEX(Weeks!$D:$D,MATCH($C269,Weeks!$A:$A,0)))-COUNTIFS(Tasks!$A:$A,"Executive",Tasks!$I:$I,"&lt;="&amp;INDEX(Weeks!$D:$D,MATCH($C269,Weeks!$A:$A,0)),Tasks!$I:$I,"&lt;&gt;")</f>
        <v>0</v>
      </c>
      <c r="J269">
        <f>COUNTIFS(Tasks!$A:$A,"Executive",Tasks!$I:$I,"&gt;"&amp;INDEX(Weeks!$D:$D,MATCH($C269-1,Weeks!$A:$A,0)),Tasks!$I:$I,"&lt;="&amp;INDEX(Weeks!$D:$D,MATCH($C269,Weeks!$A:$A,0)),Tasks!$I:$I,"&lt;&gt;")</f>
        <v>0</v>
      </c>
    </row>
    <row r="270" spans="1:10" ht="15" customHeight="1">
      <c r="A270" t="s">
        <v>9</v>
      </c>
      <c r="B270" t="s">
        <v>78</v>
      </c>
      <c r="C270">
        <v>9</v>
      </c>
      <c r="D270">
        <v>2</v>
      </c>
      <c r="E270">
        <v>4</v>
      </c>
      <c r="F270" s="5">
        <f t="shared" si="0"/>
        <v>0</v>
      </c>
      <c r="G270" s="5">
        <f>IFERROR(#REF!/I270,0)</f>
        <v>0</v>
      </c>
      <c r="H270" t="s">
        <v>91</v>
      </c>
      <c r="I270">
        <f>COUNTIFS(Tasks!$A:$A,"Executive",Tasks!$G:$G,"&lt;="&amp;INDEX(Weeks!$D:$D,MATCH($C270,Weeks!$A:$A,0)))-COUNTIFS(Tasks!$A:$A,"Executive",Tasks!$I:$I,"&lt;="&amp;INDEX(Weeks!$D:$D,MATCH($C270,Weeks!$A:$A,0)),Tasks!$I:$I,"&lt;&gt;")</f>
        <v>0</v>
      </c>
      <c r="J270">
        <f>COUNTIFS(Tasks!$A:$A,"Executive",Tasks!$I:$I,"&gt;"&amp;INDEX(Weeks!$D:$D,MATCH($C270-1,Weeks!$A:$A,0)),Tasks!$I:$I,"&lt;="&amp;INDEX(Weeks!$D:$D,MATCH($C270,Weeks!$A:$A,0)),Tasks!$I:$I,"&lt;&gt;")</f>
        <v>0</v>
      </c>
    </row>
    <row r="271" spans="1:10" ht="15" customHeight="1">
      <c r="A271" t="s">
        <v>9</v>
      </c>
      <c r="B271" t="s">
        <v>78</v>
      </c>
      <c r="C271">
        <v>10</v>
      </c>
      <c r="D271">
        <v>3</v>
      </c>
      <c r="E271">
        <v>1</v>
      </c>
      <c r="F271" s="5">
        <f t="shared" si="0"/>
        <v>0</v>
      </c>
      <c r="G271" s="5">
        <f>IFERROR(#REF!/I271,0)</f>
        <v>0</v>
      </c>
      <c r="H271" t="s">
        <v>91</v>
      </c>
      <c r="I271">
        <f>COUNTIFS(Tasks!$A:$A,"Executive",Tasks!$G:$G,"&lt;="&amp;INDEX(Weeks!$D:$D,MATCH($C271,Weeks!$A:$A,0)))-COUNTIFS(Tasks!$A:$A,"Executive",Tasks!$I:$I,"&lt;="&amp;INDEX(Weeks!$D:$D,MATCH($C271,Weeks!$A:$A,0)),Tasks!$I:$I,"&lt;&gt;")</f>
        <v>0</v>
      </c>
      <c r="J271">
        <f>COUNTIFS(Tasks!$A:$A,"Executive",Tasks!$I:$I,"&gt;"&amp;INDEX(Weeks!$D:$D,MATCH($C271-1,Weeks!$A:$A,0)),Tasks!$I:$I,"&lt;="&amp;INDEX(Weeks!$D:$D,MATCH($C271,Weeks!$A:$A,0)),Tasks!$I:$I,"&lt;&gt;")</f>
        <v>0</v>
      </c>
    </row>
    <row r="272" spans="1:10" ht="15" customHeight="1">
      <c r="A272" t="s">
        <v>9</v>
      </c>
      <c r="B272" t="s">
        <v>78</v>
      </c>
      <c r="C272">
        <v>11</v>
      </c>
      <c r="D272">
        <v>3</v>
      </c>
      <c r="E272">
        <v>2</v>
      </c>
      <c r="F272" s="5">
        <f t="shared" si="0"/>
        <v>0</v>
      </c>
      <c r="G272" s="5">
        <f>IFERROR(#REF!/I272,0)</f>
        <v>0</v>
      </c>
      <c r="H272" t="s">
        <v>91</v>
      </c>
      <c r="I272">
        <f>COUNTIFS(Tasks!$A:$A,"Executive",Tasks!$G:$G,"&lt;="&amp;INDEX(Weeks!$D:$D,MATCH($C272,Weeks!$A:$A,0)))-COUNTIFS(Tasks!$A:$A,"Executive",Tasks!$I:$I,"&lt;="&amp;INDEX(Weeks!$D:$D,MATCH($C272,Weeks!$A:$A,0)),Tasks!$I:$I,"&lt;&gt;")</f>
        <v>0</v>
      </c>
      <c r="J272">
        <f>COUNTIFS(Tasks!$A:$A,"Executive",Tasks!$I:$I,"&gt;"&amp;INDEX(Weeks!$D:$D,MATCH($C272-1,Weeks!$A:$A,0)),Tasks!$I:$I,"&lt;="&amp;INDEX(Weeks!$D:$D,MATCH($C272,Weeks!$A:$A,0)),Tasks!$I:$I,"&lt;&gt;")</f>
        <v>0</v>
      </c>
    </row>
    <row r="273" spans="1:10" ht="15" customHeight="1">
      <c r="A273" t="s">
        <v>9</v>
      </c>
      <c r="B273" t="s">
        <v>78</v>
      </c>
      <c r="C273">
        <v>12</v>
      </c>
      <c r="D273">
        <v>3</v>
      </c>
      <c r="E273">
        <v>3</v>
      </c>
      <c r="F273" s="5">
        <f t="shared" si="0"/>
        <v>0</v>
      </c>
      <c r="G273" s="5">
        <f>IFERROR(#REF!/I273,0)</f>
        <v>0</v>
      </c>
      <c r="H273" t="s">
        <v>91</v>
      </c>
      <c r="I273">
        <f>COUNTIFS(Tasks!$A:$A,"Executive",Tasks!$G:$G,"&lt;="&amp;INDEX(Weeks!$D:$D,MATCH($C273,Weeks!$A:$A,0)))-COUNTIFS(Tasks!$A:$A,"Executive",Tasks!$I:$I,"&lt;="&amp;INDEX(Weeks!$D:$D,MATCH($C273,Weeks!$A:$A,0)),Tasks!$I:$I,"&lt;&gt;")</f>
        <v>0</v>
      </c>
      <c r="J273">
        <f>COUNTIFS(Tasks!$A:$A,"Executive",Tasks!$I:$I,"&gt;"&amp;INDEX(Weeks!$D:$D,MATCH($C273-1,Weeks!$A:$A,0)),Tasks!$I:$I,"&lt;="&amp;INDEX(Weeks!$D:$D,MATCH($C273,Weeks!$A:$A,0)),Tasks!$I:$I,"&lt;&gt;")</f>
        <v>0</v>
      </c>
    </row>
    <row r="274" spans="1:10" ht="15" customHeight="1">
      <c r="A274" t="s">
        <v>9</v>
      </c>
      <c r="B274" t="s">
        <v>78</v>
      </c>
      <c r="C274">
        <v>13</v>
      </c>
      <c r="D274">
        <v>3</v>
      </c>
      <c r="E274">
        <v>4</v>
      </c>
      <c r="F274" s="5">
        <f t="shared" si="0"/>
        <v>0</v>
      </c>
      <c r="G274" s="5">
        <f>IFERROR(#REF!/I274,0)</f>
        <v>0</v>
      </c>
      <c r="H274" t="s">
        <v>91</v>
      </c>
      <c r="I274">
        <f>COUNTIFS(Tasks!$A:$A,"Executive",Tasks!$G:$G,"&lt;="&amp;INDEX(Weeks!$D:$D,MATCH($C274,Weeks!$A:$A,0)))-COUNTIFS(Tasks!$A:$A,"Executive",Tasks!$I:$I,"&lt;="&amp;INDEX(Weeks!$D:$D,MATCH($C274,Weeks!$A:$A,0)),Tasks!$I:$I,"&lt;&gt;")</f>
        <v>0</v>
      </c>
      <c r="J274">
        <f>COUNTIFS(Tasks!$A:$A,"Executive",Tasks!$I:$I,"&gt;"&amp;INDEX(Weeks!$D:$D,MATCH($C274-1,Weeks!$A:$A,0)),Tasks!$I:$I,"&lt;="&amp;INDEX(Weeks!$D:$D,MATCH($C274,Weeks!$A:$A,0)),Tasks!$I:$I,"&lt;&gt;")</f>
        <v>0</v>
      </c>
    </row>
    <row r="275" spans="1:10" ht="15" customHeight="1">
      <c r="A275" t="s">
        <v>9</v>
      </c>
      <c r="B275" t="s">
        <v>78</v>
      </c>
      <c r="C275">
        <v>14</v>
      </c>
      <c r="D275">
        <v>4</v>
      </c>
      <c r="E275">
        <v>1</v>
      </c>
      <c r="F275" s="5">
        <f t="shared" si="0"/>
        <v>0</v>
      </c>
      <c r="G275" s="5">
        <f>IFERROR(#REF!/I275,0)</f>
        <v>0</v>
      </c>
      <c r="H275" t="s">
        <v>91</v>
      </c>
      <c r="I275">
        <f>COUNTIFS(Tasks!$A:$A,"Executive",Tasks!$G:$G,"&lt;="&amp;INDEX(Weeks!$D:$D,MATCH($C275,Weeks!$A:$A,0)))-COUNTIFS(Tasks!$A:$A,"Executive",Tasks!$I:$I,"&lt;="&amp;INDEX(Weeks!$D:$D,MATCH($C275,Weeks!$A:$A,0)),Tasks!$I:$I,"&lt;&gt;")</f>
        <v>0</v>
      </c>
      <c r="J275">
        <f>COUNTIFS(Tasks!$A:$A,"Executive",Tasks!$I:$I,"&gt;"&amp;INDEX(Weeks!$D:$D,MATCH($C275-1,Weeks!$A:$A,0)),Tasks!$I:$I,"&lt;="&amp;INDEX(Weeks!$D:$D,MATCH($C275,Weeks!$A:$A,0)),Tasks!$I:$I,"&lt;&gt;")</f>
        <v>0</v>
      </c>
    </row>
    <row r="276" spans="1:10" ht="15" customHeight="1">
      <c r="A276" t="s">
        <v>9</v>
      </c>
      <c r="B276" t="s">
        <v>78</v>
      </c>
      <c r="C276">
        <v>15</v>
      </c>
      <c r="D276">
        <v>4</v>
      </c>
      <c r="E276">
        <v>2</v>
      </c>
      <c r="F276" s="5">
        <f t="shared" si="0"/>
        <v>0</v>
      </c>
      <c r="G276" s="5">
        <f>IFERROR(#REF!/I276,0)</f>
        <v>0</v>
      </c>
      <c r="H276" t="s">
        <v>91</v>
      </c>
      <c r="I276">
        <f>COUNTIFS(Tasks!$A:$A,"Executive",Tasks!$G:$G,"&lt;="&amp;INDEX(Weeks!$D:$D,MATCH($C276,Weeks!$A:$A,0)))-COUNTIFS(Tasks!$A:$A,"Executive",Tasks!$I:$I,"&lt;="&amp;INDEX(Weeks!$D:$D,MATCH($C276,Weeks!$A:$A,0)),Tasks!$I:$I,"&lt;&gt;")</f>
        <v>0</v>
      </c>
      <c r="J276">
        <f>COUNTIFS(Tasks!$A:$A,"Executive",Tasks!$I:$I,"&gt;"&amp;INDEX(Weeks!$D:$D,MATCH($C276-1,Weeks!$A:$A,0)),Tasks!$I:$I,"&lt;="&amp;INDEX(Weeks!$D:$D,MATCH($C276,Weeks!$A:$A,0)),Tasks!$I:$I,"&lt;&gt;")</f>
        <v>0</v>
      </c>
    </row>
    <row r="277" spans="1:10" ht="15" customHeight="1">
      <c r="A277" t="s">
        <v>9</v>
      </c>
      <c r="B277" t="s">
        <v>78</v>
      </c>
      <c r="C277">
        <v>16</v>
      </c>
      <c r="D277">
        <v>4</v>
      </c>
      <c r="E277">
        <v>3</v>
      </c>
      <c r="F277" s="5">
        <f t="shared" si="0"/>
        <v>0</v>
      </c>
      <c r="G277" s="5">
        <f>IFERROR(#REF!/I277,0)</f>
        <v>0</v>
      </c>
      <c r="H277" t="s">
        <v>91</v>
      </c>
      <c r="I277">
        <f>COUNTIFS(Tasks!$A:$A,"Executive",Tasks!$G:$G,"&lt;="&amp;INDEX(Weeks!$D:$D,MATCH($C277,Weeks!$A:$A,0)))-COUNTIFS(Tasks!$A:$A,"Executive",Tasks!$I:$I,"&lt;="&amp;INDEX(Weeks!$D:$D,MATCH($C277,Weeks!$A:$A,0)),Tasks!$I:$I,"&lt;&gt;")</f>
        <v>0</v>
      </c>
      <c r="J277">
        <f>COUNTIFS(Tasks!$A:$A,"Executive",Tasks!$I:$I,"&gt;"&amp;INDEX(Weeks!$D:$D,MATCH($C277-1,Weeks!$A:$A,0)),Tasks!$I:$I,"&lt;="&amp;INDEX(Weeks!$D:$D,MATCH($C277,Weeks!$A:$A,0)),Tasks!$I:$I,"&lt;&gt;")</f>
        <v>0</v>
      </c>
    </row>
    <row r="278" spans="1:10" ht="15" customHeight="1">
      <c r="A278" t="s">
        <v>9</v>
      </c>
      <c r="B278" t="s">
        <v>78</v>
      </c>
      <c r="C278">
        <v>17</v>
      </c>
      <c r="D278">
        <v>4</v>
      </c>
      <c r="E278">
        <v>4</v>
      </c>
      <c r="F278" s="5">
        <f t="shared" si="0"/>
        <v>0</v>
      </c>
      <c r="G278" s="5">
        <f>IFERROR(#REF!/I278,0)</f>
        <v>0</v>
      </c>
      <c r="H278" t="s">
        <v>91</v>
      </c>
      <c r="I278">
        <f>COUNTIFS(Tasks!$A:$A,"Executive",Tasks!$G:$G,"&lt;="&amp;INDEX(Weeks!$D:$D,MATCH($C278,Weeks!$A:$A,0)))-COUNTIFS(Tasks!$A:$A,"Executive",Tasks!$I:$I,"&lt;="&amp;INDEX(Weeks!$D:$D,MATCH($C278,Weeks!$A:$A,0)),Tasks!$I:$I,"&lt;&gt;")</f>
        <v>0</v>
      </c>
      <c r="J278">
        <f>COUNTIFS(Tasks!$A:$A,"Executive",Tasks!$I:$I,"&gt;"&amp;INDEX(Weeks!$D:$D,MATCH($C278-1,Weeks!$A:$A,0)),Tasks!$I:$I,"&lt;="&amp;INDEX(Weeks!$D:$D,MATCH($C278,Weeks!$A:$A,0)),Tasks!$I:$I,"&lt;&gt;")</f>
        <v>0</v>
      </c>
    </row>
    <row r="279" spans="1:10" ht="15" customHeight="1">
      <c r="A279" t="s">
        <v>9</v>
      </c>
      <c r="B279" t="s">
        <v>78</v>
      </c>
      <c r="C279">
        <v>18</v>
      </c>
      <c r="D279">
        <v>5</v>
      </c>
      <c r="E279">
        <v>1</v>
      </c>
      <c r="F279" s="5">
        <f t="shared" si="0"/>
        <v>0</v>
      </c>
      <c r="G279" s="5">
        <f>IFERROR(#REF!/I279,0)</f>
        <v>0</v>
      </c>
      <c r="H279" t="s">
        <v>91</v>
      </c>
      <c r="I279">
        <f>COUNTIFS(Tasks!$A:$A,"Executive",Tasks!$G:$G,"&lt;="&amp;INDEX(Weeks!$D:$D,MATCH($C279,Weeks!$A:$A,0)))-COUNTIFS(Tasks!$A:$A,"Executive",Tasks!$I:$I,"&lt;="&amp;INDEX(Weeks!$D:$D,MATCH($C279,Weeks!$A:$A,0)),Tasks!$I:$I,"&lt;&gt;")</f>
        <v>0</v>
      </c>
      <c r="J279">
        <f>COUNTIFS(Tasks!$A:$A,"Executive",Tasks!$I:$I,"&gt;"&amp;INDEX(Weeks!$D:$D,MATCH($C279-1,Weeks!$A:$A,0)),Tasks!$I:$I,"&lt;="&amp;INDEX(Weeks!$D:$D,MATCH($C279,Weeks!$A:$A,0)),Tasks!$I:$I,"&lt;&gt;")</f>
        <v>0</v>
      </c>
    </row>
    <row r="280" spans="1:10" ht="15" customHeight="1">
      <c r="A280" t="s">
        <v>9</v>
      </c>
      <c r="B280" t="s">
        <v>78</v>
      </c>
      <c r="C280">
        <v>19</v>
      </c>
      <c r="D280">
        <v>5</v>
      </c>
      <c r="E280">
        <v>2</v>
      </c>
      <c r="F280" s="5">
        <f t="shared" si="0"/>
        <v>0</v>
      </c>
      <c r="G280" s="5">
        <f>IFERROR(#REF!/I280,0)</f>
        <v>0</v>
      </c>
      <c r="H280" t="s">
        <v>91</v>
      </c>
      <c r="I280">
        <f>COUNTIFS(Tasks!$A:$A,"Executive",Tasks!$G:$G,"&lt;="&amp;INDEX(Weeks!$D:$D,MATCH($C280,Weeks!$A:$A,0)))-COUNTIFS(Tasks!$A:$A,"Executive",Tasks!$I:$I,"&lt;="&amp;INDEX(Weeks!$D:$D,MATCH($C280,Weeks!$A:$A,0)),Tasks!$I:$I,"&lt;&gt;")</f>
        <v>0</v>
      </c>
      <c r="J280">
        <f>COUNTIFS(Tasks!$A:$A,"Executive",Tasks!$I:$I,"&gt;"&amp;INDEX(Weeks!$D:$D,MATCH($C280-1,Weeks!$A:$A,0)),Tasks!$I:$I,"&lt;="&amp;INDEX(Weeks!$D:$D,MATCH($C280,Weeks!$A:$A,0)),Tasks!$I:$I,"&lt;&gt;")</f>
        <v>0</v>
      </c>
    </row>
    <row r="281" spans="1:10" ht="15" customHeight="1">
      <c r="A281" t="s">
        <v>9</v>
      </c>
      <c r="B281" t="s">
        <v>78</v>
      </c>
      <c r="C281">
        <v>20</v>
      </c>
      <c r="D281">
        <v>5</v>
      </c>
      <c r="E281">
        <v>3</v>
      </c>
      <c r="F281" s="5">
        <f t="shared" si="0"/>
        <v>0</v>
      </c>
      <c r="G281" s="5">
        <f>IFERROR(#REF!/I281,0)</f>
        <v>0</v>
      </c>
      <c r="H281" t="s">
        <v>91</v>
      </c>
      <c r="I281">
        <f>COUNTIFS(Tasks!$A:$A,"Executive",Tasks!$G:$G,"&lt;="&amp;INDEX(Weeks!$D:$D,MATCH($C281,Weeks!$A:$A,0)))-COUNTIFS(Tasks!$A:$A,"Executive",Tasks!$I:$I,"&lt;="&amp;INDEX(Weeks!$D:$D,MATCH($C281,Weeks!$A:$A,0)),Tasks!$I:$I,"&lt;&gt;")</f>
        <v>0</v>
      </c>
      <c r="J281">
        <f>COUNTIFS(Tasks!$A:$A,"Executive",Tasks!$I:$I,"&gt;"&amp;INDEX(Weeks!$D:$D,MATCH($C281-1,Weeks!$A:$A,0)),Tasks!$I:$I,"&lt;="&amp;INDEX(Weeks!$D:$D,MATCH($C281,Weeks!$A:$A,0)),Tasks!$I:$I,"&lt;&gt;")</f>
        <v>0</v>
      </c>
    </row>
    <row r="282" spans="1:10" ht="15" customHeight="1">
      <c r="A282" t="s">
        <v>9</v>
      </c>
      <c r="B282" t="s">
        <v>78</v>
      </c>
      <c r="C282">
        <v>21</v>
      </c>
      <c r="D282">
        <v>5</v>
      </c>
      <c r="E282">
        <v>4</v>
      </c>
      <c r="F282" s="5">
        <f t="shared" si="0"/>
        <v>0</v>
      </c>
      <c r="G282" s="5">
        <f>IFERROR(#REF!/I282,0)</f>
        <v>0</v>
      </c>
      <c r="H282" t="s">
        <v>91</v>
      </c>
      <c r="I282">
        <f>COUNTIFS(Tasks!$A:$A,"Executive",Tasks!$G:$G,"&lt;="&amp;INDEX(Weeks!$D:$D,MATCH($C282,Weeks!$A:$A,0)))-COUNTIFS(Tasks!$A:$A,"Executive",Tasks!$I:$I,"&lt;="&amp;INDEX(Weeks!$D:$D,MATCH($C282,Weeks!$A:$A,0)),Tasks!$I:$I,"&lt;&gt;")</f>
        <v>0</v>
      </c>
      <c r="J282">
        <f>COUNTIFS(Tasks!$A:$A,"Executive",Tasks!$I:$I,"&gt;"&amp;INDEX(Weeks!$D:$D,MATCH($C282-1,Weeks!$A:$A,0)),Tasks!$I:$I,"&lt;="&amp;INDEX(Weeks!$D:$D,MATCH($C282,Weeks!$A:$A,0)),Tasks!$I:$I,"&lt;&gt;")</f>
        <v>0</v>
      </c>
    </row>
    <row r="283" spans="1:10" ht="15" customHeight="1">
      <c r="A283" t="s">
        <v>9</v>
      </c>
      <c r="B283" t="s">
        <v>78</v>
      </c>
      <c r="C283">
        <v>22</v>
      </c>
      <c r="D283">
        <v>5</v>
      </c>
      <c r="E283">
        <v>5</v>
      </c>
      <c r="F283" s="5">
        <f t="shared" si="0"/>
        <v>0</v>
      </c>
      <c r="G283" s="5">
        <f>IFERROR(#REF!/I283,0)</f>
        <v>0</v>
      </c>
      <c r="H283" t="s">
        <v>91</v>
      </c>
      <c r="I283">
        <f>COUNTIFS(Tasks!$A:$A,"Executive",Tasks!$G:$G,"&lt;="&amp;INDEX(Weeks!$D:$D,MATCH($C283,Weeks!$A:$A,0)))-COUNTIFS(Tasks!$A:$A,"Executive",Tasks!$I:$I,"&lt;="&amp;INDEX(Weeks!$D:$D,MATCH($C283,Weeks!$A:$A,0)),Tasks!$I:$I,"&lt;&gt;")</f>
        <v>0</v>
      </c>
      <c r="J283">
        <f>COUNTIFS(Tasks!$A:$A,"Executive",Tasks!$I:$I,"&gt;"&amp;INDEX(Weeks!$D:$D,MATCH($C283-1,Weeks!$A:$A,0)),Tasks!$I:$I,"&lt;="&amp;INDEX(Weeks!$D:$D,MATCH($C283,Weeks!$A:$A,0)),Tasks!$I:$I,"&lt;&gt;")</f>
        <v>0</v>
      </c>
    </row>
    <row r="284" spans="1:10" ht="15" customHeight="1">
      <c r="A284" t="s">
        <v>9</v>
      </c>
      <c r="B284" t="s">
        <v>78</v>
      </c>
      <c r="C284">
        <v>23</v>
      </c>
      <c r="D284">
        <v>6</v>
      </c>
      <c r="E284">
        <v>1</v>
      </c>
      <c r="F284" s="5">
        <f t="shared" si="0"/>
        <v>0</v>
      </c>
      <c r="G284" s="5">
        <f>IFERROR(#REF!/I284,0)</f>
        <v>0</v>
      </c>
      <c r="H284" t="s">
        <v>91</v>
      </c>
      <c r="I284">
        <f>COUNTIFS(Tasks!$A:$A,"Executive",Tasks!$G:$G,"&lt;="&amp;INDEX(Weeks!$D:$D,MATCH($C284,Weeks!$A:$A,0)))-COUNTIFS(Tasks!$A:$A,"Executive",Tasks!$I:$I,"&lt;="&amp;INDEX(Weeks!$D:$D,MATCH($C284,Weeks!$A:$A,0)),Tasks!$I:$I,"&lt;&gt;")</f>
        <v>0</v>
      </c>
      <c r="J284">
        <f>COUNTIFS(Tasks!$A:$A,"Executive",Tasks!$I:$I,"&gt;"&amp;INDEX(Weeks!$D:$D,MATCH($C284-1,Weeks!$A:$A,0)),Tasks!$I:$I,"&lt;="&amp;INDEX(Weeks!$D:$D,MATCH($C284,Weeks!$A:$A,0)),Tasks!$I:$I,"&lt;&gt;")</f>
        <v>0</v>
      </c>
    </row>
    <row r="285" spans="1:10" ht="15" customHeight="1">
      <c r="A285" t="s">
        <v>9</v>
      </c>
      <c r="B285" t="s">
        <v>78</v>
      </c>
      <c r="C285">
        <v>24</v>
      </c>
      <c r="D285">
        <v>6</v>
      </c>
      <c r="E285">
        <v>2</v>
      </c>
      <c r="F285" s="5">
        <f t="shared" si="0"/>
        <v>0</v>
      </c>
      <c r="G285" s="5">
        <f>IFERROR(#REF!/I285,0)</f>
        <v>0</v>
      </c>
      <c r="H285" t="s">
        <v>91</v>
      </c>
      <c r="I285">
        <f>COUNTIFS(Tasks!$A:$A,"Executive",Tasks!$G:$G,"&lt;="&amp;INDEX(Weeks!$D:$D,MATCH($C285,Weeks!$A:$A,0)))-COUNTIFS(Tasks!$A:$A,"Executive",Tasks!$I:$I,"&lt;="&amp;INDEX(Weeks!$D:$D,MATCH($C285,Weeks!$A:$A,0)),Tasks!$I:$I,"&lt;&gt;")</f>
        <v>0</v>
      </c>
      <c r="J285">
        <f>COUNTIFS(Tasks!$A:$A,"Executive",Tasks!$I:$I,"&gt;"&amp;INDEX(Weeks!$D:$D,MATCH($C285-1,Weeks!$A:$A,0)),Tasks!$I:$I,"&lt;="&amp;INDEX(Weeks!$D:$D,MATCH($C285,Weeks!$A:$A,0)),Tasks!$I:$I,"&lt;&gt;")</f>
        <v>0</v>
      </c>
    </row>
    <row r="286" spans="1:10" ht="15" customHeight="1">
      <c r="A286" t="s">
        <v>9</v>
      </c>
      <c r="B286" t="s">
        <v>78</v>
      </c>
      <c r="C286">
        <v>25</v>
      </c>
      <c r="D286">
        <v>6</v>
      </c>
      <c r="E286">
        <v>3</v>
      </c>
      <c r="F286" s="5"/>
      <c r="G286" s="5"/>
      <c r="I286">
        <f>COUNTIFS(Tasks!$A:$A,"Executive",Tasks!$G:$G,"&lt;="&amp;INDEX(Weeks!$D:$D,MATCH($C286,Weeks!$A:$A,0)))-COUNTIFS(Tasks!$A:$A,"Executive",Tasks!$I:$I,"&lt;="&amp;INDEX(Weeks!$D:$D,MATCH($C286,Weeks!$A:$A,0)),Tasks!$I:$I,"&lt;&gt;")</f>
        <v>0</v>
      </c>
      <c r="J286">
        <f>COUNTIFS(Tasks!$A:$A,"Executive",Tasks!$I:$I,"&gt;"&amp;INDEX(Weeks!$D:$D,MATCH($C286-1,Weeks!$A:$A,0)),Tasks!$I:$I,"&lt;="&amp;INDEX(Weeks!$D:$D,MATCH($C286,Weeks!$A:$A,0)),Tasks!$I:$I,"&lt;&gt;")</f>
        <v>0</v>
      </c>
    </row>
    <row r="287" spans="1:10" ht="15" customHeight="1">
      <c r="A287" t="s">
        <v>9</v>
      </c>
      <c r="B287" t="s">
        <v>78</v>
      </c>
      <c r="C287">
        <v>26</v>
      </c>
      <c r="D287">
        <v>6</v>
      </c>
      <c r="E287">
        <v>4</v>
      </c>
      <c r="F287" s="5"/>
      <c r="G287" s="5"/>
      <c r="I287">
        <f>COUNTIFS(Tasks!$A:$A,"Executive",Tasks!$G:$G,"&lt;="&amp;INDEX(Weeks!$D:$D,MATCH($C287,Weeks!$A:$A,0)))-COUNTIFS(Tasks!$A:$A,"Executive",Tasks!$I:$I,"&lt;="&amp;INDEX(Weeks!$D:$D,MATCH($C287,Weeks!$A:$A,0)),Tasks!$I:$I,"&lt;&gt;")</f>
        <v>0</v>
      </c>
      <c r="J287">
        <f>COUNTIFS(Tasks!$A:$A,"Executive",Tasks!$I:$I,"&gt;"&amp;INDEX(Weeks!$D:$D,MATCH($C287-1,Weeks!$A:$A,0)),Tasks!$I:$I,"&lt;="&amp;INDEX(Weeks!$D:$D,MATCH($C287,Weeks!$A:$A,0)),Tasks!$I:$I,"&lt;&gt;")</f>
        <v>0</v>
      </c>
    </row>
    <row r="288" spans="1:10" ht="15" customHeight="1">
      <c r="A288" t="s">
        <v>9</v>
      </c>
      <c r="B288" t="s">
        <v>78</v>
      </c>
      <c r="C288">
        <v>27</v>
      </c>
      <c r="D288">
        <v>7</v>
      </c>
      <c r="E288">
        <v>1</v>
      </c>
      <c r="F288" s="5"/>
      <c r="G288" s="5"/>
      <c r="I288">
        <f>COUNTIFS(Tasks!$A:$A,"Executive",Tasks!$G:$G,"&lt;="&amp;INDEX(Weeks!$D:$D,MATCH($C288,Weeks!$A:$A,0)))-COUNTIFS(Tasks!$A:$A,"Executive",Tasks!$I:$I,"&lt;="&amp;INDEX(Weeks!$D:$D,MATCH($C288,Weeks!$A:$A,0)),Tasks!$I:$I,"&lt;&gt;")</f>
        <v>0</v>
      </c>
      <c r="J288">
        <f>COUNTIFS(Tasks!$A:$A,"Executive",Tasks!$I:$I,"&gt;"&amp;INDEX(Weeks!$D:$D,MATCH($C288-1,Weeks!$A:$A,0)),Tasks!$I:$I,"&lt;="&amp;INDEX(Weeks!$D:$D,MATCH($C288,Weeks!$A:$A,0)),Tasks!$I:$I,"&lt;&gt;")</f>
        <v>0</v>
      </c>
    </row>
    <row r="289" spans="1:10" ht="15" customHeight="1">
      <c r="A289" t="s">
        <v>9</v>
      </c>
      <c r="B289" t="s">
        <v>78</v>
      </c>
      <c r="C289">
        <v>28</v>
      </c>
      <c r="D289">
        <v>7</v>
      </c>
      <c r="E289">
        <v>2</v>
      </c>
      <c r="F289" s="5"/>
      <c r="G289" s="5"/>
      <c r="I289">
        <f>COUNTIFS(Tasks!$A:$A,"Executive",Tasks!$G:$G,"&lt;="&amp;INDEX(Weeks!$D:$D,MATCH($C289,Weeks!$A:$A,0)))-COUNTIFS(Tasks!$A:$A,"Executive",Tasks!$I:$I,"&lt;="&amp;INDEX(Weeks!$D:$D,MATCH($C289,Weeks!$A:$A,0)),Tasks!$I:$I,"&lt;&gt;")</f>
        <v>0</v>
      </c>
      <c r="J289">
        <f>COUNTIFS(Tasks!$A:$A,"Executive",Tasks!$I:$I,"&gt;"&amp;INDEX(Weeks!$D:$D,MATCH($C289-1,Weeks!$A:$A,0)),Tasks!$I:$I,"&lt;="&amp;INDEX(Weeks!$D:$D,MATCH($C289,Weeks!$A:$A,0)),Tasks!$I:$I,"&lt;&gt;")</f>
        <v>0</v>
      </c>
    </row>
    <row r="290" spans="1:10" ht="15" customHeight="1">
      <c r="A290" t="s">
        <v>9</v>
      </c>
      <c r="B290" t="s">
        <v>78</v>
      </c>
      <c r="C290">
        <v>29</v>
      </c>
      <c r="D290">
        <v>7</v>
      </c>
      <c r="E290">
        <v>3</v>
      </c>
      <c r="F290" s="5"/>
      <c r="G290" s="5"/>
      <c r="I290">
        <f>COUNTIFS(Tasks!$A:$A,"Executive",Tasks!$G:$G,"&lt;="&amp;INDEX(Weeks!$D:$D,MATCH($C290,Weeks!$A:$A,0)))-COUNTIFS(Tasks!$A:$A,"Executive",Tasks!$I:$I,"&lt;="&amp;INDEX(Weeks!$D:$D,MATCH($C290,Weeks!$A:$A,0)),Tasks!$I:$I,"&lt;&gt;")</f>
        <v>0</v>
      </c>
      <c r="J290">
        <f>COUNTIFS(Tasks!$A:$A,"Executive",Tasks!$I:$I,"&gt;"&amp;INDEX(Weeks!$D:$D,MATCH($C290-1,Weeks!$A:$A,0)),Tasks!$I:$I,"&lt;="&amp;INDEX(Weeks!$D:$D,MATCH($C290,Weeks!$A:$A,0)),Tasks!$I:$I,"&lt;&gt;")</f>
        <v>0</v>
      </c>
    </row>
    <row r="291" spans="1:10" ht="15" customHeight="1">
      <c r="A291" t="s">
        <v>9</v>
      </c>
      <c r="B291" t="s">
        <v>78</v>
      </c>
      <c r="C291">
        <v>30</v>
      </c>
      <c r="D291">
        <v>7</v>
      </c>
      <c r="E291">
        <v>4</v>
      </c>
      <c r="F291" s="5"/>
      <c r="G291" s="5"/>
      <c r="I291">
        <f>COUNTIFS(Tasks!$A:$A,"Executive",Tasks!$G:$G,"&lt;="&amp;INDEX(Weeks!$D:$D,MATCH($C291,Weeks!$A:$A,0)))-COUNTIFS(Tasks!$A:$A,"Executive",Tasks!$I:$I,"&lt;="&amp;INDEX(Weeks!$D:$D,MATCH($C291,Weeks!$A:$A,0)),Tasks!$I:$I,"&lt;&gt;")</f>
        <v>0</v>
      </c>
      <c r="J291">
        <f>COUNTIFS(Tasks!$A:$A,"Executive",Tasks!$I:$I,"&gt;"&amp;INDEX(Weeks!$D:$D,MATCH($C291-1,Weeks!$A:$A,0)),Tasks!$I:$I,"&lt;="&amp;INDEX(Weeks!$D:$D,MATCH($C291,Weeks!$A:$A,0)),Tasks!$I:$I,"&lt;&gt;")</f>
        <v>0</v>
      </c>
    </row>
    <row r="292" spans="1:10" ht="15" customHeight="1">
      <c r="A292" t="s">
        <v>9</v>
      </c>
      <c r="B292" t="s">
        <v>78</v>
      </c>
      <c r="C292">
        <v>31</v>
      </c>
      <c r="D292">
        <v>8</v>
      </c>
      <c r="E292">
        <v>1</v>
      </c>
      <c r="F292" s="5"/>
      <c r="G292" s="5"/>
      <c r="I292">
        <f>COUNTIFS(Tasks!$A:$A,"Executive",Tasks!$G:$G,"&lt;="&amp;INDEX(Weeks!$D:$D,MATCH($C292,Weeks!$A:$A,0)))-COUNTIFS(Tasks!$A:$A,"Executive",Tasks!$I:$I,"&lt;="&amp;INDEX(Weeks!$D:$D,MATCH($C292,Weeks!$A:$A,0)),Tasks!$I:$I,"&lt;&gt;")</f>
        <v>0</v>
      </c>
      <c r="J292">
        <f>COUNTIFS(Tasks!$A:$A,"Executive",Tasks!$I:$I,"&gt;"&amp;INDEX(Weeks!$D:$D,MATCH($C292-1,Weeks!$A:$A,0)),Tasks!$I:$I,"&lt;="&amp;INDEX(Weeks!$D:$D,MATCH($C292,Weeks!$A:$A,0)),Tasks!$I:$I,"&lt;&gt;")</f>
        <v>0</v>
      </c>
    </row>
    <row r="293" spans="1:10" ht="15" customHeight="1">
      <c r="A293" t="s">
        <v>9</v>
      </c>
      <c r="B293" t="s">
        <v>78</v>
      </c>
      <c r="C293">
        <v>32</v>
      </c>
      <c r="D293">
        <v>8</v>
      </c>
      <c r="E293">
        <v>2</v>
      </c>
      <c r="F293" s="5"/>
      <c r="G293" s="5"/>
      <c r="I293">
        <f>COUNTIFS(Tasks!$A:$A,"Executive",Tasks!$G:$G,"&lt;="&amp;INDEX(Weeks!$D:$D,MATCH($C293,Weeks!$A:$A,0)))-COUNTIFS(Tasks!$A:$A,"Executive",Tasks!$I:$I,"&lt;="&amp;INDEX(Weeks!$D:$D,MATCH($C293,Weeks!$A:$A,0)),Tasks!$I:$I,"&lt;&gt;")</f>
        <v>0</v>
      </c>
      <c r="J293">
        <f>COUNTIFS(Tasks!$A:$A,"Executive",Tasks!$I:$I,"&gt;"&amp;INDEX(Weeks!$D:$D,MATCH($C293-1,Weeks!$A:$A,0)),Tasks!$I:$I,"&lt;="&amp;INDEX(Weeks!$D:$D,MATCH($C293,Weeks!$A:$A,0)),Tasks!$I:$I,"&lt;&gt;")</f>
        <v>0</v>
      </c>
    </row>
    <row r="294" spans="1:10" ht="15" customHeight="1">
      <c r="A294" t="s">
        <v>9</v>
      </c>
      <c r="B294" t="s">
        <v>78</v>
      </c>
      <c r="C294">
        <v>33</v>
      </c>
      <c r="D294">
        <v>8</v>
      </c>
      <c r="E294">
        <v>3</v>
      </c>
      <c r="F294" s="5"/>
      <c r="G294" s="5"/>
      <c r="I294">
        <f>COUNTIFS(Tasks!$A:$A,"Executive",Tasks!$G:$G,"&lt;="&amp;INDEX(Weeks!$D:$D,MATCH($C294,Weeks!$A:$A,0)))-COUNTIFS(Tasks!$A:$A,"Executive",Tasks!$I:$I,"&lt;="&amp;INDEX(Weeks!$D:$D,MATCH($C294,Weeks!$A:$A,0)),Tasks!$I:$I,"&lt;&gt;")</f>
        <v>0</v>
      </c>
      <c r="J294">
        <f>COUNTIFS(Tasks!$A:$A,"Executive",Tasks!$I:$I,"&gt;"&amp;INDEX(Weeks!$D:$D,MATCH($C294-1,Weeks!$A:$A,0)),Tasks!$I:$I,"&lt;="&amp;INDEX(Weeks!$D:$D,MATCH($C294,Weeks!$A:$A,0)),Tasks!$I:$I,"&lt;&gt;")</f>
        <v>0</v>
      </c>
    </row>
    <row r="295" spans="1:10" ht="15" customHeight="1">
      <c r="A295" t="s">
        <v>9</v>
      </c>
      <c r="B295" t="s">
        <v>78</v>
      </c>
      <c r="C295">
        <v>34</v>
      </c>
      <c r="D295">
        <v>8</v>
      </c>
      <c r="E295">
        <v>4</v>
      </c>
      <c r="F295" s="5"/>
      <c r="G295" s="5"/>
      <c r="I295">
        <f>COUNTIFS(Tasks!$A:$A,"Executive",Tasks!$G:$G,"&lt;="&amp;INDEX(Weeks!$D:$D,MATCH($C295,Weeks!$A:$A,0)))-COUNTIFS(Tasks!$A:$A,"Executive",Tasks!$I:$I,"&lt;="&amp;INDEX(Weeks!$D:$D,MATCH($C295,Weeks!$A:$A,0)),Tasks!$I:$I,"&lt;&gt;")</f>
        <v>0</v>
      </c>
      <c r="J295">
        <f>COUNTIFS(Tasks!$A:$A,"Executive",Tasks!$I:$I,"&gt;"&amp;INDEX(Weeks!$D:$D,MATCH($C295-1,Weeks!$A:$A,0)),Tasks!$I:$I,"&lt;="&amp;INDEX(Weeks!$D:$D,MATCH($C295,Weeks!$A:$A,0)),Tasks!$I:$I,"&lt;&gt;")</f>
        <v>0</v>
      </c>
    </row>
    <row r="296" spans="1:10" ht="15" customHeight="1">
      <c r="A296" t="s">
        <v>9</v>
      </c>
      <c r="B296" t="s">
        <v>78</v>
      </c>
      <c r="C296">
        <v>35</v>
      </c>
      <c r="D296">
        <v>8</v>
      </c>
      <c r="E296">
        <v>5</v>
      </c>
      <c r="F296" s="5"/>
      <c r="G296" s="5"/>
      <c r="I296">
        <f>COUNTIFS(Tasks!$A:$A,"Executive",Tasks!$G:$G,"&lt;="&amp;INDEX(Weeks!$D:$D,MATCH($C296,Weeks!$A:$A,0)))-COUNTIFS(Tasks!$A:$A,"Executive",Tasks!$I:$I,"&lt;="&amp;INDEX(Weeks!$D:$D,MATCH($C296,Weeks!$A:$A,0)),Tasks!$I:$I,"&lt;&gt;")</f>
        <v>0</v>
      </c>
      <c r="J296">
        <f>COUNTIFS(Tasks!$A:$A,"Executive",Tasks!$I:$I,"&gt;"&amp;INDEX(Weeks!$D:$D,MATCH($C296-1,Weeks!$A:$A,0)),Tasks!$I:$I,"&lt;="&amp;INDEX(Weeks!$D:$D,MATCH($C296,Weeks!$A:$A,0)),Tasks!$I:$I,"&lt;&gt;")</f>
        <v>0</v>
      </c>
    </row>
    <row r="297" spans="1:10" ht="15" customHeight="1">
      <c r="A297" t="s">
        <v>9</v>
      </c>
      <c r="B297" t="s">
        <v>78</v>
      </c>
      <c r="C297">
        <v>36</v>
      </c>
      <c r="D297">
        <v>9</v>
      </c>
      <c r="E297">
        <v>1</v>
      </c>
      <c r="F297" s="5"/>
      <c r="G297" s="5"/>
      <c r="I297">
        <f>COUNTIFS(Tasks!$A:$A,"Executive",Tasks!$G:$G,"&lt;="&amp;INDEX(Weeks!$D:$D,MATCH($C297,Weeks!$A:$A,0)))-COUNTIFS(Tasks!$A:$A,"Executive",Tasks!$I:$I,"&lt;="&amp;INDEX(Weeks!$D:$D,MATCH($C297,Weeks!$A:$A,0)),Tasks!$I:$I,"&lt;&gt;")</f>
        <v>0</v>
      </c>
      <c r="J297">
        <f>COUNTIFS(Tasks!$A:$A,"Executive",Tasks!$I:$I,"&gt;"&amp;INDEX(Weeks!$D:$D,MATCH($C297-1,Weeks!$A:$A,0)),Tasks!$I:$I,"&lt;="&amp;INDEX(Weeks!$D:$D,MATCH($C297,Weeks!$A:$A,0)),Tasks!$I:$I,"&lt;&gt;")</f>
        <v>0</v>
      </c>
    </row>
    <row r="298" spans="1:10" ht="15" customHeight="1">
      <c r="A298" t="s">
        <v>9</v>
      </c>
      <c r="B298" t="s">
        <v>78</v>
      </c>
      <c r="C298">
        <v>37</v>
      </c>
      <c r="D298">
        <v>9</v>
      </c>
      <c r="E298">
        <v>2</v>
      </c>
      <c r="F298" s="5"/>
      <c r="G298" s="5"/>
      <c r="I298">
        <f>COUNTIFS(Tasks!$A:$A,"Executive",Tasks!$G:$G,"&lt;="&amp;INDEX(Weeks!$D:$D,MATCH($C298,Weeks!$A:$A,0)))-COUNTIFS(Tasks!$A:$A,"Executive",Tasks!$I:$I,"&lt;="&amp;INDEX(Weeks!$D:$D,MATCH($C298,Weeks!$A:$A,0)),Tasks!$I:$I,"&lt;&gt;")</f>
        <v>0</v>
      </c>
      <c r="J298">
        <f>COUNTIFS(Tasks!$A:$A,"Executive",Tasks!$I:$I,"&gt;"&amp;INDEX(Weeks!$D:$D,MATCH($C298-1,Weeks!$A:$A,0)),Tasks!$I:$I,"&lt;="&amp;INDEX(Weeks!$D:$D,MATCH($C298,Weeks!$A:$A,0)),Tasks!$I:$I,"&lt;&gt;")</f>
        <v>0</v>
      </c>
    </row>
    <row r="299" spans="1:10" ht="15" customHeight="1">
      <c r="A299" t="s">
        <v>9</v>
      </c>
      <c r="B299" t="s">
        <v>78</v>
      </c>
      <c r="C299">
        <v>38</v>
      </c>
      <c r="D299">
        <v>9</v>
      </c>
      <c r="E299">
        <v>3</v>
      </c>
      <c r="F299" s="5"/>
      <c r="G299" s="5"/>
      <c r="I299">
        <f>COUNTIFS(Tasks!$A:$A,"Executive",Tasks!$G:$G,"&lt;="&amp;INDEX(Weeks!$D:$D,MATCH($C299,Weeks!$A:$A,0)))-COUNTIFS(Tasks!$A:$A,"Executive",Tasks!$I:$I,"&lt;="&amp;INDEX(Weeks!$D:$D,MATCH($C299,Weeks!$A:$A,0)),Tasks!$I:$I,"&lt;&gt;")</f>
        <v>0</v>
      </c>
      <c r="J299">
        <f>COUNTIFS(Tasks!$A:$A,"Executive",Tasks!$I:$I,"&gt;"&amp;INDEX(Weeks!$D:$D,MATCH($C299-1,Weeks!$A:$A,0)),Tasks!$I:$I,"&lt;="&amp;INDEX(Weeks!$D:$D,MATCH($C299,Weeks!$A:$A,0)),Tasks!$I:$I,"&lt;&gt;")</f>
        <v>0</v>
      </c>
    </row>
    <row r="300" spans="1:10" ht="15" customHeight="1">
      <c r="A300" t="s">
        <v>9</v>
      </c>
      <c r="B300" t="s">
        <v>78</v>
      </c>
      <c r="C300">
        <v>39</v>
      </c>
      <c r="D300">
        <v>9</v>
      </c>
      <c r="E300">
        <v>4</v>
      </c>
      <c r="F300" s="5"/>
      <c r="G300" s="5"/>
      <c r="I300">
        <f>COUNTIFS(Tasks!$A:$A,"Executive",Tasks!$G:$G,"&lt;="&amp;INDEX(Weeks!$D:$D,MATCH($C300,Weeks!$A:$A,0)))-COUNTIFS(Tasks!$A:$A,"Executive",Tasks!$I:$I,"&lt;="&amp;INDEX(Weeks!$D:$D,MATCH($C300,Weeks!$A:$A,0)),Tasks!$I:$I,"&lt;&gt;")</f>
        <v>0</v>
      </c>
      <c r="J300">
        <f>COUNTIFS(Tasks!$A:$A,"Executive",Tasks!$I:$I,"&gt;"&amp;INDEX(Weeks!$D:$D,MATCH($C300-1,Weeks!$A:$A,0)),Tasks!$I:$I,"&lt;="&amp;INDEX(Weeks!$D:$D,MATCH($C300,Weeks!$A:$A,0)),Tasks!$I:$I,"&lt;&gt;")</f>
        <v>0</v>
      </c>
    </row>
    <row r="301" spans="1:10" ht="15" customHeight="1">
      <c r="A301" t="s">
        <v>9</v>
      </c>
      <c r="B301" t="s">
        <v>78</v>
      </c>
      <c r="C301">
        <v>40</v>
      </c>
      <c r="D301">
        <v>10</v>
      </c>
      <c r="E301">
        <v>1</v>
      </c>
      <c r="F301" s="5"/>
      <c r="G301" s="5"/>
      <c r="I301">
        <f>COUNTIFS(Tasks!$A:$A,"Executive",Tasks!$G:$G,"&lt;="&amp;INDEX(Weeks!$D:$D,MATCH($C301,Weeks!$A:$A,0)))-COUNTIFS(Tasks!$A:$A,"Executive",Tasks!$I:$I,"&lt;="&amp;INDEX(Weeks!$D:$D,MATCH($C301,Weeks!$A:$A,0)),Tasks!$I:$I,"&lt;&gt;")</f>
        <v>0</v>
      </c>
      <c r="J301">
        <f>COUNTIFS(Tasks!$A:$A,"Executive",Tasks!$I:$I,"&gt;"&amp;INDEX(Weeks!$D:$D,MATCH($C301-1,Weeks!$A:$A,0)),Tasks!$I:$I,"&lt;="&amp;INDEX(Weeks!$D:$D,MATCH($C301,Weeks!$A:$A,0)),Tasks!$I:$I,"&lt;&gt;")</f>
        <v>0</v>
      </c>
    </row>
    <row r="302" spans="1:10" ht="15" customHeight="1">
      <c r="A302" t="s">
        <v>9</v>
      </c>
      <c r="B302" t="s">
        <v>78</v>
      </c>
      <c r="C302">
        <v>41</v>
      </c>
      <c r="D302">
        <v>10</v>
      </c>
      <c r="E302">
        <v>2</v>
      </c>
      <c r="F302" s="5"/>
      <c r="G302" s="5"/>
      <c r="I302">
        <f>COUNTIFS(Tasks!$A:$A,"Executive",Tasks!$G:$G,"&lt;="&amp;INDEX(Weeks!$D:$D,MATCH($C302,Weeks!$A:$A,0)))-COUNTIFS(Tasks!$A:$A,"Executive",Tasks!$I:$I,"&lt;="&amp;INDEX(Weeks!$D:$D,MATCH($C302,Weeks!$A:$A,0)),Tasks!$I:$I,"&lt;&gt;")</f>
        <v>0</v>
      </c>
      <c r="J302">
        <f>COUNTIFS(Tasks!$A:$A,"Executive",Tasks!$I:$I,"&gt;"&amp;INDEX(Weeks!$D:$D,MATCH($C302-1,Weeks!$A:$A,0)),Tasks!$I:$I,"&lt;="&amp;INDEX(Weeks!$D:$D,MATCH($C302,Weeks!$A:$A,0)),Tasks!$I:$I,"&lt;&gt;")</f>
        <v>0</v>
      </c>
    </row>
    <row r="303" spans="1:10" ht="15" customHeight="1">
      <c r="A303" t="s">
        <v>9</v>
      </c>
      <c r="B303" t="s">
        <v>78</v>
      </c>
      <c r="C303">
        <v>42</v>
      </c>
      <c r="D303">
        <v>10</v>
      </c>
      <c r="E303">
        <v>3</v>
      </c>
      <c r="F303" s="5"/>
      <c r="G303" s="5"/>
      <c r="I303">
        <f>COUNTIFS(Tasks!$A:$A,"Executive",Tasks!$G:$G,"&lt;="&amp;INDEX(Weeks!$D:$D,MATCH($C303,Weeks!$A:$A,0)))-COUNTIFS(Tasks!$A:$A,"Executive",Tasks!$I:$I,"&lt;="&amp;INDEX(Weeks!$D:$D,MATCH($C303,Weeks!$A:$A,0)),Tasks!$I:$I,"&lt;&gt;")</f>
        <v>0</v>
      </c>
      <c r="J303">
        <f>COUNTIFS(Tasks!$A:$A,"Executive",Tasks!$I:$I,"&gt;"&amp;INDEX(Weeks!$D:$D,MATCH($C303-1,Weeks!$A:$A,0)),Tasks!$I:$I,"&lt;="&amp;INDEX(Weeks!$D:$D,MATCH($C303,Weeks!$A:$A,0)),Tasks!$I:$I,"&lt;&gt;")</f>
        <v>0</v>
      </c>
    </row>
    <row r="304" spans="1:10" ht="15" customHeight="1">
      <c r="A304" t="s">
        <v>9</v>
      </c>
      <c r="B304" t="s">
        <v>78</v>
      </c>
      <c r="C304">
        <v>43</v>
      </c>
      <c r="D304">
        <v>10</v>
      </c>
      <c r="E304">
        <v>4</v>
      </c>
      <c r="F304" s="5"/>
      <c r="G304" s="5"/>
      <c r="I304">
        <f>COUNTIFS(Tasks!$A:$A,"Executive",Tasks!$G:$G,"&lt;="&amp;INDEX(Weeks!$D:$D,MATCH($C304,Weeks!$A:$A,0)))-COUNTIFS(Tasks!$A:$A,"Executive",Tasks!$I:$I,"&lt;="&amp;INDEX(Weeks!$D:$D,MATCH($C304,Weeks!$A:$A,0)),Tasks!$I:$I,"&lt;&gt;")</f>
        <v>0</v>
      </c>
      <c r="J304">
        <f>COUNTIFS(Tasks!$A:$A,"Executive",Tasks!$I:$I,"&gt;"&amp;INDEX(Weeks!$D:$D,MATCH($C304-1,Weeks!$A:$A,0)),Tasks!$I:$I,"&lt;="&amp;INDEX(Weeks!$D:$D,MATCH($C304,Weeks!$A:$A,0)),Tasks!$I:$I,"&lt;&gt;")</f>
        <v>0</v>
      </c>
    </row>
    <row r="305" spans="1:10" ht="15" customHeight="1">
      <c r="A305" t="s">
        <v>9</v>
      </c>
      <c r="B305" t="s">
        <v>78</v>
      </c>
      <c r="C305">
        <v>44</v>
      </c>
      <c r="D305">
        <v>10</v>
      </c>
      <c r="E305">
        <v>5</v>
      </c>
      <c r="F305" s="5"/>
      <c r="G305" s="5"/>
      <c r="I305">
        <f>COUNTIFS(Tasks!$A:$A,"Executive",Tasks!$G:$G,"&lt;="&amp;INDEX(Weeks!$D:$D,MATCH($C305,Weeks!$A:$A,0)))-COUNTIFS(Tasks!$A:$A,"Executive",Tasks!$I:$I,"&lt;="&amp;INDEX(Weeks!$D:$D,MATCH($C305,Weeks!$A:$A,0)),Tasks!$I:$I,"&lt;&gt;")</f>
        <v>0</v>
      </c>
      <c r="J305">
        <f>COUNTIFS(Tasks!$A:$A,"Executive",Tasks!$I:$I,"&gt;"&amp;INDEX(Weeks!$D:$D,MATCH($C305-1,Weeks!$A:$A,0)),Tasks!$I:$I,"&lt;="&amp;INDEX(Weeks!$D:$D,MATCH($C305,Weeks!$A:$A,0)),Tasks!$I:$I,"&lt;&gt;")</f>
        <v>0</v>
      </c>
    </row>
    <row r="306" spans="1:10" ht="15" customHeight="1">
      <c r="A306" t="s">
        <v>9</v>
      </c>
      <c r="B306" t="s">
        <v>78</v>
      </c>
      <c r="C306">
        <v>45</v>
      </c>
      <c r="D306">
        <v>11</v>
      </c>
      <c r="E306">
        <v>1</v>
      </c>
      <c r="F306" s="5"/>
      <c r="G306" s="5"/>
      <c r="I306">
        <f>COUNTIFS(Tasks!$A:$A,"Executive",Tasks!$G:$G,"&lt;="&amp;INDEX(Weeks!$D:$D,MATCH($C306,Weeks!$A:$A,0)))-COUNTIFS(Tasks!$A:$A,"Executive",Tasks!$I:$I,"&lt;="&amp;INDEX(Weeks!$D:$D,MATCH($C306,Weeks!$A:$A,0)),Tasks!$I:$I,"&lt;&gt;")</f>
        <v>0</v>
      </c>
      <c r="J306">
        <f>COUNTIFS(Tasks!$A:$A,"Executive",Tasks!$I:$I,"&gt;"&amp;INDEX(Weeks!$D:$D,MATCH($C306-1,Weeks!$A:$A,0)),Tasks!$I:$I,"&lt;="&amp;INDEX(Weeks!$D:$D,MATCH($C306,Weeks!$A:$A,0)),Tasks!$I:$I,"&lt;&gt;")</f>
        <v>0</v>
      </c>
    </row>
    <row r="307" spans="1:10" ht="15" customHeight="1">
      <c r="A307" t="s">
        <v>9</v>
      </c>
      <c r="B307" t="s">
        <v>78</v>
      </c>
      <c r="C307">
        <v>46</v>
      </c>
      <c r="D307">
        <v>11</v>
      </c>
      <c r="E307">
        <v>2</v>
      </c>
      <c r="F307" s="5"/>
      <c r="G307" s="5"/>
      <c r="I307">
        <f>COUNTIFS(Tasks!$A:$A,"Executive",Tasks!$G:$G,"&lt;="&amp;INDEX(Weeks!$D:$D,MATCH($C307,Weeks!$A:$A,0)))-COUNTIFS(Tasks!$A:$A,"Executive",Tasks!$I:$I,"&lt;="&amp;INDEX(Weeks!$D:$D,MATCH($C307,Weeks!$A:$A,0)),Tasks!$I:$I,"&lt;&gt;")</f>
        <v>0</v>
      </c>
      <c r="J307">
        <f>COUNTIFS(Tasks!$A:$A,"Executive",Tasks!$I:$I,"&gt;"&amp;INDEX(Weeks!$D:$D,MATCH($C307-1,Weeks!$A:$A,0)),Tasks!$I:$I,"&lt;="&amp;INDEX(Weeks!$D:$D,MATCH($C307,Weeks!$A:$A,0)),Tasks!$I:$I,"&lt;&gt;")</f>
        <v>0</v>
      </c>
    </row>
    <row r="308" spans="1:10" ht="15" customHeight="1">
      <c r="A308" t="s">
        <v>9</v>
      </c>
      <c r="B308" t="s">
        <v>78</v>
      </c>
      <c r="C308">
        <v>47</v>
      </c>
      <c r="D308">
        <v>11</v>
      </c>
      <c r="E308">
        <v>3</v>
      </c>
      <c r="F308" s="5"/>
      <c r="G308" s="5"/>
      <c r="I308">
        <f>COUNTIFS(Tasks!$A:$A,"Executive",Tasks!$G:$G,"&lt;="&amp;INDEX(Weeks!$D:$D,MATCH($C308,Weeks!$A:$A,0)))-COUNTIFS(Tasks!$A:$A,"Executive",Tasks!$I:$I,"&lt;="&amp;INDEX(Weeks!$D:$D,MATCH($C308,Weeks!$A:$A,0)),Tasks!$I:$I,"&lt;&gt;")</f>
        <v>0</v>
      </c>
      <c r="J308">
        <f>COUNTIFS(Tasks!$A:$A,"Executive",Tasks!$I:$I,"&gt;"&amp;INDEX(Weeks!$D:$D,MATCH($C308-1,Weeks!$A:$A,0)),Tasks!$I:$I,"&lt;="&amp;INDEX(Weeks!$D:$D,MATCH($C308,Weeks!$A:$A,0)),Tasks!$I:$I,"&lt;&gt;")</f>
        <v>0</v>
      </c>
    </row>
    <row r="309" spans="1:10" ht="15" customHeight="1">
      <c r="A309" t="s">
        <v>9</v>
      </c>
      <c r="B309" t="s">
        <v>78</v>
      </c>
      <c r="C309">
        <v>48</v>
      </c>
      <c r="D309">
        <v>11</v>
      </c>
      <c r="E309">
        <v>4</v>
      </c>
      <c r="F309" s="5"/>
      <c r="G309" s="5"/>
      <c r="I309">
        <f>COUNTIFS(Tasks!$A:$A,"Executive",Tasks!$G:$G,"&lt;="&amp;INDEX(Weeks!$D:$D,MATCH($C309,Weeks!$A:$A,0)))-COUNTIFS(Tasks!$A:$A,"Executive",Tasks!$I:$I,"&lt;="&amp;INDEX(Weeks!$D:$D,MATCH($C309,Weeks!$A:$A,0)),Tasks!$I:$I,"&lt;&gt;")</f>
        <v>0</v>
      </c>
      <c r="J309">
        <f>COUNTIFS(Tasks!$A:$A,"Executive",Tasks!$I:$I,"&gt;"&amp;INDEX(Weeks!$D:$D,MATCH($C309-1,Weeks!$A:$A,0)),Tasks!$I:$I,"&lt;="&amp;INDEX(Weeks!$D:$D,MATCH($C309,Weeks!$A:$A,0)),Tasks!$I:$I,"&lt;&gt;")</f>
        <v>0</v>
      </c>
    </row>
    <row r="310" spans="1:10" ht="15" customHeight="1">
      <c r="A310" t="s">
        <v>9</v>
      </c>
      <c r="B310" t="s">
        <v>78</v>
      </c>
      <c r="C310">
        <v>49</v>
      </c>
      <c r="D310">
        <v>12</v>
      </c>
      <c r="E310">
        <v>1</v>
      </c>
      <c r="F310" s="5"/>
      <c r="G310" s="5"/>
      <c r="I310">
        <f>COUNTIFS(Tasks!$A:$A,"Executive",Tasks!$G:$G,"&lt;="&amp;INDEX(Weeks!$D:$D,MATCH($C310,Weeks!$A:$A,0)))-COUNTIFS(Tasks!$A:$A,"Executive",Tasks!$I:$I,"&lt;="&amp;INDEX(Weeks!$D:$D,MATCH($C310,Weeks!$A:$A,0)),Tasks!$I:$I,"&lt;&gt;")</f>
        <v>0</v>
      </c>
      <c r="J310">
        <f>COUNTIFS(Tasks!$A:$A,"Executive",Tasks!$I:$I,"&gt;"&amp;INDEX(Weeks!$D:$D,MATCH($C310-1,Weeks!$A:$A,0)),Tasks!$I:$I,"&lt;="&amp;INDEX(Weeks!$D:$D,MATCH($C310,Weeks!$A:$A,0)),Tasks!$I:$I,"&lt;&gt;")</f>
        <v>0</v>
      </c>
    </row>
    <row r="311" spans="1:10" ht="15" customHeight="1">
      <c r="A311" t="s">
        <v>9</v>
      </c>
      <c r="B311" t="s">
        <v>78</v>
      </c>
      <c r="C311">
        <v>50</v>
      </c>
      <c r="D311">
        <v>12</v>
      </c>
      <c r="E311">
        <v>2</v>
      </c>
      <c r="F311" s="5"/>
      <c r="G311" s="5"/>
      <c r="I311">
        <f>COUNTIFS(Tasks!$A:$A,"Executive",Tasks!$G:$G,"&lt;="&amp;INDEX(Weeks!$D:$D,MATCH($C311,Weeks!$A:$A,0)))-COUNTIFS(Tasks!$A:$A,"Executive",Tasks!$I:$I,"&lt;="&amp;INDEX(Weeks!$D:$D,MATCH($C311,Weeks!$A:$A,0)),Tasks!$I:$I,"&lt;&gt;")</f>
        <v>0</v>
      </c>
      <c r="J311">
        <f>COUNTIFS(Tasks!$A:$A,"Executive",Tasks!$I:$I,"&gt;"&amp;INDEX(Weeks!$D:$D,MATCH($C311-1,Weeks!$A:$A,0)),Tasks!$I:$I,"&lt;="&amp;INDEX(Weeks!$D:$D,MATCH($C311,Weeks!$A:$A,0)),Tasks!$I:$I,"&lt;&gt;")</f>
        <v>0</v>
      </c>
    </row>
    <row r="312" spans="1:10" ht="15" customHeight="1">
      <c r="A312" t="s">
        <v>9</v>
      </c>
      <c r="B312" t="s">
        <v>78</v>
      </c>
      <c r="C312">
        <v>51</v>
      </c>
      <c r="D312">
        <v>12</v>
      </c>
      <c r="E312">
        <v>3</v>
      </c>
      <c r="F312" s="5"/>
      <c r="G312" s="5"/>
      <c r="I312">
        <f>COUNTIFS(Tasks!$A:$A,"Executive",Tasks!$G:$G,"&lt;="&amp;INDEX(Weeks!$D:$D,MATCH($C312,Weeks!$A:$A,0)))-COUNTIFS(Tasks!$A:$A,"Executive",Tasks!$I:$I,"&lt;="&amp;INDEX(Weeks!$D:$D,MATCH($C312,Weeks!$A:$A,0)),Tasks!$I:$I,"&lt;&gt;")</f>
        <v>0</v>
      </c>
      <c r="J312">
        <f>COUNTIFS(Tasks!$A:$A,"Executive",Tasks!$I:$I,"&gt;"&amp;INDEX(Weeks!$D:$D,MATCH($C312-1,Weeks!$A:$A,0)),Tasks!$I:$I,"&lt;="&amp;INDEX(Weeks!$D:$D,MATCH($C312,Weeks!$A:$A,0)),Tasks!$I:$I,"&lt;&gt;")</f>
        <v>0</v>
      </c>
    </row>
    <row r="313" spans="1:10" ht="15" customHeight="1">
      <c r="A313" t="s">
        <v>9</v>
      </c>
      <c r="B313" t="s">
        <v>78</v>
      </c>
      <c r="C313">
        <v>52</v>
      </c>
      <c r="D313">
        <v>12</v>
      </c>
      <c r="E313">
        <v>4</v>
      </c>
      <c r="F313" s="5"/>
      <c r="G313" s="5"/>
      <c r="I313">
        <f>COUNTIFS(Tasks!$A:$A,"Executive",Tasks!$G:$G,"&lt;="&amp;INDEX(Weeks!$D:$D,MATCH($C313,Weeks!$A:$A,0)))-COUNTIFS(Tasks!$A:$A,"Executive",Tasks!$I:$I,"&lt;="&amp;INDEX(Weeks!$D:$D,MATCH($C313,Weeks!$A:$A,0)),Tasks!$I:$I,"&lt;&gt;")</f>
        <v>0</v>
      </c>
      <c r="J313">
        <f>COUNTIFS(Tasks!$A:$A,"Executive",Tasks!$I:$I,"&gt;"&amp;INDEX(Weeks!$D:$D,MATCH($C313-1,Weeks!$A:$A,0)),Tasks!$I:$I,"&lt;="&amp;INDEX(Weeks!$D:$D,MATCH($C313,Weeks!$A:$A,0)),Tasks!$I:$I,"&lt;&gt;")</f>
        <v>0</v>
      </c>
    </row>
    <row r="314" spans="1:10" ht="15" customHeight="1">
      <c r="A314" t="s">
        <v>93</v>
      </c>
      <c r="B314" t="s">
        <v>94</v>
      </c>
      <c r="C314">
        <v>1</v>
      </c>
      <c r="D314">
        <v>1</v>
      </c>
      <c r="E314">
        <v>1</v>
      </c>
      <c r="F314" s="5">
        <f>IFERROR(ROUND(COUNTIFS(Tasks!$A:$A,$A314,Tasks!$B:$B,$B314,Tasks!$I:$I,"&lt;="&amp;INDEX(Weeks!$D:$D,MATCH($C314,Weeks!$A:$A,0)),Tasks!$I:$I,"&lt;&gt;")/COUNTIFS(Tasks!$A:$A,$A314,Tasks!$B:$B,$B314)*100,0),"")</f>
        <v>17</v>
      </c>
      <c r="G314" s="5">
        <f>IFERROR(ROUND(COUNTIFS(Tasks!$A:$A,$A314,Tasks!$B:$B,$B314,Tasks!$H:$H,"&lt;="&amp;INDEX(Weeks!$D:$D,MATCH($C314,Weeks!$A:$A,0)))/COUNTIFS(Tasks!$A:$A,$A314,Tasks!$B:$B,$B314)*100,0),"")</f>
        <v>0</v>
      </c>
      <c r="H314" t="s">
        <v>91</v>
      </c>
      <c r="I314">
        <f>COUNTIFS(Tasks!$A:$A,$A314,Tasks!$B:$B,$B314,Tasks!$G:$G,"&lt;="&amp;INDEX(Weeks!$D:$D,MATCH($C314,Weeks!$A:$A,0)))-COUNTIFS(Tasks!$A:$A,$A314,Tasks!$B:$B,$B314,Tasks!$I:$I,"&lt;="&amp;INDEX(Weeks!$D:$D,MATCH($C314,Weeks!$A:$A,0)),Tasks!$I:$I,"&lt;&gt;")</f>
        <v>3</v>
      </c>
      <c r="J314">
        <f>COUNTIFS(Tasks!$A:$A,$A314,Tasks!$B:$B,$B314,
Tasks!$I:$I,"&gt;"&amp;IFERROR(INDEX(Weeks!$D:$D,MATCH($C314-1,Weeks!$A:$A,0)),DATE(2000,1,1)),
Tasks!$I:$I,"&lt;="&amp;INDEX(Weeks!$D:$D,MATCH($C314,Weeks!$A:$A,0)),
Tasks!$I:$I,"&lt;&gt;")</f>
        <v>1</v>
      </c>
    </row>
    <row r="315" spans="1:10" ht="15" customHeight="1">
      <c r="A315" t="s">
        <v>93</v>
      </c>
      <c r="B315" t="s">
        <v>94</v>
      </c>
      <c r="C315">
        <v>2</v>
      </c>
      <c r="D315">
        <v>1</v>
      </c>
      <c r="E315">
        <v>2</v>
      </c>
      <c r="F315" s="5">
        <f>IFERROR(ROUND(COUNTIFS(Tasks!$A:$A,$A315,Tasks!$B:$B,$B315,Tasks!$I:$I,"&lt;="&amp;INDEX(Weeks!$D:$D,MATCH($C315,Weeks!$A:$A,0)),Tasks!$I:$I,"&lt;&gt;")/COUNTIFS(Tasks!$A:$A,$A315,Tasks!$B:$B,$B315)*100,0),"")</f>
        <v>17</v>
      </c>
      <c r="G315" s="5">
        <f>IFERROR(ROUND(COUNTIFS(Tasks!$A:$A,$A315,Tasks!$B:$B,$B315,Tasks!$H:$H,"&lt;="&amp;INDEX(Weeks!$D:$D,MATCH($C315,Weeks!$A:$A,0)))/COUNTIFS(Tasks!$A:$A,$A315,Tasks!$B:$B,$B315)*100,0),"")</f>
        <v>0</v>
      </c>
      <c r="H315" t="s">
        <v>91</v>
      </c>
      <c r="I315">
        <f>COUNTIFS(Tasks!$A:$A,$A315,Tasks!$B:$B,$B315,Tasks!$G:$G,"&lt;="&amp;INDEX(Weeks!$D:$D,MATCH($C315,Weeks!$A:$A,0)))-COUNTIFS(Tasks!$A:$A,$A315,Tasks!$B:$B,$B315,Tasks!$I:$I,"&lt;="&amp;INDEX(Weeks!$D:$D,MATCH($C315,Weeks!$A:$A,0)),Tasks!$I:$I,"&lt;&gt;")</f>
        <v>3</v>
      </c>
      <c r="J315">
        <f>COUNTIFS(Tasks!$A:$A,$A315,Tasks!$B:$B,$B315,
Tasks!$I:$I,"&gt;"&amp;IFERROR(INDEX(Weeks!$D:$D,MATCH($C315-1,Weeks!$A:$A,0)),DATE(2000,1,1)),
Tasks!$I:$I,"&lt;="&amp;INDEX(Weeks!$D:$D,MATCH($C315,Weeks!$A:$A,0)),
Tasks!$I:$I,"&lt;&gt;")</f>
        <v>0</v>
      </c>
    </row>
    <row r="316" spans="1:10" ht="15" customHeight="1">
      <c r="A316" t="s">
        <v>93</v>
      </c>
      <c r="B316" t="s">
        <v>94</v>
      </c>
      <c r="C316">
        <v>3</v>
      </c>
      <c r="D316">
        <v>1</v>
      </c>
      <c r="E316">
        <v>3</v>
      </c>
      <c r="F316" s="5">
        <f>IFERROR(ROUND(COUNTIFS(Tasks!$A:$A,$A316,Tasks!$B:$B,$B316,Tasks!$I:$I,"&lt;="&amp;INDEX(Weeks!$D:$D,MATCH($C316,Weeks!$A:$A,0)),Tasks!$I:$I,"&lt;&gt;")/COUNTIFS(Tasks!$A:$A,$A316,Tasks!$B:$B,$B316)*100,0),"")</f>
        <v>33</v>
      </c>
      <c r="G316" s="5">
        <f>IFERROR(ROUND(COUNTIFS(Tasks!$A:$A,$A316,Tasks!$B:$B,$B316,Tasks!$H:$H,"&lt;="&amp;INDEX(Weeks!$D:$D,MATCH($C316,Weeks!$A:$A,0)))/COUNTIFS(Tasks!$A:$A,$A316,Tasks!$B:$B,$B316)*100,0),"")</f>
        <v>0</v>
      </c>
      <c r="H316" t="s">
        <v>91</v>
      </c>
      <c r="I316">
        <f>COUNTIFS(Tasks!$A:$A,$A316,Tasks!$B:$B,$B316,Tasks!$G:$G,"&lt;="&amp;INDEX(Weeks!$D:$D,MATCH($C316,Weeks!$A:$A,0)))-COUNTIFS(Tasks!$A:$A,$A316,Tasks!$B:$B,$B316,Tasks!$I:$I,"&lt;="&amp;INDEX(Weeks!$D:$D,MATCH($C316,Weeks!$A:$A,0)),Tasks!$I:$I,"&lt;&gt;")</f>
        <v>2</v>
      </c>
      <c r="J316">
        <f>COUNTIFS(Tasks!$A:$A,$A316,Tasks!$B:$B,$B316,
Tasks!$I:$I,"&gt;"&amp;IFERROR(INDEX(Weeks!$D:$D,MATCH($C316-1,Weeks!$A:$A,0)),DATE(2000,1,1)),
Tasks!$I:$I,"&lt;="&amp;INDEX(Weeks!$D:$D,MATCH($C316,Weeks!$A:$A,0)),
Tasks!$I:$I,"&lt;&gt;")</f>
        <v>1</v>
      </c>
    </row>
    <row r="317" spans="1:10" ht="15" customHeight="1">
      <c r="A317" t="s">
        <v>93</v>
      </c>
      <c r="B317" t="s">
        <v>94</v>
      </c>
      <c r="C317">
        <v>4</v>
      </c>
      <c r="D317">
        <v>1</v>
      </c>
      <c r="E317">
        <v>4</v>
      </c>
      <c r="F317" s="5">
        <f>IFERROR(ROUND(COUNTIFS(Tasks!$A:$A,$A317,Tasks!$B:$B,$B317,Tasks!$I:$I,"&lt;="&amp;INDEX(Weeks!$D:$D,MATCH($C317,Weeks!$A:$A,0)),Tasks!$I:$I,"&lt;&gt;")/COUNTIFS(Tasks!$A:$A,$A317,Tasks!$B:$B,$B317)*100,0),"")</f>
        <v>33</v>
      </c>
      <c r="G317" s="5">
        <f>IFERROR(ROUND(COUNTIFS(Tasks!$A:$A,$A317,Tasks!$B:$B,$B317,Tasks!$H:$H,"&lt;="&amp;INDEX(Weeks!$D:$D,MATCH($C317,Weeks!$A:$A,0)))/COUNTIFS(Tasks!$A:$A,$A317,Tasks!$B:$B,$B317)*100,0),"")</f>
        <v>0</v>
      </c>
      <c r="H317" t="s">
        <v>91</v>
      </c>
      <c r="I317">
        <f>COUNTIFS(Tasks!$A:$A,$A317,Tasks!$B:$B,$B317,Tasks!$G:$G,"&lt;="&amp;INDEX(Weeks!$D:$D,MATCH($C317,Weeks!$A:$A,0)))-COUNTIFS(Tasks!$A:$A,$A317,Tasks!$B:$B,$B317,Tasks!$I:$I,"&lt;="&amp;INDEX(Weeks!$D:$D,MATCH($C317,Weeks!$A:$A,0)),Tasks!$I:$I,"&lt;&gt;")</f>
        <v>2</v>
      </c>
      <c r="J317">
        <f>COUNTIFS(Tasks!$A:$A,$A317,Tasks!$B:$B,$B317,
Tasks!$I:$I,"&gt;"&amp;IFERROR(INDEX(Weeks!$D:$D,MATCH($C317-1,Weeks!$A:$A,0)),DATE(2000,1,1)),
Tasks!$I:$I,"&lt;="&amp;INDEX(Weeks!$D:$D,MATCH($C317,Weeks!$A:$A,0)),
Tasks!$I:$I,"&lt;&gt;")</f>
        <v>0</v>
      </c>
    </row>
    <row r="318" spans="1:10" ht="15" customHeight="1">
      <c r="A318" t="s">
        <v>93</v>
      </c>
      <c r="B318" t="s">
        <v>94</v>
      </c>
      <c r="C318">
        <v>5</v>
      </c>
      <c r="D318">
        <v>1</v>
      </c>
      <c r="E318">
        <v>5</v>
      </c>
      <c r="F318" s="5">
        <f>IFERROR(ROUND(COUNTIFS(Tasks!$A:$A,$A318,Tasks!$B:$B,$B318,Tasks!$I:$I,"&lt;="&amp;INDEX(Weeks!$D:$D,MATCH($C318,Weeks!$A:$A,0)),Tasks!$I:$I,"&lt;&gt;")/COUNTIFS(Tasks!$A:$A,$A318,Tasks!$B:$B,$B318)*100,0),"")</f>
        <v>33</v>
      </c>
      <c r="G318" s="5">
        <f>IFERROR(ROUND(COUNTIFS(Tasks!$A:$A,$A318,Tasks!$B:$B,$B318,Tasks!$H:$H,"&lt;="&amp;INDEX(Weeks!$D:$D,MATCH($C318,Weeks!$A:$A,0)))/COUNTIFS(Tasks!$A:$A,$A318,Tasks!$B:$B,$B318)*100,0),"")</f>
        <v>0</v>
      </c>
      <c r="H318" t="s">
        <v>91</v>
      </c>
      <c r="I318">
        <f>COUNTIFS(Tasks!$A:$A,$A318,Tasks!$B:$B,$B318,Tasks!$G:$G,"&lt;="&amp;INDEX(Weeks!$D:$D,MATCH($C318,Weeks!$A:$A,0)))-COUNTIFS(Tasks!$A:$A,$A318,Tasks!$B:$B,$B318,Tasks!$I:$I,"&lt;="&amp;INDEX(Weeks!$D:$D,MATCH($C318,Weeks!$A:$A,0)),Tasks!$I:$I,"&lt;&gt;")</f>
        <v>2</v>
      </c>
      <c r="J318">
        <f>COUNTIFS(Tasks!$A:$A,$A318,Tasks!$B:$B,$B318,
Tasks!$I:$I,"&gt;"&amp;IFERROR(INDEX(Weeks!$D:$D,MATCH($C318-1,Weeks!$A:$A,0)),DATE(2000,1,1)),
Tasks!$I:$I,"&lt;="&amp;INDEX(Weeks!$D:$D,MATCH($C318,Weeks!$A:$A,0)),
Tasks!$I:$I,"&lt;&gt;")</f>
        <v>0</v>
      </c>
    </row>
    <row r="319" spans="1:10" ht="15" customHeight="1">
      <c r="A319" t="s">
        <v>93</v>
      </c>
      <c r="B319" t="s">
        <v>94</v>
      </c>
      <c r="C319">
        <v>6</v>
      </c>
      <c r="D319">
        <v>2</v>
      </c>
      <c r="E319">
        <v>1</v>
      </c>
      <c r="F319" s="5">
        <f>IFERROR(ROUND(COUNTIFS(Tasks!$A:$A,$A319,Tasks!$B:$B,$B319,Tasks!$I:$I,"&lt;="&amp;INDEX(Weeks!$D:$D,MATCH($C319,Weeks!$A:$A,0)),Tasks!$I:$I,"&lt;&gt;")/COUNTIFS(Tasks!$A:$A,$A319,Tasks!$B:$B,$B319)*100,0),"")</f>
        <v>33</v>
      </c>
      <c r="G319" s="5">
        <f>IFERROR(ROUND(COUNTIFS(Tasks!$A:$A,$A319,Tasks!$B:$B,$B319,Tasks!$H:$H,"&lt;="&amp;INDEX(Weeks!$D:$D,MATCH($C319,Weeks!$A:$A,0)))/COUNTIFS(Tasks!$A:$A,$A319,Tasks!$B:$B,$B319)*100,0),"")</f>
        <v>0</v>
      </c>
      <c r="H319" t="s">
        <v>91</v>
      </c>
      <c r="I319">
        <f>COUNTIFS(Tasks!$A:$A,$A319,Tasks!$B:$B,$B319,Tasks!$G:$G,"&lt;="&amp;INDEX(Weeks!$D:$D,MATCH($C319,Weeks!$A:$A,0)))-COUNTIFS(Tasks!$A:$A,$A319,Tasks!$B:$B,$B319,Tasks!$I:$I,"&lt;="&amp;INDEX(Weeks!$D:$D,MATCH($C319,Weeks!$A:$A,0)),Tasks!$I:$I,"&lt;&gt;")</f>
        <v>2</v>
      </c>
      <c r="J319">
        <f>COUNTIFS(Tasks!$A:$A,$A319,Tasks!$B:$B,$B319,
Tasks!$I:$I,"&gt;"&amp;IFERROR(INDEX(Weeks!$D:$D,MATCH($C319-1,Weeks!$A:$A,0)),DATE(2000,1,1)),
Tasks!$I:$I,"&lt;="&amp;INDEX(Weeks!$D:$D,MATCH($C319,Weeks!$A:$A,0)),
Tasks!$I:$I,"&lt;&gt;")</f>
        <v>0</v>
      </c>
    </row>
    <row r="320" spans="1:10" ht="15" customHeight="1">
      <c r="A320" t="s">
        <v>93</v>
      </c>
      <c r="B320" t="s">
        <v>94</v>
      </c>
      <c r="C320">
        <v>7</v>
      </c>
      <c r="D320">
        <v>2</v>
      </c>
      <c r="E320">
        <v>2</v>
      </c>
      <c r="F320" s="5">
        <f>IFERROR(ROUND(COUNTIFS(Tasks!$A:$A,$A320,Tasks!$B:$B,$B320,Tasks!$I:$I,"&lt;="&amp;INDEX(Weeks!$D:$D,MATCH($C320,Weeks!$A:$A,0)),Tasks!$I:$I,"&lt;&gt;")/COUNTIFS(Tasks!$A:$A,$A320,Tasks!$B:$B,$B320)*100,0),"")</f>
        <v>33</v>
      </c>
      <c r="G320" s="5">
        <f>IFERROR(ROUND(COUNTIFS(Tasks!$A:$A,$A320,Tasks!$B:$B,$B320,Tasks!$H:$H,"&lt;="&amp;INDEX(Weeks!$D:$D,MATCH($C320,Weeks!$A:$A,0)))/COUNTIFS(Tasks!$A:$A,$A320,Tasks!$B:$B,$B320)*100,0),"")</f>
        <v>0</v>
      </c>
      <c r="H320" t="s">
        <v>91</v>
      </c>
      <c r="I320">
        <f>COUNTIFS(Tasks!$A:$A,$A320,Tasks!$B:$B,$B320,Tasks!$G:$G,"&lt;="&amp;INDEX(Weeks!$D:$D,MATCH($C320,Weeks!$A:$A,0)))-COUNTIFS(Tasks!$A:$A,$A320,Tasks!$B:$B,$B320,Tasks!$I:$I,"&lt;="&amp;INDEX(Weeks!$D:$D,MATCH($C320,Weeks!$A:$A,0)),Tasks!$I:$I,"&lt;&gt;")</f>
        <v>2</v>
      </c>
      <c r="J320">
        <f>COUNTIFS(Tasks!$A:$A,$A320,Tasks!$B:$B,$B320,
Tasks!$I:$I,"&gt;"&amp;IFERROR(INDEX(Weeks!$D:$D,MATCH($C320-1,Weeks!$A:$A,0)),DATE(2000,1,1)),
Tasks!$I:$I,"&lt;="&amp;INDEX(Weeks!$D:$D,MATCH($C320,Weeks!$A:$A,0)),
Tasks!$I:$I,"&lt;&gt;")</f>
        <v>0</v>
      </c>
    </row>
    <row r="321" spans="1:10" ht="15" customHeight="1">
      <c r="A321" t="s">
        <v>93</v>
      </c>
      <c r="B321" t="s">
        <v>94</v>
      </c>
      <c r="C321">
        <v>8</v>
      </c>
      <c r="D321">
        <v>2</v>
      </c>
      <c r="E321">
        <v>3</v>
      </c>
      <c r="F321" s="5">
        <f>IFERROR(ROUND(COUNTIFS(Tasks!$A:$A,$A321,Tasks!$B:$B,$B321,Tasks!$I:$I,"&lt;="&amp;INDEX(Weeks!$D:$D,MATCH($C321,Weeks!$A:$A,0)),Tasks!$I:$I,"&lt;&gt;")/COUNTIFS(Tasks!$A:$A,$A321,Tasks!$B:$B,$B321)*100,0),"")</f>
        <v>33</v>
      </c>
      <c r="G321" s="5">
        <f>IFERROR(ROUND(COUNTIFS(Tasks!$A:$A,$A321,Tasks!$B:$B,$B321,Tasks!$H:$H,"&lt;="&amp;INDEX(Weeks!$D:$D,MATCH($C321,Weeks!$A:$A,0)))/COUNTIFS(Tasks!$A:$A,$A321,Tasks!$B:$B,$B321)*100,0),"")</f>
        <v>0</v>
      </c>
      <c r="H321" t="s">
        <v>91</v>
      </c>
      <c r="I321">
        <f>COUNTIFS(Tasks!$A:$A,$A321,Tasks!$B:$B,$B321,Tasks!$G:$G,"&lt;="&amp;INDEX(Weeks!$D:$D,MATCH($C321,Weeks!$A:$A,0)))-COUNTIFS(Tasks!$A:$A,$A321,Tasks!$B:$B,$B321,Tasks!$I:$I,"&lt;="&amp;INDEX(Weeks!$D:$D,MATCH($C321,Weeks!$A:$A,0)),Tasks!$I:$I,"&lt;&gt;")</f>
        <v>2</v>
      </c>
      <c r="J321">
        <f>COUNTIFS(Tasks!$A:$A,$A321,Tasks!$B:$B,$B321,
Tasks!$I:$I,"&gt;"&amp;IFERROR(INDEX(Weeks!$D:$D,MATCH($C321-1,Weeks!$A:$A,0)),DATE(2000,1,1)),
Tasks!$I:$I,"&lt;="&amp;INDEX(Weeks!$D:$D,MATCH($C321,Weeks!$A:$A,0)),
Tasks!$I:$I,"&lt;&gt;")</f>
        <v>0</v>
      </c>
    </row>
    <row r="322" spans="1:10" ht="15" customHeight="1">
      <c r="A322" t="s">
        <v>93</v>
      </c>
      <c r="B322" t="s">
        <v>94</v>
      </c>
      <c r="C322">
        <v>9</v>
      </c>
      <c r="D322">
        <v>2</v>
      </c>
      <c r="E322">
        <v>4</v>
      </c>
      <c r="F322" s="5">
        <f>IFERROR(ROUND(COUNTIFS(Tasks!$A:$A,$A322,Tasks!$B:$B,$B322,Tasks!$I:$I,"&lt;="&amp;INDEX(Weeks!$D:$D,MATCH($C322,Weeks!$A:$A,0)),Tasks!$I:$I,"&lt;&gt;")/COUNTIFS(Tasks!$A:$A,$A322,Tasks!$B:$B,$B322)*100,0),"")</f>
        <v>33</v>
      </c>
      <c r="G322" s="5">
        <f>IFERROR(ROUND(COUNTIFS(Tasks!$A:$A,$A322,Tasks!$B:$B,$B322,Tasks!$H:$H,"&lt;="&amp;INDEX(Weeks!$D:$D,MATCH($C322,Weeks!$A:$A,0)))/COUNTIFS(Tasks!$A:$A,$A322,Tasks!$B:$B,$B322)*100,0),"")</f>
        <v>0</v>
      </c>
      <c r="H322" t="s">
        <v>91</v>
      </c>
      <c r="I322">
        <f>COUNTIFS(Tasks!$A:$A,$A322,Tasks!$B:$B,$B322,Tasks!$G:$G,"&lt;="&amp;INDEX(Weeks!$D:$D,MATCH($C322,Weeks!$A:$A,0)))-COUNTIFS(Tasks!$A:$A,$A322,Tasks!$B:$B,$B322,Tasks!$I:$I,"&lt;="&amp;INDEX(Weeks!$D:$D,MATCH($C322,Weeks!$A:$A,0)),Tasks!$I:$I,"&lt;&gt;")</f>
        <v>2</v>
      </c>
      <c r="J322">
        <f>COUNTIFS(Tasks!$A:$A,$A322,Tasks!$B:$B,$B322,
Tasks!$I:$I,"&gt;"&amp;IFERROR(INDEX(Weeks!$D:$D,MATCH($C322-1,Weeks!$A:$A,0)),DATE(2000,1,1)),
Tasks!$I:$I,"&lt;="&amp;INDEX(Weeks!$D:$D,MATCH($C322,Weeks!$A:$A,0)),
Tasks!$I:$I,"&lt;&gt;")</f>
        <v>0</v>
      </c>
    </row>
    <row r="323" spans="1:10" ht="15" customHeight="1">
      <c r="A323" t="s">
        <v>93</v>
      </c>
      <c r="B323" t="s">
        <v>94</v>
      </c>
      <c r="C323">
        <v>10</v>
      </c>
      <c r="D323">
        <v>3</v>
      </c>
      <c r="E323">
        <v>1</v>
      </c>
      <c r="F323" s="5">
        <f>IFERROR(ROUND(COUNTIFS(Tasks!$A:$A,$A323,Tasks!$B:$B,$B323,Tasks!$I:$I,"&lt;="&amp;INDEX(Weeks!$D:$D,MATCH($C323,Weeks!$A:$A,0)),Tasks!$I:$I,"&lt;&gt;")/COUNTIFS(Tasks!$A:$A,$A323,Tasks!$B:$B,$B323)*100,0),"")</f>
        <v>33</v>
      </c>
      <c r="G323" s="5">
        <f>IFERROR(ROUND(COUNTIFS(Tasks!$A:$A,$A323,Tasks!$B:$B,$B323,Tasks!$H:$H,"&lt;="&amp;INDEX(Weeks!$D:$D,MATCH($C323,Weeks!$A:$A,0)))/COUNTIFS(Tasks!$A:$A,$A323,Tasks!$B:$B,$B323)*100,0),"")</f>
        <v>0</v>
      </c>
      <c r="H323" t="s">
        <v>91</v>
      </c>
      <c r="I323">
        <f>COUNTIFS(Tasks!$A:$A,$A323,Tasks!$B:$B,$B323,Tasks!$G:$G,"&lt;="&amp;INDEX(Weeks!$D:$D,MATCH($C323,Weeks!$A:$A,0)))-COUNTIFS(Tasks!$A:$A,$A323,Tasks!$B:$B,$B323,Tasks!$I:$I,"&lt;="&amp;INDEX(Weeks!$D:$D,MATCH($C323,Weeks!$A:$A,0)),Tasks!$I:$I,"&lt;&gt;")</f>
        <v>2</v>
      </c>
      <c r="J323">
        <f>COUNTIFS(Tasks!$A:$A,$A323,Tasks!$B:$B,$B323,
Tasks!$I:$I,"&gt;"&amp;IFERROR(INDEX(Weeks!$D:$D,MATCH($C323-1,Weeks!$A:$A,0)),DATE(2000,1,1)),
Tasks!$I:$I,"&lt;="&amp;INDEX(Weeks!$D:$D,MATCH($C323,Weeks!$A:$A,0)),
Tasks!$I:$I,"&lt;&gt;")</f>
        <v>0</v>
      </c>
    </row>
    <row r="324" spans="1:10" ht="15" customHeight="1">
      <c r="A324" t="s">
        <v>93</v>
      </c>
      <c r="B324" t="s">
        <v>94</v>
      </c>
      <c r="C324">
        <v>11</v>
      </c>
      <c r="D324">
        <v>3</v>
      </c>
      <c r="E324">
        <v>2</v>
      </c>
      <c r="F324" s="5">
        <f>IFERROR(ROUND(COUNTIFS(Tasks!$A:$A,$A324,Tasks!$B:$B,$B324,Tasks!$I:$I,"&lt;="&amp;INDEX(Weeks!$D:$D,MATCH($C324,Weeks!$A:$A,0)),Tasks!$I:$I,"&lt;&gt;")/COUNTIFS(Tasks!$A:$A,$A324,Tasks!$B:$B,$B324)*100,0),"")</f>
        <v>33</v>
      </c>
      <c r="G324" s="5">
        <f>IFERROR(ROUND(COUNTIFS(Tasks!$A:$A,$A324,Tasks!$B:$B,$B324,Tasks!$H:$H,"&lt;="&amp;INDEX(Weeks!$D:$D,MATCH($C324,Weeks!$A:$A,0)))/COUNTIFS(Tasks!$A:$A,$A324,Tasks!$B:$B,$B324)*100,0),"")</f>
        <v>0</v>
      </c>
      <c r="H324" t="s">
        <v>91</v>
      </c>
      <c r="I324">
        <f>COUNTIFS(Tasks!$A:$A,$A324,Tasks!$B:$B,$B324,Tasks!$G:$G,"&lt;="&amp;INDEX(Weeks!$D:$D,MATCH($C324,Weeks!$A:$A,0)))-COUNTIFS(Tasks!$A:$A,$A324,Tasks!$B:$B,$B324,Tasks!$I:$I,"&lt;="&amp;INDEX(Weeks!$D:$D,MATCH($C324,Weeks!$A:$A,0)),Tasks!$I:$I,"&lt;&gt;")</f>
        <v>2</v>
      </c>
      <c r="J324">
        <f>COUNTIFS(Tasks!$A:$A,$A324,Tasks!$B:$B,$B324,
Tasks!$I:$I,"&gt;"&amp;IFERROR(INDEX(Weeks!$D:$D,MATCH($C324-1,Weeks!$A:$A,0)),DATE(2000,1,1)),
Tasks!$I:$I,"&lt;="&amp;INDEX(Weeks!$D:$D,MATCH($C324,Weeks!$A:$A,0)),
Tasks!$I:$I,"&lt;&gt;")</f>
        <v>0</v>
      </c>
    </row>
    <row r="325" spans="1:10" ht="15" customHeight="1">
      <c r="A325" t="s">
        <v>93</v>
      </c>
      <c r="B325" t="s">
        <v>94</v>
      </c>
      <c r="C325">
        <v>12</v>
      </c>
      <c r="D325">
        <v>3</v>
      </c>
      <c r="E325">
        <v>3</v>
      </c>
      <c r="F325" s="5">
        <f>IFERROR(ROUND(COUNTIFS(Tasks!$A:$A,$A325,Tasks!$B:$B,$B325,Tasks!$I:$I,"&lt;="&amp;INDEX(Weeks!$D:$D,MATCH($C325,Weeks!$A:$A,0)),Tasks!$I:$I,"&lt;&gt;")/COUNTIFS(Tasks!$A:$A,$A325,Tasks!$B:$B,$B325)*100,0),"")</f>
        <v>33</v>
      </c>
      <c r="G325" s="5">
        <f>IFERROR(ROUND(COUNTIFS(Tasks!$A:$A,$A325,Tasks!$B:$B,$B325,Tasks!$H:$H,"&lt;="&amp;INDEX(Weeks!$D:$D,MATCH($C325,Weeks!$A:$A,0)))/COUNTIFS(Tasks!$A:$A,$A325,Tasks!$B:$B,$B325)*100,0),"")</f>
        <v>0</v>
      </c>
      <c r="H325" t="s">
        <v>91</v>
      </c>
      <c r="I325">
        <f>COUNTIFS(Tasks!$A:$A,$A325,Tasks!$B:$B,$B325,Tasks!$G:$G,"&lt;="&amp;INDEX(Weeks!$D:$D,MATCH($C325,Weeks!$A:$A,0)))-COUNTIFS(Tasks!$A:$A,$A325,Tasks!$B:$B,$B325,Tasks!$I:$I,"&lt;="&amp;INDEX(Weeks!$D:$D,MATCH($C325,Weeks!$A:$A,0)),Tasks!$I:$I,"&lt;&gt;")</f>
        <v>2</v>
      </c>
      <c r="J325">
        <f>COUNTIFS(Tasks!$A:$A,$A325,Tasks!$B:$B,$B325,
Tasks!$I:$I,"&gt;"&amp;IFERROR(INDEX(Weeks!$D:$D,MATCH($C325-1,Weeks!$A:$A,0)),DATE(2000,1,1)),
Tasks!$I:$I,"&lt;="&amp;INDEX(Weeks!$D:$D,MATCH($C325,Weeks!$A:$A,0)),
Tasks!$I:$I,"&lt;&gt;")</f>
        <v>0</v>
      </c>
    </row>
    <row r="326" spans="1:10" ht="15" customHeight="1">
      <c r="A326" t="s">
        <v>93</v>
      </c>
      <c r="B326" t="s">
        <v>94</v>
      </c>
      <c r="C326">
        <v>13</v>
      </c>
      <c r="D326">
        <v>3</v>
      </c>
      <c r="E326">
        <v>4</v>
      </c>
      <c r="F326" s="5">
        <f>IFERROR(ROUND(COUNTIFS(Tasks!$A:$A,$A326,Tasks!$B:$B,$B326,Tasks!$I:$I,"&lt;="&amp;INDEX(Weeks!$D:$D,MATCH($C326,Weeks!$A:$A,0)),Tasks!$I:$I,"&lt;&gt;")/COUNTIFS(Tasks!$A:$A,$A326,Tasks!$B:$B,$B326)*100,0),"")</f>
        <v>33</v>
      </c>
      <c r="G326" s="5">
        <f>IFERROR(ROUND(COUNTIFS(Tasks!$A:$A,$A326,Tasks!$B:$B,$B326,Tasks!$H:$H,"&lt;="&amp;INDEX(Weeks!$D:$D,MATCH($C326,Weeks!$A:$A,0)))/COUNTIFS(Tasks!$A:$A,$A326,Tasks!$B:$B,$B326)*100,0),"")</f>
        <v>0</v>
      </c>
      <c r="H326" t="s">
        <v>91</v>
      </c>
      <c r="I326">
        <f>COUNTIFS(Tasks!$A:$A,$A326,Tasks!$B:$B,$B326,Tasks!$G:$G,"&lt;="&amp;INDEX(Weeks!$D:$D,MATCH($C326,Weeks!$A:$A,0)))-COUNTIFS(Tasks!$A:$A,$A326,Tasks!$B:$B,$B326,Tasks!$I:$I,"&lt;="&amp;INDEX(Weeks!$D:$D,MATCH($C326,Weeks!$A:$A,0)),Tasks!$I:$I,"&lt;&gt;")</f>
        <v>2</v>
      </c>
      <c r="J326">
        <f>COUNTIFS(Tasks!$A:$A,$A326,Tasks!$B:$B,$B326,
Tasks!$I:$I,"&gt;"&amp;IFERROR(INDEX(Weeks!$D:$D,MATCH($C326-1,Weeks!$A:$A,0)),DATE(2000,1,1)),
Tasks!$I:$I,"&lt;="&amp;INDEX(Weeks!$D:$D,MATCH($C326,Weeks!$A:$A,0)),
Tasks!$I:$I,"&lt;&gt;")</f>
        <v>0</v>
      </c>
    </row>
    <row r="327" spans="1:10" ht="15" customHeight="1">
      <c r="A327" t="s">
        <v>93</v>
      </c>
      <c r="B327" t="s">
        <v>94</v>
      </c>
      <c r="C327">
        <v>14</v>
      </c>
      <c r="D327">
        <v>4</v>
      </c>
      <c r="E327">
        <v>1</v>
      </c>
      <c r="F327" s="5">
        <f>IFERROR(ROUND(COUNTIFS(Tasks!$A:$A,$A327,Tasks!$B:$B,$B327,Tasks!$I:$I,"&lt;="&amp;INDEX(Weeks!$D:$D,MATCH($C327,Weeks!$A:$A,0)),Tasks!$I:$I,"&lt;&gt;")/COUNTIFS(Tasks!$A:$A,$A327,Tasks!$B:$B,$B327)*100,0),"")</f>
        <v>33</v>
      </c>
      <c r="G327" s="5">
        <f>IFERROR(ROUND(COUNTIFS(Tasks!$A:$A,$A327,Tasks!$B:$B,$B327,Tasks!$H:$H,"&lt;="&amp;INDEX(Weeks!$D:$D,MATCH($C327,Weeks!$A:$A,0)))/COUNTIFS(Tasks!$A:$A,$A327,Tasks!$B:$B,$B327)*100,0),"")</f>
        <v>0</v>
      </c>
      <c r="H327" t="s">
        <v>91</v>
      </c>
      <c r="I327">
        <f>COUNTIFS(Tasks!$A:$A,$A327,Tasks!$B:$B,$B327,Tasks!$G:$G,"&lt;="&amp;INDEX(Weeks!$D:$D,MATCH($C327,Weeks!$A:$A,0)))-COUNTIFS(Tasks!$A:$A,$A327,Tasks!$B:$B,$B327,Tasks!$I:$I,"&lt;="&amp;INDEX(Weeks!$D:$D,MATCH($C327,Weeks!$A:$A,0)),Tasks!$I:$I,"&lt;&gt;")</f>
        <v>2</v>
      </c>
      <c r="J327">
        <f>COUNTIFS(Tasks!$A:$A,$A327,Tasks!$B:$B,$B327,
Tasks!$I:$I,"&gt;"&amp;IFERROR(INDEX(Weeks!$D:$D,MATCH($C327-1,Weeks!$A:$A,0)),DATE(2000,1,1)),
Tasks!$I:$I,"&lt;="&amp;INDEX(Weeks!$D:$D,MATCH($C327,Weeks!$A:$A,0)),
Tasks!$I:$I,"&lt;&gt;")</f>
        <v>0</v>
      </c>
    </row>
    <row r="328" spans="1:10" ht="15" customHeight="1">
      <c r="A328" t="s">
        <v>93</v>
      </c>
      <c r="B328" t="s">
        <v>94</v>
      </c>
      <c r="C328">
        <v>15</v>
      </c>
      <c r="D328">
        <v>4</v>
      </c>
      <c r="E328">
        <v>2</v>
      </c>
      <c r="F328" s="5">
        <f>IFERROR(ROUND(COUNTIFS(Tasks!$A:$A,$A328,Tasks!$B:$B,$B328,Tasks!$I:$I,"&lt;="&amp;INDEX(Weeks!$D:$D,MATCH($C328,Weeks!$A:$A,0)),Tasks!$I:$I,"&lt;&gt;")/COUNTIFS(Tasks!$A:$A,$A328,Tasks!$B:$B,$B328)*100,0),"")</f>
        <v>33</v>
      </c>
      <c r="G328" s="5">
        <f>IFERROR(ROUND(COUNTIFS(Tasks!$A:$A,$A328,Tasks!$B:$B,$B328,Tasks!$H:$H,"&lt;="&amp;INDEX(Weeks!$D:$D,MATCH($C328,Weeks!$A:$A,0)))/COUNTIFS(Tasks!$A:$A,$A328,Tasks!$B:$B,$B328)*100,0),"")</f>
        <v>0</v>
      </c>
      <c r="H328" t="s">
        <v>91</v>
      </c>
      <c r="I328">
        <f>COUNTIFS(Tasks!$A:$A,$A328,Tasks!$B:$B,$B328,Tasks!$G:$G,"&lt;="&amp;INDEX(Weeks!$D:$D,MATCH($C328,Weeks!$A:$A,0)))-COUNTIFS(Tasks!$A:$A,$A328,Tasks!$B:$B,$B328,Tasks!$I:$I,"&lt;="&amp;INDEX(Weeks!$D:$D,MATCH($C328,Weeks!$A:$A,0)),Tasks!$I:$I,"&lt;&gt;")</f>
        <v>2</v>
      </c>
      <c r="J328">
        <f>COUNTIFS(Tasks!$A:$A,$A328,Tasks!$B:$B,$B328,
Tasks!$I:$I,"&gt;"&amp;IFERROR(INDEX(Weeks!$D:$D,MATCH($C328-1,Weeks!$A:$A,0)),DATE(2000,1,1)),
Tasks!$I:$I,"&lt;="&amp;INDEX(Weeks!$D:$D,MATCH($C328,Weeks!$A:$A,0)),
Tasks!$I:$I,"&lt;&gt;")</f>
        <v>0</v>
      </c>
    </row>
    <row r="329" spans="1:10" ht="15" customHeight="1">
      <c r="A329" t="s">
        <v>93</v>
      </c>
      <c r="B329" t="s">
        <v>94</v>
      </c>
      <c r="C329">
        <v>16</v>
      </c>
      <c r="D329">
        <v>4</v>
      </c>
      <c r="E329">
        <v>3</v>
      </c>
      <c r="F329" s="5">
        <f>IFERROR(ROUND(COUNTIFS(Tasks!$A:$A,$A329,Tasks!$B:$B,$B329,Tasks!$I:$I,"&lt;="&amp;INDEX(Weeks!$D:$D,MATCH($C329,Weeks!$A:$A,0)),Tasks!$I:$I,"&lt;&gt;")/COUNTIFS(Tasks!$A:$A,$A329,Tasks!$B:$B,$B329)*100,0),"")</f>
        <v>33</v>
      </c>
      <c r="G329" s="5">
        <f>IFERROR(ROUND(COUNTIFS(Tasks!$A:$A,$A329,Tasks!$B:$B,$B329,Tasks!$H:$H,"&lt;="&amp;INDEX(Weeks!$D:$D,MATCH($C329,Weeks!$A:$A,0)))/COUNTIFS(Tasks!$A:$A,$A329,Tasks!$B:$B,$B329)*100,0),"")</f>
        <v>0</v>
      </c>
      <c r="H329" t="s">
        <v>91</v>
      </c>
      <c r="I329">
        <f>COUNTIFS(Tasks!$A:$A,$A329,Tasks!$B:$B,$B329,Tasks!$G:$G,"&lt;="&amp;INDEX(Weeks!$D:$D,MATCH($C329,Weeks!$A:$A,0)))-COUNTIFS(Tasks!$A:$A,$A329,Tasks!$B:$B,$B329,Tasks!$I:$I,"&lt;="&amp;INDEX(Weeks!$D:$D,MATCH($C329,Weeks!$A:$A,0)),Tasks!$I:$I,"&lt;&gt;")</f>
        <v>2</v>
      </c>
      <c r="J329">
        <f>COUNTIFS(Tasks!$A:$A,$A329,Tasks!$B:$B,$B329,
Tasks!$I:$I,"&gt;"&amp;IFERROR(INDEX(Weeks!$D:$D,MATCH($C329-1,Weeks!$A:$A,0)),DATE(2000,1,1)),
Tasks!$I:$I,"&lt;="&amp;INDEX(Weeks!$D:$D,MATCH($C329,Weeks!$A:$A,0)),
Tasks!$I:$I,"&lt;&gt;")</f>
        <v>0</v>
      </c>
    </row>
    <row r="330" spans="1:10" ht="15" customHeight="1">
      <c r="A330" t="s">
        <v>93</v>
      </c>
      <c r="B330" t="s">
        <v>94</v>
      </c>
      <c r="C330">
        <v>17</v>
      </c>
      <c r="D330">
        <v>4</v>
      </c>
      <c r="E330">
        <v>4</v>
      </c>
      <c r="F330" s="5">
        <f>IFERROR(ROUND(COUNTIFS(Tasks!$A:$A,$A330,Tasks!$B:$B,$B330,Tasks!$I:$I,"&lt;="&amp;INDEX(Weeks!$D:$D,MATCH($C330,Weeks!$A:$A,0)),Tasks!$I:$I,"&lt;&gt;")/COUNTIFS(Tasks!$A:$A,$A330,Tasks!$B:$B,$B330)*100,0),"")</f>
        <v>33</v>
      </c>
      <c r="G330" s="5">
        <f>IFERROR(ROUND(COUNTIFS(Tasks!$A:$A,$A330,Tasks!$B:$B,$B330,Tasks!$H:$H,"&lt;="&amp;INDEX(Weeks!$D:$D,MATCH($C330,Weeks!$A:$A,0)))/COUNTIFS(Tasks!$A:$A,$A330,Tasks!$B:$B,$B330)*100,0),"")</f>
        <v>0</v>
      </c>
      <c r="H330" t="s">
        <v>91</v>
      </c>
      <c r="I330">
        <f>COUNTIFS(Tasks!$A:$A,$A330,Tasks!$B:$B,$B330,Tasks!$G:$G,"&lt;="&amp;INDEX(Weeks!$D:$D,MATCH($C330,Weeks!$A:$A,0)))-COUNTIFS(Tasks!$A:$A,$A330,Tasks!$B:$B,$B330,Tasks!$I:$I,"&lt;="&amp;INDEX(Weeks!$D:$D,MATCH($C330,Weeks!$A:$A,0)),Tasks!$I:$I,"&lt;&gt;")</f>
        <v>2</v>
      </c>
      <c r="J330">
        <f>COUNTIFS(Tasks!$A:$A,$A330,Tasks!$B:$B,$B330,
Tasks!$I:$I,"&gt;"&amp;IFERROR(INDEX(Weeks!$D:$D,MATCH($C330-1,Weeks!$A:$A,0)),DATE(2000,1,1)),
Tasks!$I:$I,"&lt;="&amp;INDEX(Weeks!$D:$D,MATCH($C330,Weeks!$A:$A,0)),
Tasks!$I:$I,"&lt;&gt;")</f>
        <v>0</v>
      </c>
    </row>
    <row r="331" spans="1:10" ht="15" customHeight="1">
      <c r="A331" t="s">
        <v>93</v>
      </c>
      <c r="B331" t="s">
        <v>94</v>
      </c>
      <c r="C331">
        <v>18</v>
      </c>
      <c r="D331">
        <v>5</v>
      </c>
      <c r="E331">
        <v>1</v>
      </c>
      <c r="F331" s="5">
        <f>IFERROR(ROUND(COUNTIFS(Tasks!$A:$A,$A331,Tasks!$B:$B,$B331,Tasks!$I:$I,"&lt;="&amp;INDEX(Weeks!$D:$D,MATCH($C331,Weeks!$A:$A,0)),Tasks!$I:$I,"&lt;&gt;")/COUNTIFS(Tasks!$A:$A,$A331,Tasks!$B:$B,$B331)*100,0),"")</f>
        <v>33</v>
      </c>
      <c r="G331" s="5">
        <f>IFERROR(ROUND(COUNTIFS(Tasks!$A:$A,$A331,Tasks!$B:$B,$B331,Tasks!$H:$H,"&lt;="&amp;INDEX(Weeks!$D:$D,MATCH($C331,Weeks!$A:$A,0)))/COUNTIFS(Tasks!$A:$A,$A331,Tasks!$B:$B,$B331)*100,0),"")</f>
        <v>0</v>
      </c>
      <c r="H331" t="s">
        <v>91</v>
      </c>
      <c r="I331">
        <f>COUNTIFS(Tasks!$A:$A,$A331,Tasks!$B:$B,$B331,Tasks!$G:$G,"&lt;="&amp;INDEX(Weeks!$D:$D,MATCH($C331,Weeks!$A:$A,0)))-COUNTIFS(Tasks!$A:$A,$A331,Tasks!$B:$B,$B331,Tasks!$I:$I,"&lt;="&amp;INDEX(Weeks!$D:$D,MATCH($C331,Weeks!$A:$A,0)),Tasks!$I:$I,"&lt;&gt;")</f>
        <v>2</v>
      </c>
      <c r="J331">
        <f>COUNTIFS(Tasks!$A:$A,$A331,Tasks!$B:$B,$B331,
Tasks!$I:$I,"&gt;"&amp;IFERROR(INDEX(Weeks!$D:$D,MATCH($C331-1,Weeks!$A:$A,0)),DATE(2000,1,1)),
Tasks!$I:$I,"&lt;="&amp;INDEX(Weeks!$D:$D,MATCH($C331,Weeks!$A:$A,0)),
Tasks!$I:$I,"&lt;&gt;")</f>
        <v>0</v>
      </c>
    </row>
    <row r="332" spans="1:10" ht="15" customHeight="1">
      <c r="A332" t="s">
        <v>93</v>
      </c>
      <c r="B332" t="s">
        <v>94</v>
      </c>
      <c r="C332">
        <v>19</v>
      </c>
      <c r="D332">
        <v>5</v>
      </c>
      <c r="E332">
        <v>2</v>
      </c>
      <c r="F332" s="5">
        <f>IFERROR(ROUND(COUNTIFS(Tasks!$A:$A,$A332,Tasks!$B:$B,$B332,Tasks!$I:$I,"&lt;="&amp;INDEX(Weeks!$D:$D,MATCH($C332,Weeks!$A:$A,0)),Tasks!$I:$I,"&lt;&gt;")/COUNTIFS(Tasks!$A:$A,$A332,Tasks!$B:$B,$B332)*100,0),"")</f>
        <v>33</v>
      </c>
      <c r="G332" s="5">
        <f>IFERROR(ROUND(COUNTIFS(Tasks!$A:$A,$A332,Tasks!$B:$B,$B332,Tasks!$H:$H,"&lt;="&amp;INDEX(Weeks!$D:$D,MATCH($C332,Weeks!$A:$A,0)))/COUNTIFS(Tasks!$A:$A,$A332,Tasks!$B:$B,$B332)*100,0),"")</f>
        <v>0</v>
      </c>
      <c r="H332" t="s">
        <v>91</v>
      </c>
      <c r="I332">
        <f>COUNTIFS(Tasks!$A:$A,$A332,Tasks!$B:$B,$B332,Tasks!$G:$G,"&lt;="&amp;INDEX(Weeks!$D:$D,MATCH($C332,Weeks!$A:$A,0)))-COUNTIFS(Tasks!$A:$A,$A332,Tasks!$B:$B,$B332,Tasks!$I:$I,"&lt;="&amp;INDEX(Weeks!$D:$D,MATCH($C332,Weeks!$A:$A,0)),Tasks!$I:$I,"&lt;&gt;")</f>
        <v>2</v>
      </c>
      <c r="J332">
        <f>COUNTIFS(Tasks!$A:$A,$A332,Tasks!$B:$B,$B332,
Tasks!$I:$I,"&gt;"&amp;IFERROR(INDEX(Weeks!$D:$D,MATCH($C332-1,Weeks!$A:$A,0)),DATE(2000,1,1)),
Tasks!$I:$I,"&lt;="&amp;INDEX(Weeks!$D:$D,MATCH($C332,Weeks!$A:$A,0)),
Tasks!$I:$I,"&lt;&gt;")</f>
        <v>0</v>
      </c>
    </row>
    <row r="333" spans="1:10" ht="15" customHeight="1">
      <c r="A333" t="s">
        <v>93</v>
      </c>
      <c r="B333" t="s">
        <v>94</v>
      </c>
      <c r="C333">
        <v>20</v>
      </c>
      <c r="D333">
        <v>5</v>
      </c>
      <c r="E333">
        <v>3</v>
      </c>
      <c r="F333" s="5">
        <f>IFERROR(ROUND(COUNTIFS(Tasks!$A:$A,$A333,Tasks!$B:$B,$B333,Tasks!$I:$I,"&lt;="&amp;INDEX(Weeks!$D:$D,MATCH($C333,Weeks!$A:$A,0)),Tasks!$I:$I,"&lt;&gt;")/COUNTIFS(Tasks!$A:$A,$A333,Tasks!$B:$B,$B333)*100,0),"")</f>
        <v>33</v>
      </c>
      <c r="G333" s="5">
        <f>IFERROR(ROUND(COUNTIFS(Tasks!$A:$A,$A333,Tasks!$B:$B,$B333,Tasks!$H:$H,"&lt;="&amp;INDEX(Weeks!$D:$D,MATCH($C333,Weeks!$A:$A,0)))/COUNTIFS(Tasks!$A:$A,$A333,Tasks!$B:$B,$B333)*100,0),"")</f>
        <v>0</v>
      </c>
      <c r="H333" t="s">
        <v>91</v>
      </c>
      <c r="I333">
        <f>COUNTIFS(Tasks!$A:$A,$A333,Tasks!$B:$B,$B333,Tasks!$G:$G,"&lt;="&amp;INDEX(Weeks!$D:$D,MATCH($C333,Weeks!$A:$A,0)))-COUNTIFS(Tasks!$A:$A,$A333,Tasks!$B:$B,$B333,Tasks!$I:$I,"&lt;="&amp;INDEX(Weeks!$D:$D,MATCH($C333,Weeks!$A:$A,0)),Tasks!$I:$I,"&lt;&gt;")</f>
        <v>2</v>
      </c>
      <c r="J333">
        <f>COUNTIFS(Tasks!$A:$A,$A333,Tasks!$B:$B,$B333,
Tasks!$I:$I,"&gt;"&amp;IFERROR(INDEX(Weeks!$D:$D,MATCH($C333-1,Weeks!$A:$A,0)),DATE(2000,1,1)),
Tasks!$I:$I,"&lt;="&amp;INDEX(Weeks!$D:$D,MATCH($C333,Weeks!$A:$A,0)),
Tasks!$I:$I,"&lt;&gt;")</f>
        <v>0</v>
      </c>
    </row>
    <row r="334" spans="1:10" ht="15" customHeight="1">
      <c r="A334" t="s">
        <v>93</v>
      </c>
      <c r="B334" t="s">
        <v>94</v>
      </c>
      <c r="C334">
        <v>21</v>
      </c>
      <c r="D334">
        <v>5</v>
      </c>
      <c r="E334">
        <v>4</v>
      </c>
      <c r="F334" s="5">
        <f>IFERROR(ROUND(COUNTIFS(Tasks!$A:$A,$A334,Tasks!$B:$B,$B334,Tasks!$I:$I,"&lt;="&amp;INDEX(Weeks!$D:$D,MATCH($C334,Weeks!$A:$A,0)),Tasks!$I:$I,"&lt;&gt;")/COUNTIFS(Tasks!$A:$A,$A334,Tasks!$B:$B,$B334)*100,0),"")</f>
        <v>33</v>
      </c>
      <c r="G334" s="5">
        <f>IFERROR(ROUND(COUNTIFS(Tasks!$A:$A,$A334,Tasks!$B:$B,$B334,Tasks!$H:$H,"&lt;="&amp;INDEX(Weeks!$D:$D,MATCH($C334,Weeks!$A:$A,0)))/COUNTIFS(Tasks!$A:$A,$A334,Tasks!$B:$B,$B334)*100,0),"")</f>
        <v>0</v>
      </c>
      <c r="H334" t="s">
        <v>91</v>
      </c>
      <c r="I334">
        <f>COUNTIFS(Tasks!$A:$A,$A334,Tasks!$B:$B,$B334,Tasks!$G:$G,"&lt;="&amp;INDEX(Weeks!$D:$D,MATCH($C334,Weeks!$A:$A,0)))-COUNTIFS(Tasks!$A:$A,$A334,Tasks!$B:$B,$B334,Tasks!$I:$I,"&lt;="&amp;INDEX(Weeks!$D:$D,MATCH($C334,Weeks!$A:$A,0)),Tasks!$I:$I,"&lt;&gt;")</f>
        <v>2</v>
      </c>
      <c r="J334">
        <f>COUNTIFS(Tasks!$A:$A,$A334,Tasks!$B:$B,$B334,
Tasks!$I:$I,"&gt;"&amp;IFERROR(INDEX(Weeks!$D:$D,MATCH($C334-1,Weeks!$A:$A,0)),DATE(2000,1,1)),
Tasks!$I:$I,"&lt;="&amp;INDEX(Weeks!$D:$D,MATCH($C334,Weeks!$A:$A,0)),
Tasks!$I:$I,"&lt;&gt;")</f>
        <v>0</v>
      </c>
    </row>
    <row r="335" spans="1:10" ht="15" customHeight="1">
      <c r="A335" t="s">
        <v>93</v>
      </c>
      <c r="B335" t="s">
        <v>94</v>
      </c>
      <c r="C335">
        <v>22</v>
      </c>
      <c r="D335">
        <v>5</v>
      </c>
      <c r="E335">
        <v>5</v>
      </c>
      <c r="F335" s="5">
        <f>IFERROR(ROUND(COUNTIFS(Tasks!$A:$A,$A335,Tasks!$B:$B,$B335,Tasks!$I:$I,"&lt;="&amp;INDEX(Weeks!$D:$D,MATCH($C335,Weeks!$A:$A,0)),Tasks!$I:$I,"&lt;&gt;")/COUNTIFS(Tasks!$A:$A,$A335,Tasks!$B:$B,$B335)*100,0),"")</f>
        <v>33</v>
      </c>
      <c r="G335" s="5">
        <f>IFERROR(ROUND(COUNTIFS(Tasks!$A:$A,$A335,Tasks!$B:$B,$B335,Tasks!$H:$H,"&lt;="&amp;INDEX(Weeks!$D:$D,MATCH($C335,Weeks!$A:$A,0)))/COUNTIFS(Tasks!$A:$A,$A335,Tasks!$B:$B,$B335)*100,0),"")</f>
        <v>17</v>
      </c>
      <c r="H335" t="s">
        <v>91</v>
      </c>
      <c r="I335">
        <f>COUNTIFS(Tasks!$A:$A,$A335,Tasks!$B:$B,$B335,Tasks!$G:$G,"&lt;="&amp;INDEX(Weeks!$D:$D,MATCH($C335,Weeks!$A:$A,0)))-COUNTIFS(Tasks!$A:$A,$A335,Tasks!$B:$B,$B335,Tasks!$I:$I,"&lt;="&amp;INDEX(Weeks!$D:$D,MATCH($C335,Weeks!$A:$A,0)),Tasks!$I:$I,"&lt;&gt;")</f>
        <v>2</v>
      </c>
      <c r="J335">
        <f>COUNTIFS(Tasks!$A:$A,$A335,Tasks!$B:$B,$B335,
Tasks!$I:$I,"&gt;"&amp;IFERROR(INDEX(Weeks!$D:$D,MATCH($C335-1,Weeks!$A:$A,0)),DATE(2000,1,1)),
Tasks!$I:$I,"&lt;="&amp;INDEX(Weeks!$D:$D,MATCH($C335,Weeks!$A:$A,0)),
Tasks!$I:$I,"&lt;&gt;")</f>
        <v>0</v>
      </c>
    </row>
    <row r="336" spans="1:10" ht="15" customHeight="1">
      <c r="A336" t="s">
        <v>93</v>
      </c>
      <c r="B336" t="s">
        <v>94</v>
      </c>
      <c r="C336">
        <v>23</v>
      </c>
      <c r="D336">
        <v>6</v>
      </c>
      <c r="E336">
        <v>1</v>
      </c>
      <c r="F336" s="5">
        <f>IFERROR(ROUND(COUNTIFS(Tasks!$A:$A,$A336,Tasks!$B:$B,$B336,Tasks!$I:$I,"&lt;="&amp;INDEX(Weeks!$D:$D,MATCH($C336,Weeks!$A:$A,0)),Tasks!$I:$I,"&lt;&gt;")/COUNTIFS(Tasks!$A:$A,$A336,Tasks!$B:$B,$B336)*100,0),"")</f>
        <v>33</v>
      </c>
      <c r="G336" s="5">
        <f>IFERROR(ROUND(COUNTIFS(Tasks!$A:$A,$A336,Tasks!$B:$B,$B336,Tasks!$H:$H,"&lt;="&amp;INDEX(Weeks!$D:$D,MATCH($C336,Weeks!$A:$A,0)))/COUNTIFS(Tasks!$A:$A,$A336,Tasks!$B:$B,$B336)*100,0),"")</f>
        <v>17</v>
      </c>
      <c r="H336" t="s">
        <v>91</v>
      </c>
      <c r="I336">
        <f>COUNTIFS(Tasks!$A:$A,$A336,Tasks!$B:$B,$B336,Tasks!$G:$G,"&lt;="&amp;INDEX(Weeks!$D:$D,MATCH($C336,Weeks!$A:$A,0)))-COUNTIFS(Tasks!$A:$A,$A336,Tasks!$B:$B,$B336,Tasks!$I:$I,"&lt;="&amp;INDEX(Weeks!$D:$D,MATCH($C336,Weeks!$A:$A,0)),Tasks!$I:$I,"&lt;&gt;")</f>
        <v>2</v>
      </c>
      <c r="J336">
        <f>COUNTIFS(Tasks!$A:$A,$A336,Tasks!$B:$B,$B336,
Tasks!$I:$I,"&gt;"&amp;IFERROR(INDEX(Weeks!$D:$D,MATCH($C336-1,Weeks!$A:$A,0)),DATE(2000,1,1)),
Tasks!$I:$I,"&lt;="&amp;INDEX(Weeks!$D:$D,MATCH($C336,Weeks!$A:$A,0)),
Tasks!$I:$I,"&lt;&gt;")</f>
        <v>0</v>
      </c>
    </row>
    <row r="337" spans="1:10" ht="15" customHeight="1">
      <c r="A337" t="s">
        <v>93</v>
      </c>
      <c r="B337" t="s">
        <v>94</v>
      </c>
      <c r="C337">
        <v>24</v>
      </c>
      <c r="D337">
        <v>6</v>
      </c>
      <c r="E337">
        <v>2</v>
      </c>
      <c r="F337" s="5">
        <f>IFERROR(ROUND(COUNTIFS(Tasks!$A:$A,$A337,Tasks!$B:$B,$B337,Tasks!$I:$I,"&lt;="&amp;INDEX(Weeks!$D:$D,MATCH($C337,Weeks!$A:$A,0)),Tasks!$I:$I,"&lt;&gt;")/COUNTIFS(Tasks!$A:$A,$A337,Tasks!$B:$B,$B337)*100,0),"")</f>
        <v>50</v>
      </c>
      <c r="G337" s="5">
        <f>IFERROR(ROUND(COUNTIFS(Tasks!$A:$A,$A337,Tasks!$B:$B,$B337,Tasks!$H:$H,"&lt;="&amp;INDEX(Weeks!$D:$D,MATCH($C337,Weeks!$A:$A,0)))/COUNTIFS(Tasks!$A:$A,$A337,Tasks!$B:$B,$B337)*100,0),"")</f>
        <v>17</v>
      </c>
      <c r="H337" t="s">
        <v>91</v>
      </c>
      <c r="I337">
        <f>COUNTIFS(Tasks!$A:$A,$A337,Tasks!$B:$B,$B337,Tasks!$G:$G,"&lt;="&amp;INDEX(Weeks!$D:$D,MATCH($C337,Weeks!$A:$A,0)))-COUNTIFS(Tasks!$A:$A,$A337,Tasks!$B:$B,$B337,Tasks!$I:$I,"&lt;="&amp;INDEX(Weeks!$D:$D,MATCH($C337,Weeks!$A:$A,0)),Tasks!$I:$I,"&lt;&gt;")</f>
        <v>1</v>
      </c>
      <c r="J337">
        <f>COUNTIFS(Tasks!$A:$A,$A337,Tasks!$B:$B,$B337,
Tasks!$I:$I,"&gt;"&amp;IFERROR(INDEX(Weeks!$D:$D,MATCH($C337-1,Weeks!$A:$A,0)),DATE(2000,1,1)),
Tasks!$I:$I,"&lt;="&amp;INDEX(Weeks!$D:$D,MATCH($C337,Weeks!$A:$A,0)),
Tasks!$I:$I,"&lt;&gt;")</f>
        <v>1</v>
      </c>
    </row>
    <row r="338" spans="1:10" ht="15" customHeight="1">
      <c r="A338" t="s">
        <v>93</v>
      </c>
      <c r="B338" t="s">
        <v>94</v>
      </c>
      <c r="C338">
        <v>25</v>
      </c>
      <c r="D338">
        <v>6</v>
      </c>
      <c r="E338">
        <v>3</v>
      </c>
      <c r="F338" s="5">
        <f>IFERROR(ROUND(COUNTIFS(Tasks!$A:$A,$A338,Tasks!$B:$B,$B338,Tasks!$I:$I,"&lt;="&amp;INDEX(Weeks!$D:$D,MATCH($C338,Weeks!$A:$A,0)),Tasks!$I:$I,"&lt;&gt;")/COUNTIFS(Tasks!$A:$A,$A338,Tasks!$B:$B,$B338)*100,0),"")</f>
        <v>50</v>
      </c>
      <c r="G338" s="5">
        <f>IFERROR(ROUND(COUNTIFS(Tasks!$A:$A,$A338,Tasks!$B:$B,$B338,Tasks!$H:$H,"&lt;="&amp;INDEX(Weeks!$D:$D,MATCH($C338,Weeks!$A:$A,0)))/COUNTIFS(Tasks!$A:$A,$A338,Tasks!$B:$B,$B338)*100,0),"")</f>
        <v>17</v>
      </c>
      <c r="I338">
        <f>COUNTIFS(Tasks!$A:$A,$A338,Tasks!$B:$B,$B338,Tasks!$G:$G,"&lt;="&amp;INDEX(Weeks!$D:$D,MATCH($C338,Weeks!$A:$A,0)))-COUNTIFS(Tasks!$A:$A,$A338,Tasks!$B:$B,$B338,Tasks!$I:$I,"&lt;="&amp;INDEX(Weeks!$D:$D,MATCH($C338,Weeks!$A:$A,0)),Tasks!$I:$I,"&lt;&gt;")</f>
        <v>1</v>
      </c>
      <c r="J338">
        <f>COUNTIFS(Tasks!$A:$A,$A338,Tasks!$B:$B,$B338,
Tasks!$I:$I,"&gt;"&amp;IFERROR(INDEX(Weeks!$D:$D,MATCH($C338-1,Weeks!$A:$A,0)),DATE(2000,1,1)),
Tasks!$I:$I,"&lt;="&amp;INDEX(Weeks!$D:$D,MATCH($C338,Weeks!$A:$A,0)),
Tasks!$I:$I,"&lt;&gt;")</f>
        <v>0</v>
      </c>
    </row>
    <row r="339" spans="1:10" ht="15" customHeight="1">
      <c r="A339" t="s">
        <v>93</v>
      </c>
      <c r="B339" t="s">
        <v>94</v>
      </c>
      <c r="C339">
        <v>26</v>
      </c>
      <c r="D339">
        <v>6</v>
      </c>
      <c r="E339">
        <v>4</v>
      </c>
      <c r="F339" s="5">
        <f>IFERROR(ROUND(COUNTIFS(Tasks!$A:$A,$A339,Tasks!$B:$B,$B339,Tasks!$I:$I,"&lt;="&amp;INDEX(Weeks!$D:$D,MATCH($C339,Weeks!$A:$A,0)),Tasks!$I:$I,"&lt;&gt;")/COUNTIFS(Tasks!$A:$A,$A339,Tasks!$B:$B,$B339)*100,0),"")</f>
        <v>50</v>
      </c>
      <c r="G339" s="5">
        <f>IFERROR(ROUND(COUNTIFS(Tasks!$A:$A,$A339,Tasks!$B:$B,$B339,Tasks!$H:$H,"&lt;="&amp;INDEX(Weeks!$D:$D,MATCH($C339,Weeks!$A:$A,0)))/COUNTIFS(Tasks!$A:$A,$A339,Tasks!$B:$B,$B339)*100,0),"")</f>
        <v>17</v>
      </c>
      <c r="I339">
        <f>COUNTIFS(Tasks!$A:$A,$A339,Tasks!$B:$B,$B339,Tasks!$G:$G,"&lt;="&amp;INDEX(Weeks!$D:$D,MATCH($C339,Weeks!$A:$A,0)))-COUNTIFS(Tasks!$A:$A,$A339,Tasks!$B:$B,$B339,Tasks!$I:$I,"&lt;="&amp;INDEX(Weeks!$D:$D,MATCH($C339,Weeks!$A:$A,0)),Tasks!$I:$I,"&lt;&gt;")</f>
        <v>1</v>
      </c>
      <c r="J339">
        <f>COUNTIFS(Tasks!$A:$A,$A339,Tasks!$B:$B,$B339,
Tasks!$I:$I,"&gt;"&amp;IFERROR(INDEX(Weeks!$D:$D,MATCH($C339-1,Weeks!$A:$A,0)),DATE(2000,1,1)),
Tasks!$I:$I,"&lt;="&amp;INDEX(Weeks!$D:$D,MATCH($C339,Weeks!$A:$A,0)),
Tasks!$I:$I,"&lt;&gt;")</f>
        <v>0</v>
      </c>
    </row>
    <row r="340" spans="1:10" ht="15" customHeight="1">
      <c r="A340" t="s">
        <v>93</v>
      </c>
      <c r="B340" t="s">
        <v>94</v>
      </c>
      <c r="C340">
        <v>27</v>
      </c>
      <c r="D340">
        <v>7</v>
      </c>
      <c r="E340">
        <v>1</v>
      </c>
      <c r="F340" s="5">
        <f>IFERROR(ROUND(COUNTIFS(Tasks!$A:$A,$A340,Tasks!$B:$B,$B340,Tasks!$I:$I,"&lt;="&amp;INDEX(Weeks!$D:$D,MATCH($C340,Weeks!$A:$A,0)),Tasks!$I:$I,"&lt;&gt;")/COUNTIFS(Tasks!$A:$A,$A340,Tasks!$B:$B,$B340)*100,0),"")</f>
        <v>50</v>
      </c>
      <c r="G340" s="5">
        <f>IFERROR(ROUND(COUNTIFS(Tasks!$A:$A,$A340,Tasks!$B:$B,$B340,Tasks!$H:$H,"&lt;="&amp;INDEX(Weeks!$D:$D,MATCH($C340,Weeks!$A:$A,0)))/COUNTIFS(Tasks!$A:$A,$A340,Tasks!$B:$B,$B340)*100,0),"")</f>
        <v>17</v>
      </c>
      <c r="I340">
        <f>COUNTIFS(Tasks!$A:$A,$A340,Tasks!$B:$B,$B340,Tasks!$G:$G,"&lt;="&amp;INDEX(Weeks!$D:$D,MATCH($C340,Weeks!$A:$A,0)))-COUNTIFS(Tasks!$A:$A,$A340,Tasks!$B:$B,$B340,Tasks!$I:$I,"&lt;="&amp;INDEX(Weeks!$D:$D,MATCH($C340,Weeks!$A:$A,0)),Tasks!$I:$I,"&lt;&gt;")</f>
        <v>1</v>
      </c>
      <c r="J340">
        <f>COUNTIFS(Tasks!$A:$A,$A340,Tasks!$B:$B,$B340,
Tasks!$I:$I,"&gt;"&amp;IFERROR(INDEX(Weeks!$D:$D,MATCH($C340-1,Weeks!$A:$A,0)),DATE(2000,1,1)),
Tasks!$I:$I,"&lt;="&amp;INDEX(Weeks!$D:$D,MATCH($C340,Weeks!$A:$A,0)),
Tasks!$I:$I,"&lt;&gt;")</f>
        <v>0</v>
      </c>
    </row>
    <row r="341" spans="1:10" ht="15" customHeight="1">
      <c r="A341" t="s">
        <v>93</v>
      </c>
      <c r="B341" t="s">
        <v>94</v>
      </c>
      <c r="C341">
        <v>28</v>
      </c>
      <c r="D341">
        <v>7</v>
      </c>
      <c r="E341">
        <v>2</v>
      </c>
      <c r="F341" s="5">
        <f>IFERROR(ROUND(COUNTIFS(Tasks!$A:$A,$A341,Tasks!$B:$B,$B341,Tasks!$I:$I,"&lt;="&amp;INDEX(Weeks!$D:$D,MATCH($C341,Weeks!$A:$A,0)),Tasks!$I:$I,"&lt;&gt;")/COUNTIFS(Tasks!$A:$A,$A341,Tasks!$B:$B,$B341)*100,0),"")</f>
        <v>50</v>
      </c>
      <c r="G341" s="5">
        <f>IFERROR(ROUND(COUNTIFS(Tasks!$A:$A,$A341,Tasks!$B:$B,$B341,Tasks!$H:$H,"&lt;="&amp;INDEX(Weeks!$D:$D,MATCH($C341,Weeks!$A:$A,0)))/COUNTIFS(Tasks!$A:$A,$A341,Tasks!$B:$B,$B341)*100,0),"")</f>
        <v>17</v>
      </c>
      <c r="I341">
        <f>COUNTIFS(Tasks!$A:$A,$A341,Tasks!$B:$B,$B341,Tasks!$G:$G,"&lt;="&amp;INDEX(Weeks!$D:$D,MATCH($C341,Weeks!$A:$A,0)))-COUNTIFS(Tasks!$A:$A,$A341,Tasks!$B:$B,$B341,Tasks!$I:$I,"&lt;="&amp;INDEX(Weeks!$D:$D,MATCH($C341,Weeks!$A:$A,0)),Tasks!$I:$I,"&lt;&gt;")</f>
        <v>1</v>
      </c>
      <c r="J341">
        <f>COUNTIFS(Tasks!$A:$A,$A341,Tasks!$B:$B,$B341,
Tasks!$I:$I,"&gt;"&amp;IFERROR(INDEX(Weeks!$D:$D,MATCH($C341-1,Weeks!$A:$A,0)),DATE(2000,1,1)),
Tasks!$I:$I,"&lt;="&amp;INDEX(Weeks!$D:$D,MATCH($C341,Weeks!$A:$A,0)),
Tasks!$I:$I,"&lt;&gt;")</f>
        <v>0</v>
      </c>
    </row>
    <row r="342" spans="1:10" ht="15" customHeight="1">
      <c r="A342" t="s">
        <v>93</v>
      </c>
      <c r="B342" t="s">
        <v>94</v>
      </c>
      <c r="C342">
        <v>29</v>
      </c>
      <c r="D342">
        <v>7</v>
      </c>
      <c r="E342">
        <v>3</v>
      </c>
      <c r="F342" s="5">
        <f>IFERROR(ROUND(COUNTIFS(Tasks!$A:$A,$A342,Tasks!$B:$B,$B342,Tasks!$I:$I,"&lt;="&amp;INDEX(Weeks!$D:$D,MATCH($C342,Weeks!$A:$A,0)),Tasks!$I:$I,"&lt;&gt;")/COUNTIFS(Tasks!$A:$A,$A342,Tasks!$B:$B,$B342)*100,0),"")</f>
        <v>50</v>
      </c>
      <c r="G342" s="5">
        <f>IFERROR(ROUND(COUNTIFS(Tasks!$A:$A,$A342,Tasks!$B:$B,$B342,Tasks!$H:$H,"&lt;="&amp;INDEX(Weeks!$D:$D,MATCH($C342,Weeks!$A:$A,0)))/COUNTIFS(Tasks!$A:$A,$A342,Tasks!$B:$B,$B342)*100,0),"")</f>
        <v>17</v>
      </c>
      <c r="I342">
        <f>COUNTIFS(Tasks!$A:$A,$A342,Tasks!$B:$B,$B342,Tasks!$G:$G,"&lt;="&amp;INDEX(Weeks!$D:$D,MATCH($C342,Weeks!$A:$A,0)))-COUNTIFS(Tasks!$A:$A,$A342,Tasks!$B:$B,$B342,Tasks!$I:$I,"&lt;="&amp;INDEX(Weeks!$D:$D,MATCH($C342,Weeks!$A:$A,0)),Tasks!$I:$I,"&lt;&gt;")</f>
        <v>1</v>
      </c>
      <c r="J342">
        <f>COUNTIFS(Tasks!$A:$A,$A342,Tasks!$B:$B,$B342,
Tasks!$I:$I,"&gt;"&amp;IFERROR(INDEX(Weeks!$D:$D,MATCH($C342-1,Weeks!$A:$A,0)),DATE(2000,1,1)),
Tasks!$I:$I,"&lt;="&amp;INDEX(Weeks!$D:$D,MATCH($C342,Weeks!$A:$A,0)),
Tasks!$I:$I,"&lt;&gt;")</f>
        <v>0</v>
      </c>
    </row>
    <row r="343" spans="1:10" ht="15" customHeight="1">
      <c r="A343" t="s">
        <v>93</v>
      </c>
      <c r="B343" t="s">
        <v>94</v>
      </c>
      <c r="C343">
        <v>30</v>
      </c>
      <c r="D343">
        <v>7</v>
      </c>
      <c r="E343">
        <v>4</v>
      </c>
      <c r="F343" s="5">
        <f>IFERROR(ROUND(COUNTIFS(Tasks!$A:$A,$A343,Tasks!$B:$B,$B343,Tasks!$I:$I,"&lt;="&amp;INDEX(Weeks!$D:$D,MATCH($C343,Weeks!$A:$A,0)),Tasks!$I:$I,"&lt;&gt;")/COUNTIFS(Tasks!$A:$A,$A343,Tasks!$B:$B,$B343)*100,0),"")</f>
        <v>50</v>
      </c>
      <c r="G343" s="5">
        <f>IFERROR(ROUND(COUNTIFS(Tasks!$A:$A,$A343,Tasks!$B:$B,$B343,Tasks!$H:$H,"&lt;="&amp;INDEX(Weeks!$D:$D,MATCH($C343,Weeks!$A:$A,0)))/COUNTIFS(Tasks!$A:$A,$A343,Tasks!$B:$B,$B343)*100,0),"")</f>
        <v>17</v>
      </c>
      <c r="I343">
        <f>COUNTIFS(Tasks!$A:$A,$A343,Tasks!$B:$B,$B343,Tasks!$G:$G,"&lt;="&amp;INDEX(Weeks!$D:$D,MATCH($C343,Weeks!$A:$A,0)))-COUNTIFS(Tasks!$A:$A,$A343,Tasks!$B:$B,$B343,Tasks!$I:$I,"&lt;="&amp;INDEX(Weeks!$D:$D,MATCH($C343,Weeks!$A:$A,0)),Tasks!$I:$I,"&lt;&gt;")</f>
        <v>1</v>
      </c>
      <c r="J343">
        <f>COUNTIFS(Tasks!$A:$A,$A343,Tasks!$B:$B,$B343,
Tasks!$I:$I,"&gt;"&amp;IFERROR(INDEX(Weeks!$D:$D,MATCH($C343-1,Weeks!$A:$A,0)),DATE(2000,1,1)),
Tasks!$I:$I,"&lt;="&amp;INDEX(Weeks!$D:$D,MATCH($C343,Weeks!$A:$A,0)),
Tasks!$I:$I,"&lt;&gt;")</f>
        <v>0</v>
      </c>
    </row>
    <row r="344" spans="1:10" ht="15" customHeight="1">
      <c r="A344" t="s">
        <v>93</v>
      </c>
      <c r="B344" t="s">
        <v>94</v>
      </c>
      <c r="C344">
        <v>31</v>
      </c>
      <c r="D344">
        <v>8</v>
      </c>
      <c r="E344">
        <v>1</v>
      </c>
      <c r="F344" s="5">
        <f>IFERROR(ROUND(COUNTIFS(Tasks!$A:$A,$A344,Tasks!$B:$B,$B344,Tasks!$I:$I,"&lt;="&amp;INDEX(Weeks!$D:$D,MATCH($C344,Weeks!$A:$A,0)),Tasks!$I:$I,"&lt;&gt;")/COUNTIFS(Tasks!$A:$A,$A344,Tasks!$B:$B,$B344)*100,0),"")</f>
        <v>50</v>
      </c>
      <c r="G344" s="5">
        <f>IFERROR(ROUND(COUNTIFS(Tasks!$A:$A,$A344,Tasks!$B:$B,$B344,Tasks!$H:$H,"&lt;="&amp;INDEX(Weeks!$D:$D,MATCH($C344,Weeks!$A:$A,0)))/COUNTIFS(Tasks!$A:$A,$A344,Tasks!$B:$B,$B344)*100,0),"")</f>
        <v>17</v>
      </c>
      <c r="I344">
        <f>COUNTIFS(Tasks!$A:$A,$A344,Tasks!$B:$B,$B344,Tasks!$G:$G,"&lt;="&amp;INDEX(Weeks!$D:$D,MATCH($C344,Weeks!$A:$A,0)))-COUNTIFS(Tasks!$A:$A,$A344,Tasks!$B:$B,$B344,Tasks!$I:$I,"&lt;="&amp;INDEX(Weeks!$D:$D,MATCH($C344,Weeks!$A:$A,0)),Tasks!$I:$I,"&lt;&gt;")</f>
        <v>1</v>
      </c>
      <c r="J344">
        <f>COUNTIFS(Tasks!$A:$A,$A344,Tasks!$B:$B,$B344,
Tasks!$I:$I,"&gt;"&amp;IFERROR(INDEX(Weeks!$D:$D,MATCH($C344-1,Weeks!$A:$A,0)),DATE(2000,1,1)),
Tasks!$I:$I,"&lt;="&amp;INDEX(Weeks!$D:$D,MATCH($C344,Weeks!$A:$A,0)),
Tasks!$I:$I,"&lt;&gt;")</f>
        <v>0</v>
      </c>
    </row>
    <row r="345" spans="1:10" ht="15" customHeight="1">
      <c r="A345" t="s">
        <v>93</v>
      </c>
      <c r="B345" t="s">
        <v>94</v>
      </c>
      <c r="C345">
        <v>32</v>
      </c>
      <c r="D345">
        <v>8</v>
      </c>
      <c r="E345">
        <v>2</v>
      </c>
      <c r="F345" s="5">
        <f>IFERROR(ROUND(COUNTIFS(Tasks!$A:$A,$A345,Tasks!$B:$B,$B345,Tasks!$I:$I,"&lt;="&amp;INDEX(Weeks!$D:$D,MATCH($C345,Weeks!$A:$A,0)),Tasks!$I:$I,"&lt;&gt;")/COUNTIFS(Tasks!$A:$A,$A345,Tasks!$B:$B,$B345)*100,0),"")</f>
        <v>50</v>
      </c>
      <c r="G345" s="5">
        <f>IFERROR(ROUND(COUNTIFS(Tasks!$A:$A,$A345,Tasks!$B:$B,$B345,Tasks!$H:$H,"&lt;="&amp;INDEX(Weeks!$D:$D,MATCH($C345,Weeks!$A:$A,0)))/COUNTIFS(Tasks!$A:$A,$A345,Tasks!$B:$B,$B345)*100,0),"")</f>
        <v>17</v>
      </c>
      <c r="I345">
        <f>COUNTIFS(Tasks!$A:$A,$A345,Tasks!$B:$B,$B345,Tasks!$G:$G,"&lt;="&amp;INDEX(Weeks!$D:$D,MATCH($C345,Weeks!$A:$A,0)))-COUNTIFS(Tasks!$A:$A,$A345,Tasks!$B:$B,$B345,Tasks!$I:$I,"&lt;="&amp;INDEX(Weeks!$D:$D,MATCH($C345,Weeks!$A:$A,0)),Tasks!$I:$I,"&lt;&gt;")</f>
        <v>1</v>
      </c>
      <c r="J345">
        <f>COUNTIFS(Tasks!$A:$A,$A345,Tasks!$B:$B,$B345,
Tasks!$I:$I,"&gt;"&amp;IFERROR(INDEX(Weeks!$D:$D,MATCH($C345-1,Weeks!$A:$A,0)),DATE(2000,1,1)),
Tasks!$I:$I,"&lt;="&amp;INDEX(Weeks!$D:$D,MATCH($C345,Weeks!$A:$A,0)),
Tasks!$I:$I,"&lt;&gt;")</f>
        <v>0</v>
      </c>
    </row>
    <row r="346" spans="1:10" ht="15" customHeight="1">
      <c r="A346" t="s">
        <v>93</v>
      </c>
      <c r="B346" t="s">
        <v>94</v>
      </c>
      <c r="C346">
        <v>33</v>
      </c>
      <c r="D346">
        <v>8</v>
      </c>
      <c r="E346">
        <v>3</v>
      </c>
      <c r="F346" s="5">
        <f>IFERROR(ROUND(COUNTIFS(Tasks!$A:$A,$A346,Tasks!$B:$B,$B346,Tasks!$I:$I,"&lt;="&amp;INDEX(Weeks!$D:$D,MATCH($C346,Weeks!$A:$A,0)),Tasks!$I:$I,"&lt;&gt;")/COUNTIFS(Tasks!$A:$A,$A346,Tasks!$B:$B,$B346)*100,0),"")</f>
        <v>50</v>
      </c>
      <c r="G346" s="5">
        <f>IFERROR(ROUND(COUNTIFS(Tasks!$A:$A,$A346,Tasks!$B:$B,$B346,Tasks!$H:$H,"&lt;="&amp;INDEX(Weeks!$D:$D,MATCH($C346,Weeks!$A:$A,0)))/COUNTIFS(Tasks!$A:$A,$A346,Tasks!$B:$B,$B346)*100,0),"")</f>
        <v>17</v>
      </c>
      <c r="I346">
        <f>COUNTIFS(Tasks!$A:$A,$A346,Tasks!$B:$B,$B346,Tasks!$G:$G,"&lt;="&amp;INDEX(Weeks!$D:$D,MATCH($C346,Weeks!$A:$A,0)))-COUNTIFS(Tasks!$A:$A,$A346,Tasks!$B:$B,$B346,Tasks!$I:$I,"&lt;="&amp;INDEX(Weeks!$D:$D,MATCH($C346,Weeks!$A:$A,0)),Tasks!$I:$I,"&lt;&gt;")</f>
        <v>1</v>
      </c>
      <c r="J346">
        <f>COUNTIFS(Tasks!$A:$A,$A346,Tasks!$B:$B,$B346,
Tasks!$I:$I,"&gt;"&amp;IFERROR(INDEX(Weeks!$D:$D,MATCH($C346-1,Weeks!$A:$A,0)),DATE(2000,1,1)),
Tasks!$I:$I,"&lt;="&amp;INDEX(Weeks!$D:$D,MATCH($C346,Weeks!$A:$A,0)),
Tasks!$I:$I,"&lt;&gt;")</f>
        <v>0</v>
      </c>
    </row>
    <row r="347" spans="1:10" ht="15" customHeight="1">
      <c r="A347" t="s">
        <v>93</v>
      </c>
      <c r="B347" t="s">
        <v>94</v>
      </c>
      <c r="C347">
        <v>34</v>
      </c>
      <c r="D347">
        <v>8</v>
      </c>
      <c r="E347">
        <v>4</v>
      </c>
      <c r="F347" s="5">
        <f>IFERROR(ROUND(COUNTIFS(Tasks!$A:$A,$A347,Tasks!$B:$B,$B347,Tasks!$I:$I,"&lt;="&amp;INDEX(Weeks!$D:$D,MATCH($C347,Weeks!$A:$A,0)),Tasks!$I:$I,"&lt;&gt;")/COUNTIFS(Tasks!$A:$A,$A347,Tasks!$B:$B,$B347)*100,0),"")</f>
        <v>50</v>
      </c>
      <c r="G347" s="5">
        <f>IFERROR(ROUND(COUNTIFS(Tasks!$A:$A,$A347,Tasks!$B:$B,$B347,Tasks!$H:$H,"&lt;="&amp;INDEX(Weeks!$D:$D,MATCH($C347,Weeks!$A:$A,0)))/COUNTIFS(Tasks!$A:$A,$A347,Tasks!$B:$B,$B347)*100,0),"")</f>
        <v>17</v>
      </c>
      <c r="I347">
        <f>COUNTIFS(Tasks!$A:$A,$A347,Tasks!$B:$B,$B347,Tasks!$G:$G,"&lt;="&amp;INDEX(Weeks!$D:$D,MATCH($C347,Weeks!$A:$A,0)))-COUNTIFS(Tasks!$A:$A,$A347,Tasks!$B:$B,$B347,Tasks!$I:$I,"&lt;="&amp;INDEX(Weeks!$D:$D,MATCH($C347,Weeks!$A:$A,0)),Tasks!$I:$I,"&lt;&gt;")</f>
        <v>1</v>
      </c>
      <c r="J347">
        <f>COUNTIFS(Tasks!$A:$A,$A347,Tasks!$B:$B,$B347,
Tasks!$I:$I,"&gt;"&amp;IFERROR(INDEX(Weeks!$D:$D,MATCH($C347-1,Weeks!$A:$A,0)),DATE(2000,1,1)),
Tasks!$I:$I,"&lt;="&amp;INDEX(Weeks!$D:$D,MATCH($C347,Weeks!$A:$A,0)),
Tasks!$I:$I,"&lt;&gt;")</f>
        <v>0</v>
      </c>
    </row>
    <row r="348" spans="1:10" ht="15" customHeight="1">
      <c r="A348" t="s">
        <v>93</v>
      </c>
      <c r="B348" t="s">
        <v>94</v>
      </c>
      <c r="C348">
        <v>35</v>
      </c>
      <c r="D348">
        <v>8</v>
      </c>
      <c r="E348">
        <v>5</v>
      </c>
      <c r="F348" s="5">
        <f>IFERROR(ROUND(COUNTIFS(Tasks!$A:$A,$A348,Tasks!$B:$B,$B348,Tasks!$I:$I,"&lt;="&amp;INDEX(Weeks!$D:$D,MATCH($C348,Weeks!$A:$A,0)),Tasks!$I:$I,"&lt;&gt;")/COUNTIFS(Tasks!$A:$A,$A348,Tasks!$B:$B,$B348)*100,0),"")</f>
        <v>50</v>
      </c>
      <c r="G348" s="5">
        <f>IFERROR(ROUND(COUNTIFS(Tasks!$A:$A,$A348,Tasks!$B:$B,$B348,Tasks!$H:$H,"&lt;="&amp;INDEX(Weeks!$D:$D,MATCH($C348,Weeks!$A:$A,0)))/COUNTIFS(Tasks!$A:$A,$A348,Tasks!$B:$B,$B348)*100,0),"")</f>
        <v>17</v>
      </c>
      <c r="I348">
        <f>COUNTIFS(Tasks!$A:$A,$A348,Tasks!$B:$B,$B348,Tasks!$G:$G,"&lt;="&amp;INDEX(Weeks!$D:$D,MATCH($C348,Weeks!$A:$A,0)))-COUNTIFS(Tasks!$A:$A,$A348,Tasks!$B:$B,$B348,Tasks!$I:$I,"&lt;="&amp;INDEX(Weeks!$D:$D,MATCH($C348,Weeks!$A:$A,0)),Tasks!$I:$I,"&lt;&gt;")</f>
        <v>1</v>
      </c>
      <c r="J348">
        <f>COUNTIFS(Tasks!$A:$A,$A348,Tasks!$B:$B,$B348,
Tasks!$I:$I,"&gt;"&amp;IFERROR(INDEX(Weeks!$D:$D,MATCH($C348-1,Weeks!$A:$A,0)),DATE(2000,1,1)),
Tasks!$I:$I,"&lt;="&amp;INDEX(Weeks!$D:$D,MATCH($C348,Weeks!$A:$A,0)),
Tasks!$I:$I,"&lt;&gt;")</f>
        <v>0</v>
      </c>
    </row>
    <row r="349" spans="1:10" ht="15" customHeight="1">
      <c r="A349" t="s">
        <v>93</v>
      </c>
      <c r="B349" t="s">
        <v>94</v>
      </c>
      <c r="C349">
        <v>36</v>
      </c>
      <c r="D349">
        <v>9</v>
      </c>
      <c r="E349">
        <v>1</v>
      </c>
      <c r="F349" s="5">
        <f>IFERROR(ROUND(COUNTIFS(Tasks!$A:$A,$A349,Tasks!$B:$B,$B349,Tasks!$I:$I,"&lt;="&amp;INDEX(Weeks!$D:$D,MATCH($C349,Weeks!$A:$A,0)),Tasks!$I:$I,"&lt;&gt;")/COUNTIFS(Tasks!$A:$A,$A349,Tasks!$B:$B,$B349)*100,0),"")</f>
        <v>50</v>
      </c>
      <c r="G349" s="5">
        <f>IFERROR(ROUND(COUNTIFS(Tasks!$A:$A,$A349,Tasks!$B:$B,$B349,Tasks!$H:$H,"&lt;="&amp;INDEX(Weeks!$D:$D,MATCH($C349,Weeks!$A:$A,0)))/COUNTIFS(Tasks!$A:$A,$A349,Tasks!$B:$B,$B349)*100,0),"")</f>
        <v>17</v>
      </c>
      <c r="I349">
        <f>COUNTIFS(Tasks!$A:$A,$A349,Tasks!$B:$B,$B349,Tasks!$G:$G,"&lt;="&amp;INDEX(Weeks!$D:$D,MATCH($C349,Weeks!$A:$A,0)))-COUNTIFS(Tasks!$A:$A,$A349,Tasks!$B:$B,$B349,Tasks!$I:$I,"&lt;="&amp;INDEX(Weeks!$D:$D,MATCH($C349,Weeks!$A:$A,0)),Tasks!$I:$I,"&lt;&gt;")</f>
        <v>1</v>
      </c>
      <c r="J349">
        <f>COUNTIFS(Tasks!$A:$A,$A349,Tasks!$B:$B,$B349,
Tasks!$I:$I,"&gt;"&amp;IFERROR(INDEX(Weeks!$D:$D,MATCH($C349-1,Weeks!$A:$A,0)),DATE(2000,1,1)),
Tasks!$I:$I,"&lt;="&amp;INDEX(Weeks!$D:$D,MATCH($C349,Weeks!$A:$A,0)),
Tasks!$I:$I,"&lt;&gt;")</f>
        <v>0</v>
      </c>
    </row>
    <row r="350" spans="1:10" ht="15" customHeight="1">
      <c r="A350" t="s">
        <v>93</v>
      </c>
      <c r="B350" t="s">
        <v>94</v>
      </c>
      <c r="C350">
        <v>37</v>
      </c>
      <c r="D350">
        <v>9</v>
      </c>
      <c r="E350">
        <v>2</v>
      </c>
      <c r="F350" s="5">
        <f>IFERROR(ROUND(COUNTIFS(Tasks!$A:$A,$A350,Tasks!$B:$B,$B350,Tasks!$I:$I,"&lt;="&amp;INDEX(Weeks!$D:$D,MATCH($C350,Weeks!$A:$A,0)),Tasks!$I:$I,"&lt;&gt;")/COUNTIFS(Tasks!$A:$A,$A350,Tasks!$B:$B,$B350)*100,0),"")</f>
        <v>50</v>
      </c>
      <c r="G350" s="5">
        <f>IFERROR(ROUND(COUNTIFS(Tasks!$A:$A,$A350,Tasks!$B:$B,$B350,Tasks!$H:$H,"&lt;="&amp;INDEX(Weeks!$D:$D,MATCH($C350,Weeks!$A:$A,0)))/COUNTIFS(Tasks!$A:$A,$A350,Tasks!$B:$B,$B350)*100,0),"")</f>
        <v>17</v>
      </c>
      <c r="I350">
        <f>COUNTIFS(Tasks!$A:$A,$A350,Tasks!$B:$B,$B350,Tasks!$G:$G,"&lt;="&amp;INDEX(Weeks!$D:$D,MATCH($C350,Weeks!$A:$A,0)))-COUNTIFS(Tasks!$A:$A,$A350,Tasks!$B:$B,$B350,Tasks!$I:$I,"&lt;="&amp;INDEX(Weeks!$D:$D,MATCH($C350,Weeks!$A:$A,0)),Tasks!$I:$I,"&lt;&gt;")</f>
        <v>1</v>
      </c>
      <c r="J350">
        <f>COUNTIFS(Tasks!$A:$A,$A350,Tasks!$B:$B,$B350,
Tasks!$I:$I,"&gt;"&amp;IFERROR(INDEX(Weeks!$D:$D,MATCH($C350-1,Weeks!$A:$A,0)),DATE(2000,1,1)),
Tasks!$I:$I,"&lt;="&amp;INDEX(Weeks!$D:$D,MATCH($C350,Weeks!$A:$A,0)),
Tasks!$I:$I,"&lt;&gt;")</f>
        <v>0</v>
      </c>
    </row>
    <row r="351" spans="1:10" ht="15" customHeight="1">
      <c r="A351" t="s">
        <v>93</v>
      </c>
      <c r="B351" t="s">
        <v>94</v>
      </c>
      <c r="C351">
        <v>38</v>
      </c>
      <c r="D351">
        <v>9</v>
      </c>
      <c r="E351">
        <v>3</v>
      </c>
      <c r="F351" s="5">
        <f>IFERROR(ROUND(COUNTIFS(Tasks!$A:$A,$A351,Tasks!$B:$B,$B351,Tasks!$I:$I,"&lt;="&amp;INDEX(Weeks!$D:$D,MATCH($C351,Weeks!$A:$A,0)),Tasks!$I:$I,"&lt;&gt;")/COUNTIFS(Tasks!$A:$A,$A351,Tasks!$B:$B,$B351)*100,0),"")</f>
        <v>50</v>
      </c>
      <c r="G351" s="5">
        <f>IFERROR(ROUND(COUNTIFS(Tasks!$A:$A,$A351,Tasks!$B:$B,$B351,Tasks!$H:$H,"&lt;="&amp;INDEX(Weeks!$D:$D,MATCH($C351,Weeks!$A:$A,0)))/COUNTIFS(Tasks!$A:$A,$A351,Tasks!$B:$B,$B351)*100,0),"")</f>
        <v>17</v>
      </c>
      <c r="I351">
        <f>COUNTIFS(Tasks!$A:$A,$A351,Tasks!$B:$B,$B351,Tasks!$G:$G,"&lt;="&amp;INDEX(Weeks!$D:$D,MATCH($C351,Weeks!$A:$A,0)))-COUNTIFS(Tasks!$A:$A,$A351,Tasks!$B:$B,$B351,Tasks!$I:$I,"&lt;="&amp;INDEX(Weeks!$D:$D,MATCH($C351,Weeks!$A:$A,0)),Tasks!$I:$I,"&lt;&gt;")</f>
        <v>1</v>
      </c>
      <c r="J351">
        <f>COUNTIFS(Tasks!$A:$A,$A351,Tasks!$B:$B,$B351,
Tasks!$I:$I,"&gt;"&amp;IFERROR(INDEX(Weeks!$D:$D,MATCH($C351-1,Weeks!$A:$A,0)),DATE(2000,1,1)),
Tasks!$I:$I,"&lt;="&amp;INDEX(Weeks!$D:$D,MATCH($C351,Weeks!$A:$A,0)),
Tasks!$I:$I,"&lt;&gt;")</f>
        <v>0</v>
      </c>
    </row>
    <row r="352" spans="1:10" ht="15" customHeight="1">
      <c r="A352" t="s">
        <v>93</v>
      </c>
      <c r="B352" t="s">
        <v>94</v>
      </c>
      <c r="C352">
        <v>39</v>
      </c>
      <c r="D352">
        <v>9</v>
      </c>
      <c r="E352">
        <v>4</v>
      </c>
      <c r="F352" s="5">
        <f>IFERROR(ROUND(COUNTIFS(Tasks!$A:$A,$A352,Tasks!$B:$B,$B352,Tasks!$I:$I,"&lt;="&amp;INDEX(Weeks!$D:$D,MATCH($C352,Weeks!$A:$A,0)),Tasks!$I:$I,"&lt;&gt;")/COUNTIFS(Tasks!$A:$A,$A352,Tasks!$B:$B,$B352)*100,0),"")</f>
        <v>50</v>
      </c>
      <c r="G352" s="5">
        <f>IFERROR(ROUND(COUNTIFS(Tasks!$A:$A,$A352,Tasks!$B:$B,$B352,Tasks!$H:$H,"&lt;="&amp;INDEX(Weeks!$D:$D,MATCH($C352,Weeks!$A:$A,0)))/COUNTIFS(Tasks!$A:$A,$A352,Tasks!$B:$B,$B352)*100,0),"")</f>
        <v>17</v>
      </c>
      <c r="I352">
        <f>COUNTIFS(Tasks!$A:$A,$A352,Tasks!$B:$B,$B352,Tasks!$G:$G,"&lt;="&amp;INDEX(Weeks!$D:$D,MATCH($C352,Weeks!$A:$A,0)))-COUNTIFS(Tasks!$A:$A,$A352,Tasks!$B:$B,$B352,Tasks!$I:$I,"&lt;="&amp;INDEX(Weeks!$D:$D,MATCH($C352,Weeks!$A:$A,0)),Tasks!$I:$I,"&lt;&gt;")</f>
        <v>1</v>
      </c>
      <c r="J352">
        <f>COUNTIFS(Tasks!$A:$A,$A352,Tasks!$B:$B,$B352,
Tasks!$I:$I,"&gt;"&amp;IFERROR(INDEX(Weeks!$D:$D,MATCH($C352-1,Weeks!$A:$A,0)),DATE(2000,1,1)),
Tasks!$I:$I,"&lt;="&amp;INDEX(Weeks!$D:$D,MATCH($C352,Weeks!$A:$A,0)),
Tasks!$I:$I,"&lt;&gt;")</f>
        <v>0</v>
      </c>
    </row>
    <row r="353" spans="1:10" ht="15" customHeight="1">
      <c r="A353" t="s">
        <v>93</v>
      </c>
      <c r="B353" t="s">
        <v>94</v>
      </c>
      <c r="C353">
        <v>40</v>
      </c>
      <c r="D353">
        <v>10</v>
      </c>
      <c r="E353">
        <v>1</v>
      </c>
      <c r="F353" s="5">
        <f>IFERROR(ROUND(COUNTIFS(Tasks!$A:$A,$A353,Tasks!$B:$B,$B353,Tasks!$I:$I,"&lt;="&amp;INDEX(Weeks!$D:$D,MATCH($C353,Weeks!$A:$A,0)),Tasks!$I:$I,"&lt;&gt;")/COUNTIFS(Tasks!$A:$A,$A353,Tasks!$B:$B,$B353)*100,0),"")</f>
        <v>50</v>
      </c>
      <c r="G353" s="5">
        <f>IFERROR(ROUND(COUNTIFS(Tasks!$A:$A,$A353,Tasks!$B:$B,$B353,Tasks!$H:$H,"&lt;="&amp;INDEX(Weeks!$D:$D,MATCH($C353,Weeks!$A:$A,0)))/COUNTIFS(Tasks!$A:$A,$A353,Tasks!$B:$B,$B353)*100,0),"")</f>
        <v>17</v>
      </c>
      <c r="I353">
        <f>COUNTIFS(Tasks!$A:$A,$A353,Tasks!$B:$B,$B353,Tasks!$G:$G,"&lt;="&amp;INDEX(Weeks!$D:$D,MATCH($C353,Weeks!$A:$A,0)))-COUNTIFS(Tasks!$A:$A,$A353,Tasks!$B:$B,$B353,Tasks!$I:$I,"&lt;="&amp;INDEX(Weeks!$D:$D,MATCH($C353,Weeks!$A:$A,0)),Tasks!$I:$I,"&lt;&gt;")</f>
        <v>1</v>
      </c>
      <c r="J353">
        <f>COUNTIFS(Tasks!$A:$A,$A353,Tasks!$B:$B,$B353,
Tasks!$I:$I,"&gt;"&amp;IFERROR(INDEX(Weeks!$D:$D,MATCH($C353-1,Weeks!$A:$A,0)),DATE(2000,1,1)),
Tasks!$I:$I,"&lt;="&amp;INDEX(Weeks!$D:$D,MATCH($C353,Weeks!$A:$A,0)),
Tasks!$I:$I,"&lt;&gt;")</f>
        <v>0</v>
      </c>
    </row>
    <row r="354" spans="1:10" ht="15" customHeight="1">
      <c r="A354" t="s">
        <v>93</v>
      </c>
      <c r="B354" t="s">
        <v>94</v>
      </c>
      <c r="C354">
        <v>41</v>
      </c>
      <c r="D354">
        <v>10</v>
      </c>
      <c r="E354">
        <v>2</v>
      </c>
      <c r="F354" s="5">
        <f>IFERROR(ROUND(COUNTIFS(Tasks!$A:$A,$A354,Tasks!$B:$B,$B354,Tasks!$I:$I,"&lt;="&amp;INDEX(Weeks!$D:$D,MATCH($C354,Weeks!$A:$A,0)),Tasks!$I:$I,"&lt;&gt;")/COUNTIFS(Tasks!$A:$A,$A354,Tasks!$B:$B,$B354)*100,0),"")</f>
        <v>50</v>
      </c>
      <c r="G354" s="5">
        <f>IFERROR(ROUND(COUNTIFS(Tasks!$A:$A,$A354,Tasks!$B:$B,$B354,Tasks!$H:$H,"&lt;="&amp;INDEX(Weeks!$D:$D,MATCH($C354,Weeks!$A:$A,0)))/COUNTIFS(Tasks!$A:$A,$A354,Tasks!$B:$B,$B354)*100,0),"")</f>
        <v>17</v>
      </c>
      <c r="I354">
        <f>COUNTIFS(Tasks!$A:$A,$A354,Tasks!$B:$B,$B354,Tasks!$G:$G,"&lt;="&amp;INDEX(Weeks!$D:$D,MATCH($C354,Weeks!$A:$A,0)))-COUNTIFS(Tasks!$A:$A,$A354,Tasks!$B:$B,$B354,Tasks!$I:$I,"&lt;="&amp;INDEX(Weeks!$D:$D,MATCH($C354,Weeks!$A:$A,0)),Tasks!$I:$I,"&lt;&gt;")</f>
        <v>1</v>
      </c>
      <c r="J354">
        <f>COUNTIFS(Tasks!$A:$A,$A354,Tasks!$B:$B,$B354,
Tasks!$I:$I,"&gt;"&amp;IFERROR(INDEX(Weeks!$D:$D,MATCH($C354-1,Weeks!$A:$A,0)),DATE(2000,1,1)),
Tasks!$I:$I,"&lt;="&amp;INDEX(Weeks!$D:$D,MATCH($C354,Weeks!$A:$A,0)),
Tasks!$I:$I,"&lt;&gt;")</f>
        <v>0</v>
      </c>
    </row>
    <row r="355" spans="1:10" ht="15" customHeight="1">
      <c r="A355" t="s">
        <v>93</v>
      </c>
      <c r="B355" t="s">
        <v>94</v>
      </c>
      <c r="C355">
        <v>42</v>
      </c>
      <c r="D355">
        <v>10</v>
      </c>
      <c r="E355">
        <v>3</v>
      </c>
      <c r="F355" s="5">
        <f>IFERROR(ROUND(COUNTIFS(Tasks!$A:$A,$A355,Tasks!$B:$B,$B355,Tasks!$I:$I,"&lt;="&amp;INDEX(Weeks!$D:$D,MATCH($C355,Weeks!$A:$A,0)),Tasks!$I:$I,"&lt;&gt;")/COUNTIFS(Tasks!$A:$A,$A355,Tasks!$B:$B,$B355)*100,0),"")</f>
        <v>50</v>
      </c>
      <c r="G355" s="5">
        <f>IFERROR(ROUND(COUNTIFS(Tasks!$A:$A,$A355,Tasks!$B:$B,$B355,Tasks!$H:$H,"&lt;="&amp;INDEX(Weeks!$D:$D,MATCH($C355,Weeks!$A:$A,0)))/COUNTIFS(Tasks!$A:$A,$A355,Tasks!$B:$B,$B355)*100,0),"")</f>
        <v>17</v>
      </c>
      <c r="I355">
        <f>COUNTIFS(Tasks!$A:$A,$A355,Tasks!$B:$B,$B355,Tasks!$G:$G,"&lt;="&amp;INDEX(Weeks!$D:$D,MATCH($C355,Weeks!$A:$A,0)))-COUNTIFS(Tasks!$A:$A,$A355,Tasks!$B:$B,$B355,Tasks!$I:$I,"&lt;="&amp;INDEX(Weeks!$D:$D,MATCH($C355,Weeks!$A:$A,0)),Tasks!$I:$I,"&lt;&gt;")</f>
        <v>1</v>
      </c>
      <c r="J355">
        <f>COUNTIFS(Tasks!$A:$A,$A355,Tasks!$B:$B,$B355,
Tasks!$I:$I,"&gt;"&amp;IFERROR(INDEX(Weeks!$D:$D,MATCH($C355-1,Weeks!$A:$A,0)),DATE(2000,1,1)),
Tasks!$I:$I,"&lt;="&amp;INDEX(Weeks!$D:$D,MATCH($C355,Weeks!$A:$A,0)),
Tasks!$I:$I,"&lt;&gt;")</f>
        <v>0</v>
      </c>
    </row>
    <row r="356" spans="1:10" ht="15" customHeight="1">
      <c r="A356" t="s">
        <v>93</v>
      </c>
      <c r="B356" t="s">
        <v>94</v>
      </c>
      <c r="C356">
        <v>43</v>
      </c>
      <c r="D356">
        <v>10</v>
      </c>
      <c r="E356">
        <v>4</v>
      </c>
      <c r="F356" s="5">
        <f>IFERROR(ROUND(COUNTIFS(Tasks!$A:$A,$A356,Tasks!$B:$B,$B356,Tasks!$I:$I,"&lt;="&amp;INDEX(Weeks!$D:$D,MATCH($C356,Weeks!$A:$A,0)),Tasks!$I:$I,"&lt;&gt;")/COUNTIFS(Tasks!$A:$A,$A356,Tasks!$B:$B,$B356)*100,0),"")</f>
        <v>50</v>
      </c>
      <c r="G356" s="5">
        <f>IFERROR(ROUND(COUNTIFS(Tasks!$A:$A,$A356,Tasks!$B:$B,$B356,Tasks!$H:$H,"&lt;="&amp;INDEX(Weeks!$D:$D,MATCH($C356,Weeks!$A:$A,0)))/COUNTIFS(Tasks!$A:$A,$A356,Tasks!$B:$B,$B356)*100,0),"")</f>
        <v>17</v>
      </c>
      <c r="I356">
        <f>COUNTIFS(Tasks!$A:$A,$A356,Tasks!$B:$B,$B356,Tasks!$G:$G,"&lt;="&amp;INDEX(Weeks!$D:$D,MATCH($C356,Weeks!$A:$A,0)))-COUNTIFS(Tasks!$A:$A,$A356,Tasks!$B:$B,$B356,Tasks!$I:$I,"&lt;="&amp;INDEX(Weeks!$D:$D,MATCH($C356,Weeks!$A:$A,0)),Tasks!$I:$I,"&lt;&gt;")</f>
        <v>1</v>
      </c>
      <c r="J356">
        <f>COUNTIFS(Tasks!$A:$A,$A356,Tasks!$B:$B,$B356,
Tasks!$I:$I,"&gt;"&amp;IFERROR(INDEX(Weeks!$D:$D,MATCH($C356-1,Weeks!$A:$A,0)),DATE(2000,1,1)),
Tasks!$I:$I,"&lt;="&amp;INDEX(Weeks!$D:$D,MATCH($C356,Weeks!$A:$A,0)),
Tasks!$I:$I,"&lt;&gt;")</f>
        <v>0</v>
      </c>
    </row>
    <row r="357" spans="1:10" ht="15" customHeight="1">
      <c r="A357" t="s">
        <v>93</v>
      </c>
      <c r="B357" t="s">
        <v>94</v>
      </c>
      <c r="C357">
        <v>44</v>
      </c>
      <c r="D357">
        <v>10</v>
      </c>
      <c r="E357">
        <v>5</v>
      </c>
      <c r="F357" s="5">
        <f>IFERROR(ROUND(COUNTIFS(Tasks!$A:$A,$A357,Tasks!$B:$B,$B357,Tasks!$I:$I,"&lt;="&amp;INDEX(Weeks!$D:$D,MATCH($C357,Weeks!$A:$A,0)),Tasks!$I:$I,"&lt;&gt;")/COUNTIFS(Tasks!$A:$A,$A357,Tasks!$B:$B,$B357)*100,0),"")</f>
        <v>50</v>
      </c>
      <c r="G357" s="5">
        <f>IFERROR(ROUND(COUNTIFS(Tasks!$A:$A,$A357,Tasks!$B:$B,$B357,Tasks!$H:$H,"&lt;="&amp;INDEX(Weeks!$D:$D,MATCH($C357,Weeks!$A:$A,0)))/COUNTIFS(Tasks!$A:$A,$A357,Tasks!$B:$B,$B357)*100,0),"")</f>
        <v>17</v>
      </c>
      <c r="I357">
        <f>COUNTIFS(Tasks!$A:$A,$A357,Tasks!$B:$B,$B357,Tasks!$G:$G,"&lt;="&amp;INDEX(Weeks!$D:$D,MATCH($C357,Weeks!$A:$A,0)))-COUNTIFS(Tasks!$A:$A,$A357,Tasks!$B:$B,$B357,Tasks!$I:$I,"&lt;="&amp;INDEX(Weeks!$D:$D,MATCH($C357,Weeks!$A:$A,0)),Tasks!$I:$I,"&lt;&gt;")</f>
        <v>1</v>
      </c>
      <c r="J357">
        <f>COUNTIFS(Tasks!$A:$A,$A357,Tasks!$B:$B,$B357,
Tasks!$I:$I,"&gt;"&amp;IFERROR(INDEX(Weeks!$D:$D,MATCH($C357-1,Weeks!$A:$A,0)),DATE(2000,1,1)),
Tasks!$I:$I,"&lt;="&amp;INDEX(Weeks!$D:$D,MATCH($C357,Weeks!$A:$A,0)),
Tasks!$I:$I,"&lt;&gt;")</f>
        <v>0</v>
      </c>
    </row>
    <row r="358" spans="1:10" ht="15" customHeight="1">
      <c r="A358" t="s">
        <v>93</v>
      </c>
      <c r="B358" t="s">
        <v>94</v>
      </c>
      <c r="C358">
        <v>45</v>
      </c>
      <c r="D358">
        <v>11</v>
      </c>
      <c r="E358">
        <v>1</v>
      </c>
      <c r="F358" s="5">
        <f>IFERROR(ROUND(COUNTIFS(Tasks!$A:$A,$A358,Tasks!$B:$B,$B358,Tasks!$I:$I,"&lt;="&amp;INDEX(Weeks!$D:$D,MATCH($C358,Weeks!$A:$A,0)),Tasks!$I:$I,"&lt;&gt;")/COUNTIFS(Tasks!$A:$A,$A358,Tasks!$B:$B,$B358)*100,0),"")</f>
        <v>50</v>
      </c>
      <c r="G358" s="5">
        <f>IFERROR(ROUND(COUNTIFS(Tasks!$A:$A,$A358,Tasks!$B:$B,$B358,Tasks!$H:$H,"&lt;="&amp;INDEX(Weeks!$D:$D,MATCH($C358,Weeks!$A:$A,0)))/COUNTIFS(Tasks!$A:$A,$A358,Tasks!$B:$B,$B358)*100,0),"")</f>
        <v>17</v>
      </c>
      <c r="I358">
        <f>COUNTIFS(Tasks!$A:$A,$A358,Tasks!$B:$B,$B358,Tasks!$G:$G,"&lt;="&amp;INDEX(Weeks!$D:$D,MATCH($C358,Weeks!$A:$A,0)))-COUNTIFS(Tasks!$A:$A,$A358,Tasks!$B:$B,$B358,Tasks!$I:$I,"&lt;="&amp;INDEX(Weeks!$D:$D,MATCH($C358,Weeks!$A:$A,0)),Tasks!$I:$I,"&lt;&gt;")</f>
        <v>1</v>
      </c>
      <c r="J358">
        <f>COUNTIFS(Tasks!$A:$A,$A358,Tasks!$B:$B,$B358,
Tasks!$I:$I,"&gt;"&amp;IFERROR(INDEX(Weeks!$D:$D,MATCH($C358-1,Weeks!$A:$A,0)),DATE(2000,1,1)),
Tasks!$I:$I,"&lt;="&amp;INDEX(Weeks!$D:$D,MATCH($C358,Weeks!$A:$A,0)),
Tasks!$I:$I,"&lt;&gt;")</f>
        <v>0</v>
      </c>
    </row>
    <row r="359" spans="1:10" ht="15" customHeight="1">
      <c r="A359" t="s">
        <v>93</v>
      </c>
      <c r="B359" t="s">
        <v>94</v>
      </c>
      <c r="C359">
        <v>46</v>
      </c>
      <c r="D359">
        <v>11</v>
      </c>
      <c r="E359">
        <v>2</v>
      </c>
      <c r="F359" s="5">
        <f>IFERROR(ROUND(COUNTIFS(Tasks!$A:$A,$A359,Tasks!$B:$B,$B359,Tasks!$I:$I,"&lt;="&amp;INDEX(Weeks!$D:$D,MATCH($C359,Weeks!$A:$A,0)),Tasks!$I:$I,"&lt;&gt;")/COUNTIFS(Tasks!$A:$A,$A359,Tasks!$B:$B,$B359)*100,0),"")</f>
        <v>50</v>
      </c>
      <c r="G359" s="5">
        <f>IFERROR(ROUND(COUNTIFS(Tasks!$A:$A,$A359,Tasks!$B:$B,$B359,Tasks!$H:$H,"&lt;="&amp;INDEX(Weeks!$D:$D,MATCH($C359,Weeks!$A:$A,0)))/COUNTIFS(Tasks!$A:$A,$A359,Tasks!$B:$B,$B359)*100,0),"")</f>
        <v>17</v>
      </c>
      <c r="I359">
        <f>COUNTIFS(Tasks!$A:$A,$A359,Tasks!$B:$B,$B359,Tasks!$G:$G,"&lt;="&amp;INDEX(Weeks!$D:$D,MATCH($C359,Weeks!$A:$A,0)))-COUNTIFS(Tasks!$A:$A,$A359,Tasks!$B:$B,$B359,Tasks!$I:$I,"&lt;="&amp;INDEX(Weeks!$D:$D,MATCH($C359,Weeks!$A:$A,0)),Tasks!$I:$I,"&lt;&gt;")</f>
        <v>1</v>
      </c>
      <c r="J359">
        <f>COUNTIFS(Tasks!$A:$A,$A359,Tasks!$B:$B,$B359,
Tasks!$I:$I,"&gt;"&amp;IFERROR(INDEX(Weeks!$D:$D,MATCH($C359-1,Weeks!$A:$A,0)),DATE(2000,1,1)),
Tasks!$I:$I,"&lt;="&amp;INDEX(Weeks!$D:$D,MATCH($C359,Weeks!$A:$A,0)),
Tasks!$I:$I,"&lt;&gt;")</f>
        <v>0</v>
      </c>
    </row>
    <row r="360" spans="1:10" ht="15" customHeight="1">
      <c r="A360" t="s">
        <v>93</v>
      </c>
      <c r="B360" t="s">
        <v>94</v>
      </c>
      <c r="C360">
        <v>47</v>
      </c>
      <c r="D360">
        <v>11</v>
      </c>
      <c r="E360">
        <v>3</v>
      </c>
      <c r="F360" s="5">
        <f>IFERROR(ROUND(COUNTIFS(Tasks!$A:$A,$A360,Tasks!$B:$B,$B360,Tasks!$I:$I,"&lt;="&amp;INDEX(Weeks!$D:$D,MATCH($C360,Weeks!$A:$A,0)),Tasks!$I:$I,"&lt;&gt;")/COUNTIFS(Tasks!$A:$A,$A360,Tasks!$B:$B,$B360)*100,0),"")</f>
        <v>50</v>
      </c>
      <c r="G360" s="5">
        <f>IFERROR(ROUND(COUNTIFS(Tasks!$A:$A,$A360,Tasks!$B:$B,$B360,Tasks!$H:$H,"&lt;="&amp;INDEX(Weeks!$D:$D,MATCH($C360,Weeks!$A:$A,0)))/COUNTIFS(Tasks!$A:$A,$A360,Tasks!$B:$B,$B360)*100,0),"")</f>
        <v>17</v>
      </c>
      <c r="I360">
        <f>COUNTIFS(Tasks!$A:$A,$A360,Tasks!$B:$B,$B360,Tasks!$G:$G,"&lt;="&amp;INDEX(Weeks!$D:$D,MATCH($C360,Weeks!$A:$A,0)))-COUNTIFS(Tasks!$A:$A,$A360,Tasks!$B:$B,$B360,Tasks!$I:$I,"&lt;="&amp;INDEX(Weeks!$D:$D,MATCH($C360,Weeks!$A:$A,0)),Tasks!$I:$I,"&lt;&gt;")</f>
        <v>1</v>
      </c>
      <c r="J360">
        <f>COUNTIFS(Tasks!$A:$A,$A360,Tasks!$B:$B,$B360,
Tasks!$I:$I,"&gt;"&amp;IFERROR(INDEX(Weeks!$D:$D,MATCH($C360-1,Weeks!$A:$A,0)),DATE(2000,1,1)),
Tasks!$I:$I,"&lt;="&amp;INDEX(Weeks!$D:$D,MATCH($C360,Weeks!$A:$A,0)),
Tasks!$I:$I,"&lt;&gt;")</f>
        <v>0</v>
      </c>
    </row>
    <row r="361" spans="1:10" ht="15" customHeight="1">
      <c r="A361" t="s">
        <v>93</v>
      </c>
      <c r="B361" t="s">
        <v>94</v>
      </c>
      <c r="C361">
        <v>48</v>
      </c>
      <c r="D361">
        <v>11</v>
      </c>
      <c r="E361">
        <v>4</v>
      </c>
      <c r="F361" s="5">
        <f>IFERROR(ROUND(COUNTIFS(Tasks!$A:$A,$A361,Tasks!$B:$B,$B361,Tasks!$I:$I,"&lt;="&amp;INDEX(Weeks!$D:$D,MATCH($C361,Weeks!$A:$A,0)),Tasks!$I:$I,"&lt;&gt;")/COUNTIFS(Tasks!$A:$A,$A361,Tasks!$B:$B,$B361)*100,0),"")</f>
        <v>50</v>
      </c>
      <c r="G361" s="5">
        <f>IFERROR(ROUND(COUNTIFS(Tasks!$A:$A,$A361,Tasks!$B:$B,$B361,Tasks!$H:$H,"&lt;="&amp;INDEX(Weeks!$D:$D,MATCH($C361,Weeks!$A:$A,0)))/COUNTIFS(Tasks!$A:$A,$A361,Tasks!$B:$B,$B361)*100,0),"")</f>
        <v>17</v>
      </c>
      <c r="I361">
        <f>COUNTIFS(Tasks!$A:$A,$A361,Tasks!$B:$B,$B361,Tasks!$G:$G,"&lt;="&amp;INDEX(Weeks!$D:$D,MATCH($C361,Weeks!$A:$A,0)))-COUNTIFS(Tasks!$A:$A,$A361,Tasks!$B:$B,$B361,Tasks!$I:$I,"&lt;="&amp;INDEX(Weeks!$D:$D,MATCH($C361,Weeks!$A:$A,0)),Tasks!$I:$I,"&lt;&gt;")</f>
        <v>1</v>
      </c>
      <c r="J361">
        <f>COUNTIFS(Tasks!$A:$A,$A361,Tasks!$B:$B,$B361,
Tasks!$I:$I,"&gt;"&amp;IFERROR(INDEX(Weeks!$D:$D,MATCH($C361-1,Weeks!$A:$A,0)),DATE(2000,1,1)),
Tasks!$I:$I,"&lt;="&amp;INDEX(Weeks!$D:$D,MATCH($C361,Weeks!$A:$A,0)),
Tasks!$I:$I,"&lt;&gt;")</f>
        <v>0</v>
      </c>
    </row>
    <row r="362" spans="1:10" ht="15" customHeight="1">
      <c r="A362" t="s">
        <v>93</v>
      </c>
      <c r="B362" t="s">
        <v>94</v>
      </c>
      <c r="C362">
        <v>49</v>
      </c>
      <c r="D362">
        <v>12</v>
      </c>
      <c r="E362">
        <v>1</v>
      </c>
      <c r="F362" s="5">
        <f>IFERROR(ROUND(COUNTIFS(Tasks!$A:$A,$A362,Tasks!$B:$B,$B362,Tasks!$I:$I,"&lt;="&amp;INDEX(Weeks!$D:$D,MATCH($C362,Weeks!$A:$A,0)),Tasks!$I:$I,"&lt;&gt;")/COUNTIFS(Tasks!$A:$A,$A362,Tasks!$B:$B,$B362)*100,0),"")</f>
        <v>50</v>
      </c>
      <c r="G362" s="5">
        <f>IFERROR(ROUND(COUNTIFS(Tasks!$A:$A,$A362,Tasks!$B:$B,$B362,Tasks!$H:$H,"&lt;="&amp;INDEX(Weeks!$D:$D,MATCH($C362,Weeks!$A:$A,0)))/COUNTIFS(Tasks!$A:$A,$A362,Tasks!$B:$B,$B362)*100,0),"")</f>
        <v>17</v>
      </c>
      <c r="I362">
        <f>COUNTIFS(Tasks!$A:$A,$A362,Tasks!$B:$B,$B362,Tasks!$G:$G,"&lt;="&amp;INDEX(Weeks!$D:$D,MATCH($C362,Weeks!$A:$A,0)))-COUNTIFS(Tasks!$A:$A,$A362,Tasks!$B:$B,$B362,Tasks!$I:$I,"&lt;="&amp;INDEX(Weeks!$D:$D,MATCH($C362,Weeks!$A:$A,0)),Tasks!$I:$I,"&lt;&gt;")</f>
        <v>1</v>
      </c>
      <c r="J362">
        <f>COUNTIFS(Tasks!$A:$A,$A362,Tasks!$B:$B,$B362,
Tasks!$I:$I,"&gt;"&amp;IFERROR(INDEX(Weeks!$D:$D,MATCH($C362-1,Weeks!$A:$A,0)),DATE(2000,1,1)),
Tasks!$I:$I,"&lt;="&amp;INDEX(Weeks!$D:$D,MATCH($C362,Weeks!$A:$A,0)),
Tasks!$I:$I,"&lt;&gt;")</f>
        <v>0</v>
      </c>
    </row>
    <row r="363" spans="1:10" ht="15" customHeight="1">
      <c r="A363" t="s">
        <v>93</v>
      </c>
      <c r="B363" t="s">
        <v>94</v>
      </c>
      <c r="C363">
        <v>50</v>
      </c>
      <c r="D363">
        <v>12</v>
      </c>
      <c r="E363">
        <v>2</v>
      </c>
      <c r="F363" s="5">
        <f>IFERROR(ROUND(COUNTIFS(Tasks!$A:$A,$A363,Tasks!$B:$B,$B363,Tasks!$I:$I,"&lt;="&amp;INDEX(Weeks!$D:$D,MATCH($C363,Weeks!$A:$A,0)),Tasks!$I:$I,"&lt;&gt;")/COUNTIFS(Tasks!$A:$A,$A363,Tasks!$B:$B,$B363)*100,0),"")</f>
        <v>50</v>
      </c>
      <c r="G363" s="5">
        <f>IFERROR(ROUND(COUNTIFS(Tasks!$A:$A,$A363,Tasks!$B:$B,$B363,Tasks!$H:$H,"&lt;="&amp;INDEX(Weeks!$D:$D,MATCH($C363,Weeks!$A:$A,0)))/COUNTIFS(Tasks!$A:$A,$A363,Tasks!$B:$B,$B363)*100,0),"")</f>
        <v>17</v>
      </c>
      <c r="I363">
        <f>COUNTIFS(Tasks!$A:$A,$A363,Tasks!$B:$B,$B363,Tasks!$G:$G,"&lt;="&amp;INDEX(Weeks!$D:$D,MATCH($C363,Weeks!$A:$A,0)))-COUNTIFS(Tasks!$A:$A,$A363,Tasks!$B:$B,$B363,Tasks!$I:$I,"&lt;="&amp;INDEX(Weeks!$D:$D,MATCH($C363,Weeks!$A:$A,0)),Tasks!$I:$I,"&lt;&gt;")</f>
        <v>1</v>
      </c>
      <c r="J363">
        <f>COUNTIFS(Tasks!$A:$A,$A363,Tasks!$B:$B,$B363,
Tasks!$I:$I,"&gt;"&amp;IFERROR(INDEX(Weeks!$D:$D,MATCH($C363-1,Weeks!$A:$A,0)),DATE(2000,1,1)),
Tasks!$I:$I,"&lt;="&amp;INDEX(Weeks!$D:$D,MATCH($C363,Weeks!$A:$A,0)),
Tasks!$I:$I,"&lt;&gt;")</f>
        <v>0</v>
      </c>
    </row>
    <row r="364" spans="1:10" ht="15" customHeight="1">
      <c r="A364" t="s">
        <v>93</v>
      </c>
      <c r="B364" t="s">
        <v>94</v>
      </c>
      <c r="C364">
        <v>51</v>
      </c>
      <c r="D364">
        <v>12</v>
      </c>
      <c r="E364">
        <v>3</v>
      </c>
      <c r="F364" s="5">
        <f>IFERROR(ROUND(COUNTIFS(Tasks!$A:$A,$A364,Tasks!$B:$B,$B364,Tasks!$I:$I,"&lt;="&amp;INDEX(Weeks!$D:$D,MATCH($C364,Weeks!$A:$A,0)),Tasks!$I:$I,"&lt;&gt;")/COUNTIFS(Tasks!$A:$A,$A364,Tasks!$B:$B,$B364)*100,0),"")</f>
        <v>50</v>
      </c>
      <c r="G364" s="5">
        <f>IFERROR(ROUND(COUNTIFS(Tasks!$A:$A,$A364,Tasks!$B:$B,$B364,Tasks!$H:$H,"&lt;="&amp;INDEX(Weeks!$D:$D,MATCH($C364,Weeks!$A:$A,0)))/COUNTIFS(Tasks!$A:$A,$A364,Tasks!$B:$B,$B364)*100,0),"")</f>
        <v>17</v>
      </c>
      <c r="I364">
        <f>COUNTIFS(Tasks!$A:$A,$A364,Tasks!$B:$B,$B364,Tasks!$G:$G,"&lt;="&amp;INDEX(Weeks!$D:$D,MATCH($C364,Weeks!$A:$A,0)))-COUNTIFS(Tasks!$A:$A,$A364,Tasks!$B:$B,$B364,Tasks!$I:$I,"&lt;="&amp;INDEX(Weeks!$D:$D,MATCH($C364,Weeks!$A:$A,0)),Tasks!$I:$I,"&lt;&gt;")</f>
        <v>1</v>
      </c>
      <c r="J364">
        <f>COUNTIFS(Tasks!$A:$A,$A364,Tasks!$B:$B,$B364,
Tasks!$I:$I,"&gt;"&amp;IFERROR(INDEX(Weeks!$D:$D,MATCH($C364-1,Weeks!$A:$A,0)),DATE(2000,1,1)),
Tasks!$I:$I,"&lt;="&amp;INDEX(Weeks!$D:$D,MATCH($C364,Weeks!$A:$A,0)),
Tasks!$I:$I,"&lt;&gt;")</f>
        <v>0</v>
      </c>
    </row>
    <row r="365" spans="1:10" ht="15" customHeight="1">
      <c r="A365" t="s">
        <v>93</v>
      </c>
      <c r="B365" t="s">
        <v>94</v>
      </c>
      <c r="C365">
        <v>52</v>
      </c>
      <c r="D365">
        <v>12</v>
      </c>
      <c r="E365">
        <v>4</v>
      </c>
      <c r="F365" s="5">
        <f>IFERROR(ROUND(COUNTIFS(Tasks!$A:$A,$A365,Tasks!$B:$B,$B365,Tasks!$I:$I,"&lt;="&amp;INDEX(Weeks!$D:$D,MATCH($C365,Weeks!$A:$A,0)),Tasks!$I:$I,"&lt;&gt;")/COUNTIFS(Tasks!$A:$A,$A365,Tasks!$B:$B,$B365)*100,0),"")</f>
        <v>50</v>
      </c>
      <c r="G365" s="5">
        <f>IFERROR(ROUND(COUNTIFS(Tasks!$A:$A,$A365,Tasks!$B:$B,$B365,Tasks!$H:$H,"&lt;="&amp;INDEX(Weeks!$D:$D,MATCH($C365,Weeks!$A:$A,0)))/COUNTIFS(Tasks!$A:$A,$A365,Tasks!$B:$B,$B365)*100,0),"")</f>
        <v>17</v>
      </c>
      <c r="I365">
        <f>COUNTIFS(Tasks!$A:$A,$A365,Tasks!$B:$B,$B365,Tasks!$G:$G,"&lt;="&amp;INDEX(Weeks!$D:$D,MATCH($C365,Weeks!$A:$A,0)))-COUNTIFS(Tasks!$A:$A,$A365,Tasks!$B:$B,$B365,Tasks!$I:$I,"&lt;="&amp;INDEX(Weeks!$D:$D,MATCH($C365,Weeks!$A:$A,0)),Tasks!$I:$I,"&lt;&gt;")</f>
        <v>1</v>
      </c>
      <c r="J365">
        <f>COUNTIFS(Tasks!$A:$A,$A365,Tasks!$B:$B,$B365,
Tasks!$I:$I,"&gt;"&amp;IFERROR(INDEX(Weeks!$D:$D,MATCH($C365-1,Weeks!$A:$A,0)),DATE(2000,1,1)),
Tasks!$I:$I,"&lt;="&amp;INDEX(Weeks!$D:$D,MATCH($C365,Weeks!$A:$A,0)),
Tasks!$I:$I,"&lt;&gt;")</f>
        <v>0</v>
      </c>
    </row>
    <row r="366" spans="1:10" ht="15" customHeight="1">
      <c r="A366" t="s">
        <v>93</v>
      </c>
      <c r="B366" t="s">
        <v>95</v>
      </c>
      <c r="C366">
        <v>1</v>
      </c>
      <c r="D366">
        <v>1</v>
      </c>
      <c r="E366">
        <v>1</v>
      </c>
      <c r="F366" s="5" t="str">
        <f>IFERROR(ROUND(COUNTIFS(Tasks!$A:$A,$A366,Tasks!$B:$B,$B366,Tasks!$I:$I,"&lt;="&amp;INDEX(Weeks!$D:$D,MATCH($C366,Weeks!$A:$A,0)),Tasks!$I:$I,"&lt;&gt;")/COUNTIFS(Tasks!$A:$A,$A366,Tasks!$B:$B,$B366)*100,0),"")</f>
        <v/>
      </c>
      <c r="G366" s="5" t="str">
        <f>IFERROR(ROUND(COUNTIFS(Tasks!$A:$A,$A366,Tasks!$B:$B,$B366,Tasks!$H:$H,"&lt;="&amp;INDEX(Weeks!$D:$D,MATCH($C366,Weeks!$A:$A,0)))/COUNTIFS(Tasks!$A:$A,$A366,Tasks!$B:$B,$B366)*100,0),"")</f>
        <v/>
      </c>
      <c r="H366" t="s">
        <v>91</v>
      </c>
      <c r="I366">
        <f>COUNTIFS(Tasks!$A:$A,$A366,Tasks!$B:$B,$B366,Tasks!$G:$G,"&lt;="&amp;INDEX(Weeks!$D:$D,MATCH($C366,Weeks!$A:$A,0)))-COUNTIFS(Tasks!$A:$A,$A366,Tasks!$B:$B,$B366,Tasks!$I:$I,"&lt;="&amp;INDEX(Weeks!$D:$D,MATCH($C366,Weeks!$A:$A,0)),Tasks!$I:$I,"&lt;&gt;")</f>
        <v>0</v>
      </c>
      <c r="J366">
        <f>COUNTIFS(Tasks!$A:$A,$A366,Tasks!$B:$B,$B366,
Tasks!$I:$I,"&gt;"&amp;IFERROR(INDEX(Weeks!$D:$D,MATCH($C366-1,Weeks!$A:$A,0)),DATE(2000,1,1)),
Tasks!$I:$I,"&lt;="&amp;INDEX(Weeks!$D:$D,MATCH($C366,Weeks!$A:$A,0)),
Tasks!$I:$I,"&lt;&gt;")</f>
        <v>0</v>
      </c>
    </row>
    <row r="367" spans="1:10" ht="15" customHeight="1">
      <c r="A367" t="s">
        <v>93</v>
      </c>
      <c r="B367" t="s">
        <v>95</v>
      </c>
      <c r="C367">
        <v>2</v>
      </c>
      <c r="D367">
        <v>1</v>
      </c>
      <c r="E367">
        <v>2</v>
      </c>
      <c r="F367" s="5" t="str">
        <f>IFERROR(ROUND(COUNTIFS(Tasks!$A:$A,$A367,Tasks!$B:$B,$B367,Tasks!$I:$I,"&lt;="&amp;INDEX(Weeks!$D:$D,MATCH($C367,Weeks!$A:$A,0)),Tasks!$I:$I,"&lt;&gt;")/COUNTIFS(Tasks!$A:$A,$A367,Tasks!$B:$B,$B367)*100,0),"")</f>
        <v/>
      </c>
      <c r="G367" s="5" t="str">
        <f>IFERROR(ROUND(COUNTIFS(Tasks!$A:$A,$A367,Tasks!$B:$B,$B367,Tasks!$H:$H,"&lt;="&amp;INDEX(Weeks!$D:$D,MATCH($C367,Weeks!$A:$A,0)))/COUNTIFS(Tasks!$A:$A,$A367,Tasks!$B:$B,$B367)*100,0),"")</f>
        <v/>
      </c>
      <c r="H367" t="s">
        <v>91</v>
      </c>
      <c r="I367">
        <f>COUNTIFS(Tasks!$A:$A,$A367,Tasks!$B:$B,$B367,Tasks!$G:$G,"&lt;="&amp;INDEX(Weeks!$D:$D,MATCH($C367,Weeks!$A:$A,0)))-COUNTIFS(Tasks!$A:$A,$A367,Tasks!$B:$B,$B367,Tasks!$I:$I,"&lt;="&amp;INDEX(Weeks!$D:$D,MATCH($C367,Weeks!$A:$A,0)),Tasks!$I:$I,"&lt;&gt;")</f>
        <v>0</v>
      </c>
      <c r="J367">
        <f>COUNTIFS(Tasks!$A:$A,$A367,Tasks!$B:$B,$B367,
Tasks!$I:$I,"&gt;"&amp;IFERROR(INDEX(Weeks!$D:$D,MATCH($C367-1,Weeks!$A:$A,0)),DATE(2000,1,1)),
Tasks!$I:$I,"&lt;="&amp;INDEX(Weeks!$D:$D,MATCH($C367,Weeks!$A:$A,0)),
Tasks!$I:$I,"&lt;&gt;")</f>
        <v>0</v>
      </c>
    </row>
    <row r="368" spans="1:10" ht="15" customHeight="1">
      <c r="A368" t="s">
        <v>93</v>
      </c>
      <c r="B368" t="s">
        <v>95</v>
      </c>
      <c r="C368">
        <v>3</v>
      </c>
      <c r="D368">
        <v>1</v>
      </c>
      <c r="E368">
        <v>3</v>
      </c>
      <c r="F368" s="5" t="str">
        <f>IFERROR(ROUND(COUNTIFS(Tasks!$A:$A,$A368,Tasks!$B:$B,$B368,Tasks!$I:$I,"&lt;="&amp;INDEX(Weeks!$D:$D,MATCH($C368,Weeks!$A:$A,0)),Tasks!$I:$I,"&lt;&gt;")/COUNTIFS(Tasks!$A:$A,$A368,Tasks!$B:$B,$B368)*100,0),"")</f>
        <v/>
      </c>
      <c r="G368" s="5" t="str">
        <f>IFERROR(ROUND(COUNTIFS(Tasks!$A:$A,$A368,Tasks!$B:$B,$B368,Tasks!$H:$H,"&lt;="&amp;INDEX(Weeks!$D:$D,MATCH($C368,Weeks!$A:$A,0)))/COUNTIFS(Tasks!$A:$A,$A368,Tasks!$B:$B,$B368)*100,0),"")</f>
        <v/>
      </c>
      <c r="H368" t="s">
        <v>91</v>
      </c>
      <c r="I368">
        <f>COUNTIFS(Tasks!$A:$A,$A368,Tasks!$B:$B,$B368,Tasks!$G:$G,"&lt;="&amp;INDEX(Weeks!$D:$D,MATCH($C368,Weeks!$A:$A,0)))-COUNTIFS(Tasks!$A:$A,$A368,Tasks!$B:$B,$B368,Tasks!$I:$I,"&lt;="&amp;INDEX(Weeks!$D:$D,MATCH($C368,Weeks!$A:$A,0)),Tasks!$I:$I,"&lt;&gt;")</f>
        <v>0</v>
      </c>
      <c r="J368">
        <f>COUNTIFS(Tasks!$A:$A,$A368,Tasks!$B:$B,$B368,
Tasks!$I:$I,"&gt;"&amp;IFERROR(INDEX(Weeks!$D:$D,MATCH($C368-1,Weeks!$A:$A,0)),DATE(2000,1,1)),
Tasks!$I:$I,"&lt;="&amp;INDEX(Weeks!$D:$D,MATCH($C368,Weeks!$A:$A,0)),
Tasks!$I:$I,"&lt;&gt;")</f>
        <v>0</v>
      </c>
    </row>
    <row r="369" spans="1:10" ht="15" customHeight="1">
      <c r="A369" t="s">
        <v>93</v>
      </c>
      <c r="B369" t="s">
        <v>95</v>
      </c>
      <c r="C369">
        <v>4</v>
      </c>
      <c r="D369">
        <v>1</v>
      </c>
      <c r="E369">
        <v>4</v>
      </c>
      <c r="F369" s="5" t="str">
        <f>IFERROR(ROUND(COUNTIFS(Tasks!$A:$A,$A369,Tasks!$B:$B,$B369,Tasks!$I:$I,"&lt;="&amp;INDEX(Weeks!$D:$D,MATCH($C369,Weeks!$A:$A,0)),Tasks!$I:$I,"&lt;&gt;")/COUNTIFS(Tasks!$A:$A,$A369,Tasks!$B:$B,$B369)*100,0),"")</f>
        <v/>
      </c>
      <c r="G369" s="5" t="str">
        <f>IFERROR(ROUND(COUNTIFS(Tasks!$A:$A,$A369,Tasks!$B:$B,$B369,Tasks!$H:$H,"&lt;="&amp;INDEX(Weeks!$D:$D,MATCH($C369,Weeks!$A:$A,0)))/COUNTIFS(Tasks!$A:$A,$A369,Tasks!$B:$B,$B369)*100,0),"")</f>
        <v/>
      </c>
      <c r="H369" t="s">
        <v>91</v>
      </c>
      <c r="I369">
        <f>COUNTIFS(Tasks!$A:$A,$A369,Tasks!$B:$B,$B369,Tasks!$G:$G,"&lt;="&amp;INDEX(Weeks!$D:$D,MATCH($C369,Weeks!$A:$A,0)))-COUNTIFS(Tasks!$A:$A,$A369,Tasks!$B:$B,$B369,Tasks!$I:$I,"&lt;="&amp;INDEX(Weeks!$D:$D,MATCH($C369,Weeks!$A:$A,0)),Tasks!$I:$I,"&lt;&gt;")</f>
        <v>0</v>
      </c>
      <c r="J369">
        <f>COUNTIFS(Tasks!$A:$A,$A369,Tasks!$B:$B,$B369,
Tasks!$I:$I,"&gt;"&amp;IFERROR(INDEX(Weeks!$D:$D,MATCH($C369-1,Weeks!$A:$A,0)),DATE(2000,1,1)),
Tasks!$I:$I,"&lt;="&amp;INDEX(Weeks!$D:$D,MATCH($C369,Weeks!$A:$A,0)),
Tasks!$I:$I,"&lt;&gt;")</f>
        <v>0</v>
      </c>
    </row>
    <row r="370" spans="1:10" ht="15" customHeight="1">
      <c r="A370" t="s">
        <v>93</v>
      </c>
      <c r="B370" t="s">
        <v>95</v>
      </c>
      <c r="C370">
        <v>5</v>
      </c>
      <c r="D370">
        <v>1</v>
      </c>
      <c r="E370">
        <v>5</v>
      </c>
      <c r="F370" s="5" t="str">
        <f>IFERROR(ROUND(COUNTIFS(Tasks!$A:$A,$A370,Tasks!$B:$B,$B370,Tasks!$I:$I,"&lt;="&amp;INDEX(Weeks!$D:$D,MATCH($C370,Weeks!$A:$A,0)),Tasks!$I:$I,"&lt;&gt;")/COUNTIFS(Tasks!$A:$A,$A370,Tasks!$B:$B,$B370)*100,0),"")</f>
        <v/>
      </c>
      <c r="G370" s="5" t="str">
        <f>IFERROR(ROUND(COUNTIFS(Tasks!$A:$A,$A370,Tasks!$B:$B,$B370,Tasks!$H:$H,"&lt;="&amp;INDEX(Weeks!$D:$D,MATCH($C370,Weeks!$A:$A,0)))/COUNTIFS(Tasks!$A:$A,$A370,Tasks!$B:$B,$B370)*100,0),"")</f>
        <v/>
      </c>
      <c r="H370" t="s">
        <v>91</v>
      </c>
      <c r="I370">
        <f>COUNTIFS(Tasks!$A:$A,$A370,Tasks!$B:$B,$B370,Tasks!$G:$G,"&lt;="&amp;INDEX(Weeks!$D:$D,MATCH($C370,Weeks!$A:$A,0)))-COUNTIFS(Tasks!$A:$A,$A370,Tasks!$B:$B,$B370,Tasks!$I:$I,"&lt;="&amp;INDEX(Weeks!$D:$D,MATCH($C370,Weeks!$A:$A,0)),Tasks!$I:$I,"&lt;&gt;")</f>
        <v>0</v>
      </c>
      <c r="J370">
        <f>COUNTIFS(Tasks!$A:$A,$A370,Tasks!$B:$B,$B370,
Tasks!$I:$I,"&gt;"&amp;IFERROR(INDEX(Weeks!$D:$D,MATCH($C370-1,Weeks!$A:$A,0)),DATE(2000,1,1)),
Tasks!$I:$I,"&lt;="&amp;INDEX(Weeks!$D:$D,MATCH($C370,Weeks!$A:$A,0)),
Tasks!$I:$I,"&lt;&gt;")</f>
        <v>0</v>
      </c>
    </row>
    <row r="371" spans="1:10" ht="15" customHeight="1">
      <c r="A371" t="s">
        <v>93</v>
      </c>
      <c r="B371" t="s">
        <v>95</v>
      </c>
      <c r="C371">
        <v>6</v>
      </c>
      <c r="D371">
        <v>2</v>
      </c>
      <c r="E371">
        <v>1</v>
      </c>
      <c r="F371" s="5" t="str">
        <f>IFERROR(ROUND(COUNTIFS(Tasks!$A:$A,$A371,Tasks!$B:$B,$B371,Tasks!$I:$I,"&lt;="&amp;INDEX(Weeks!$D:$D,MATCH($C371,Weeks!$A:$A,0)),Tasks!$I:$I,"&lt;&gt;")/COUNTIFS(Tasks!$A:$A,$A371,Tasks!$B:$B,$B371)*100,0),"")</f>
        <v/>
      </c>
      <c r="G371" s="5" t="str">
        <f>IFERROR(ROUND(COUNTIFS(Tasks!$A:$A,$A371,Tasks!$B:$B,$B371,Tasks!$H:$H,"&lt;="&amp;INDEX(Weeks!$D:$D,MATCH($C371,Weeks!$A:$A,0)))/COUNTIFS(Tasks!$A:$A,$A371,Tasks!$B:$B,$B371)*100,0),"")</f>
        <v/>
      </c>
      <c r="H371" t="s">
        <v>91</v>
      </c>
      <c r="I371">
        <f>COUNTIFS(Tasks!$A:$A,$A371,Tasks!$B:$B,$B371,Tasks!$G:$G,"&lt;="&amp;INDEX(Weeks!$D:$D,MATCH($C371,Weeks!$A:$A,0)))-COUNTIFS(Tasks!$A:$A,$A371,Tasks!$B:$B,$B371,Tasks!$I:$I,"&lt;="&amp;INDEX(Weeks!$D:$D,MATCH($C371,Weeks!$A:$A,0)),Tasks!$I:$I,"&lt;&gt;")</f>
        <v>0</v>
      </c>
      <c r="J371">
        <f>COUNTIFS(Tasks!$A:$A,$A371,Tasks!$B:$B,$B371,
Tasks!$I:$I,"&gt;"&amp;IFERROR(INDEX(Weeks!$D:$D,MATCH($C371-1,Weeks!$A:$A,0)),DATE(2000,1,1)),
Tasks!$I:$I,"&lt;="&amp;INDEX(Weeks!$D:$D,MATCH($C371,Weeks!$A:$A,0)),
Tasks!$I:$I,"&lt;&gt;")</f>
        <v>0</v>
      </c>
    </row>
    <row r="372" spans="1:10" ht="15" customHeight="1">
      <c r="A372" t="s">
        <v>93</v>
      </c>
      <c r="B372" t="s">
        <v>95</v>
      </c>
      <c r="C372">
        <v>7</v>
      </c>
      <c r="D372">
        <v>2</v>
      </c>
      <c r="E372">
        <v>2</v>
      </c>
      <c r="F372" s="5" t="str">
        <f>IFERROR(ROUND(COUNTIFS(Tasks!$A:$A,$A372,Tasks!$B:$B,$B372,Tasks!$I:$I,"&lt;="&amp;INDEX(Weeks!$D:$D,MATCH($C372,Weeks!$A:$A,0)),Tasks!$I:$I,"&lt;&gt;")/COUNTIFS(Tasks!$A:$A,$A372,Tasks!$B:$B,$B372)*100,0),"")</f>
        <v/>
      </c>
      <c r="G372" s="5" t="str">
        <f>IFERROR(ROUND(COUNTIFS(Tasks!$A:$A,$A372,Tasks!$B:$B,$B372,Tasks!$H:$H,"&lt;="&amp;INDEX(Weeks!$D:$D,MATCH($C372,Weeks!$A:$A,0)))/COUNTIFS(Tasks!$A:$A,$A372,Tasks!$B:$B,$B372)*100,0),"")</f>
        <v/>
      </c>
      <c r="H372" t="s">
        <v>91</v>
      </c>
      <c r="I372">
        <f>COUNTIFS(Tasks!$A:$A,$A372,Tasks!$B:$B,$B372,Tasks!$G:$G,"&lt;="&amp;INDEX(Weeks!$D:$D,MATCH($C372,Weeks!$A:$A,0)))-COUNTIFS(Tasks!$A:$A,$A372,Tasks!$B:$B,$B372,Tasks!$I:$I,"&lt;="&amp;INDEX(Weeks!$D:$D,MATCH($C372,Weeks!$A:$A,0)),Tasks!$I:$I,"&lt;&gt;")</f>
        <v>0</v>
      </c>
      <c r="J372">
        <f>COUNTIFS(Tasks!$A:$A,$A372,Tasks!$B:$B,$B372,
Tasks!$I:$I,"&gt;"&amp;IFERROR(INDEX(Weeks!$D:$D,MATCH($C372-1,Weeks!$A:$A,0)),DATE(2000,1,1)),
Tasks!$I:$I,"&lt;="&amp;INDEX(Weeks!$D:$D,MATCH($C372,Weeks!$A:$A,0)),
Tasks!$I:$I,"&lt;&gt;")</f>
        <v>0</v>
      </c>
    </row>
    <row r="373" spans="1:10" ht="15" customHeight="1">
      <c r="A373" t="s">
        <v>93</v>
      </c>
      <c r="B373" t="s">
        <v>95</v>
      </c>
      <c r="C373">
        <v>8</v>
      </c>
      <c r="D373">
        <v>2</v>
      </c>
      <c r="E373">
        <v>3</v>
      </c>
      <c r="F373" s="5" t="str">
        <f>IFERROR(ROUND(COUNTIFS(Tasks!$A:$A,$A373,Tasks!$B:$B,$B373,Tasks!$I:$I,"&lt;="&amp;INDEX(Weeks!$D:$D,MATCH($C373,Weeks!$A:$A,0)),Tasks!$I:$I,"&lt;&gt;")/COUNTIFS(Tasks!$A:$A,$A373,Tasks!$B:$B,$B373)*100,0),"")</f>
        <v/>
      </c>
      <c r="G373" s="5" t="str">
        <f>IFERROR(ROUND(COUNTIFS(Tasks!$A:$A,$A373,Tasks!$B:$B,$B373,Tasks!$H:$H,"&lt;="&amp;INDEX(Weeks!$D:$D,MATCH($C373,Weeks!$A:$A,0)))/COUNTIFS(Tasks!$A:$A,$A373,Tasks!$B:$B,$B373)*100,0),"")</f>
        <v/>
      </c>
      <c r="H373" t="s">
        <v>91</v>
      </c>
      <c r="I373">
        <f>COUNTIFS(Tasks!$A:$A,$A373,Tasks!$B:$B,$B373,Tasks!$G:$G,"&lt;="&amp;INDEX(Weeks!$D:$D,MATCH($C373,Weeks!$A:$A,0)))-COUNTIFS(Tasks!$A:$A,$A373,Tasks!$B:$B,$B373,Tasks!$I:$I,"&lt;="&amp;INDEX(Weeks!$D:$D,MATCH($C373,Weeks!$A:$A,0)),Tasks!$I:$I,"&lt;&gt;")</f>
        <v>0</v>
      </c>
      <c r="J373">
        <f>COUNTIFS(Tasks!$A:$A,$A373,Tasks!$B:$B,$B373,
Tasks!$I:$I,"&gt;"&amp;IFERROR(INDEX(Weeks!$D:$D,MATCH($C373-1,Weeks!$A:$A,0)),DATE(2000,1,1)),
Tasks!$I:$I,"&lt;="&amp;INDEX(Weeks!$D:$D,MATCH($C373,Weeks!$A:$A,0)),
Tasks!$I:$I,"&lt;&gt;")</f>
        <v>0</v>
      </c>
    </row>
    <row r="374" spans="1:10" ht="15" customHeight="1">
      <c r="A374" t="s">
        <v>93</v>
      </c>
      <c r="B374" t="s">
        <v>95</v>
      </c>
      <c r="C374">
        <v>9</v>
      </c>
      <c r="D374">
        <v>2</v>
      </c>
      <c r="E374">
        <v>4</v>
      </c>
      <c r="F374" s="5" t="str">
        <f>IFERROR(ROUND(COUNTIFS(Tasks!$A:$A,$A374,Tasks!$B:$B,$B374,Tasks!$I:$I,"&lt;="&amp;INDEX(Weeks!$D:$D,MATCH($C374,Weeks!$A:$A,0)),Tasks!$I:$I,"&lt;&gt;")/COUNTIFS(Tasks!$A:$A,$A374,Tasks!$B:$B,$B374)*100,0),"")</f>
        <v/>
      </c>
      <c r="G374" s="5" t="str">
        <f>IFERROR(ROUND(COUNTIFS(Tasks!$A:$A,$A374,Tasks!$B:$B,$B374,Tasks!$H:$H,"&lt;="&amp;INDEX(Weeks!$D:$D,MATCH($C374,Weeks!$A:$A,0)))/COUNTIFS(Tasks!$A:$A,$A374,Tasks!$B:$B,$B374)*100,0),"")</f>
        <v/>
      </c>
      <c r="H374" t="s">
        <v>91</v>
      </c>
      <c r="I374">
        <f>COUNTIFS(Tasks!$A:$A,$A374,Tasks!$B:$B,$B374,Tasks!$G:$G,"&lt;="&amp;INDEX(Weeks!$D:$D,MATCH($C374,Weeks!$A:$A,0)))-COUNTIFS(Tasks!$A:$A,$A374,Tasks!$B:$B,$B374,Tasks!$I:$I,"&lt;="&amp;INDEX(Weeks!$D:$D,MATCH($C374,Weeks!$A:$A,0)),Tasks!$I:$I,"&lt;&gt;")</f>
        <v>0</v>
      </c>
      <c r="J374">
        <f>COUNTIFS(Tasks!$A:$A,$A374,Tasks!$B:$B,$B374,
Tasks!$I:$I,"&gt;"&amp;IFERROR(INDEX(Weeks!$D:$D,MATCH($C374-1,Weeks!$A:$A,0)),DATE(2000,1,1)),
Tasks!$I:$I,"&lt;="&amp;INDEX(Weeks!$D:$D,MATCH($C374,Weeks!$A:$A,0)),
Tasks!$I:$I,"&lt;&gt;")</f>
        <v>0</v>
      </c>
    </row>
    <row r="375" spans="1:10" ht="15" customHeight="1">
      <c r="A375" t="s">
        <v>93</v>
      </c>
      <c r="B375" t="s">
        <v>95</v>
      </c>
      <c r="C375">
        <v>10</v>
      </c>
      <c r="D375">
        <v>3</v>
      </c>
      <c r="E375">
        <v>1</v>
      </c>
      <c r="F375" s="5" t="str">
        <f>IFERROR(ROUND(COUNTIFS(Tasks!$A:$A,$A375,Tasks!$B:$B,$B375,Tasks!$I:$I,"&lt;="&amp;INDEX(Weeks!$D:$D,MATCH($C375,Weeks!$A:$A,0)),Tasks!$I:$I,"&lt;&gt;")/COUNTIFS(Tasks!$A:$A,$A375,Tasks!$B:$B,$B375)*100,0),"")</f>
        <v/>
      </c>
      <c r="G375" s="5" t="str">
        <f>IFERROR(ROUND(COUNTIFS(Tasks!$A:$A,$A375,Tasks!$B:$B,$B375,Tasks!$H:$H,"&lt;="&amp;INDEX(Weeks!$D:$D,MATCH($C375,Weeks!$A:$A,0)))/COUNTIFS(Tasks!$A:$A,$A375,Tasks!$B:$B,$B375)*100,0),"")</f>
        <v/>
      </c>
      <c r="H375" t="s">
        <v>91</v>
      </c>
      <c r="I375">
        <f>COUNTIFS(Tasks!$A:$A,$A375,Tasks!$B:$B,$B375,Tasks!$G:$G,"&lt;="&amp;INDEX(Weeks!$D:$D,MATCH($C375,Weeks!$A:$A,0)))-COUNTIFS(Tasks!$A:$A,$A375,Tasks!$B:$B,$B375,Tasks!$I:$I,"&lt;="&amp;INDEX(Weeks!$D:$D,MATCH($C375,Weeks!$A:$A,0)),Tasks!$I:$I,"&lt;&gt;")</f>
        <v>0</v>
      </c>
      <c r="J375">
        <f>COUNTIFS(Tasks!$A:$A,$A375,Tasks!$B:$B,$B375,
Tasks!$I:$I,"&gt;"&amp;IFERROR(INDEX(Weeks!$D:$D,MATCH($C375-1,Weeks!$A:$A,0)),DATE(2000,1,1)),
Tasks!$I:$I,"&lt;="&amp;INDEX(Weeks!$D:$D,MATCH($C375,Weeks!$A:$A,0)),
Tasks!$I:$I,"&lt;&gt;")</f>
        <v>0</v>
      </c>
    </row>
    <row r="376" spans="1:10" ht="15" customHeight="1">
      <c r="A376" t="s">
        <v>93</v>
      </c>
      <c r="B376" t="s">
        <v>95</v>
      </c>
      <c r="C376">
        <v>11</v>
      </c>
      <c r="D376">
        <v>3</v>
      </c>
      <c r="E376">
        <v>2</v>
      </c>
      <c r="F376" s="5" t="str">
        <f>IFERROR(ROUND(COUNTIFS(Tasks!$A:$A,$A376,Tasks!$B:$B,$B376,Tasks!$I:$I,"&lt;="&amp;INDEX(Weeks!$D:$D,MATCH($C376,Weeks!$A:$A,0)),Tasks!$I:$I,"&lt;&gt;")/COUNTIFS(Tasks!$A:$A,$A376,Tasks!$B:$B,$B376)*100,0),"")</f>
        <v/>
      </c>
      <c r="G376" s="5" t="str">
        <f>IFERROR(ROUND(COUNTIFS(Tasks!$A:$A,$A376,Tasks!$B:$B,$B376,Tasks!$H:$H,"&lt;="&amp;INDEX(Weeks!$D:$D,MATCH($C376,Weeks!$A:$A,0)))/COUNTIFS(Tasks!$A:$A,$A376,Tasks!$B:$B,$B376)*100,0),"")</f>
        <v/>
      </c>
      <c r="H376" t="s">
        <v>91</v>
      </c>
      <c r="I376">
        <f>COUNTIFS(Tasks!$A:$A,$A376,Tasks!$B:$B,$B376,Tasks!$G:$G,"&lt;="&amp;INDEX(Weeks!$D:$D,MATCH($C376,Weeks!$A:$A,0)))-COUNTIFS(Tasks!$A:$A,$A376,Tasks!$B:$B,$B376,Tasks!$I:$I,"&lt;="&amp;INDEX(Weeks!$D:$D,MATCH($C376,Weeks!$A:$A,0)),Tasks!$I:$I,"&lt;&gt;")</f>
        <v>0</v>
      </c>
      <c r="J376">
        <f>COUNTIFS(Tasks!$A:$A,$A376,Tasks!$B:$B,$B376,
Tasks!$I:$I,"&gt;"&amp;IFERROR(INDEX(Weeks!$D:$D,MATCH($C376-1,Weeks!$A:$A,0)),DATE(2000,1,1)),
Tasks!$I:$I,"&lt;="&amp;INDEX(Weeks!$D:$D,MATCH($C376,Weeks!$A:$A,0)),
Tasks!$I:$I,"&lt;&gt;")</f>
        <v>0</v>
      </c>
    </row>
    <row r="377" spans="1:10" ht="15" customHeight="1">
      <c r="A377" t="s">
        <v>93</v>
      </c>
      <c r="B377" t="s">
        <v>95</v>
      </c>
      <c r="C377">
        <v>12</v>
      </c>
      <c r="D377">
        <v>3</v>
      </c>
      <c r="E377">
        <v>3</v>
      </c>
      <c r="F377" s="5" t="str">
        <f>IFERROR(ROUND(COUNTIFS(Tasks!$A:$A,$A377,Tasks!$B:$B,$B377,Tasks!$I:$I,"&lt;="&amp;INDEX(Weeks!$D:$D,MATCH($C377,Weeks!$A:$A,0)),Tasks!$I:$I,"&lt;&gt;")/COUNTIFS(Tasks!$A:$A,$A377,Tasks!$B:$B,$B377)*100,0),"")</f>
        <v/>
      </c>
      <c r="G377" s="5" t="str">
        <f>IFERROR(ROUND(COUNTIFS(Tasks!$A:$A,$A377,Tasks!$B:$B,$B377,Tasks!$H:$H,"&lt;="&amp;INDEX(Weeks!$D:$D,MATCH($C377,Weeks!$A:$A,0)))/COUNTIFS(Tasks!$A:$A,$A377,Tasks!$B:$B,$B377)*100,0),"")</f>
        <v/>
      </c>
      <c r="H377" t="s">
        <v>91</v>
      </c>
      <c r="I377">
        <f>COUNTIFS(Tasks!$A:$A,$A377,Tasks!$B:$B,$B377,Tasks!$G:$G,"&lt;="&amp;INDEX(Weeks!$D:$D,MATCH($C377,Weeks!$A:$A,0)))-COUNTIFS(Tasks!$A:$A,$A377,Tasks!$B:$B,$B377,Tasks!$I:$I,"&lt;="&amp;INDEX(Weeks!$D:$D,MATCH($C377,Weeks!$A:$A,0)),Tasks!$I:$I,"&lt;&gt;")</f>
        <v>0</v>
      </c>
      <c r="J377">
        <f>COUNTIFS(Tasks!$A:$A,$A377,Tasks!$B:$B,$B377,
Tasks!$I:$I,"&gt;"&amp;IFERROR(INDEX(Weeks!$D:$D,MATCH($C377-1,Weeks!$A:$A,0)),DATE(2000,1,1)),
Tasks!$I:$I,"&lt;="&amp;INDEX(Weeks!$D:$D,MATCH($C377,Weeks!$A:$A,0)),
Tasks!$I:$I,"&lt;&gt;")</f>
        <v>0</v>
      </c>
    </row>
    <row r="378" spans="1:10" ht="15" customHeight="1">
      <c r="A378" t="s">
        <v>93</v>
      </c>
      <c r="B378" t="s">
        <v>95</v>
      </c>
      <c r="C378">
        <v>13</v>
      </c>
      <c r="D378">
        <v>3</v>
      </c>
      <c r="E378">
        <v>4</v>
      </c>
      <c r="F378" s="5" t="str">
        <f>IFERROR(ROUND(COUNTIFS(Tasks!$A:$A,$A378,Tasks!$B:$B,$B378,Tasks!$I:$I,"&lt;="&amp;INDEX(Weeks!$D:$D,MATCH($C378,Weeks!$A:$A,0)),Tasks!$I:$I,"&lt;&gt;")/COUNTIFS(Tasks!$A:$A,$A378,Tasks!$B:$B,$B378)*100,0),"")</f>
        <v/>
      </c>
      <c r="G378" s="5" t="str">
        <f>IFERROR(ROUND(COUNTIFS(Tasks!$A:$A,$A378,Tasks!$B:$B,$B378,Tasks!$H:$H,"&lt;="&amp;INDEX(Weeks!$D:$D,MATCH($C378,Weeks!$A:$A,0)))/COUNTIFS(Tasks!$A:$A,$A378,Tasks!$B:$B,$B378)*100,0),"")</f>
        <v/>
      </c>
      <c r="H378" t="s">
        <v>91</v>
      </c>
      <c r="I378">
        <f>COUNTIFS(Tasks!$A:$A,$A378,Tasks!$B:$B,$B378,Tasks!$G:$G,"&lt;="&amp;INDEX(Weeks!$D:$D,MATCH($C378,Weeks!$A:$A,0)))-COUNTIFS(Tasks!$A:$A,$A378,Tasks!$B:$B,$B378,Tasks!$I:$I,"&lt;="&amp;INDEX(Weeks!$D:$D,MATCH($C378,Weeks!$A:$A,0)),Tasks!$I:$I,"&lt;&gt;")</f>
        <v>0</v>
      </c>
      <c r="J378">
        <f>COUNTIFS(Tasks!$A:$A,$A378,Tasks!$B:$B,$B378,
Tasks!$I:$I,"&gt;"&amp;IFERROR(INDEX(Weeks!$D:$D,MATCH($C378-1,Weeks!$A:$A,0)),DATE(2000,1,1)),
Tasks!$I:$I,"&lt;="&amp;INDEX(Weeks!$D:$D,MATCH($C378,Weeks!$A:$A,0)),
Tasks!$I:$I,"&lt;&gt;")</f>
        <v>0</v>
      </c>
    </row>
    <row r="379" spans="1:10" ht="15" customHeight="1">
      <c r="A379" t="s">
        <v>93</v>
      </c>
      <c r="B379" t="s">
        <v>95</v>
      </c>
      <c r="C379">
        <v>14</v>
      </c>
      <c r="D379">
        <v>4</v>
      </c>
      <c r="E379">
        <v>1</v>
      </c>
      <c r="F379" s="5" t="str">
        <f>IFERROR(ROUND(COUNTIFS(Tasks!$A:$A,$A379,Tasks!$B:$B,$B379,Tasks!$I:$I,"&lt;="&amp;INDEX(Weeks!$D:$D,MATCH($C379,Weeks!$A:$A,0)),Tasks!$I:$I,"&lt;&gt;")/COUNTIFS(Tasks!$A:$A,$A379,Tasks!$B:$B,$B379)*100,0),"")</f>
        <v/>
      </c>
      <c r="G379" s="5" t="str">
        <f>IFERROR(ROUND(COUNTIFS(Tasks!$A:$A,$A379,Tasks!$B:$B,$B379,Tasks!$H:$H,"&lt;="&amp;INDEX(Weeks!$D:$D,MATCH($C379,Weeks!$A:$A,0)))/COUNTIFS(Tasks!$A:$A,$A379,Tasks!$B:$B,$B379)*100,0),"")</f>
        <v/>
      </c>
      <c r="H379" t="s">
        <v>91</v>
      </c>
      <c r="I379">
        <f>COUNTIFS(Tasks!$A:$A,$A379,Tasks!$B:$B,$B379,Tasks!$G:$G,"&lt;="&amp;INDEX(Weeks!$D:$D,MATCH($C379,Weeks!$A:$A,0)))-COUNTIFS(Tasks!$A:$A,$A379,Tasks!$B:$B,$B379,Tasks!$I:$I,"&lt;="&amp;INDEX(Weeks!$D:$D,MATCH($C379,Weeks!$A:$A,0)),Tasks!$I:$I,"&lt;&gt;")</f>
        <v>0</v>
      </c>
      <c r="J379">
        <f>COUNTIFS(Tasks!$A:$A,$A379,Tasks!$B:$B,$B379,
Tasks!$I:$I,"&gt;"&amp;IFERROR(INDEX(Weeks!$D:$D,MATCH($C379-1,Weeks!$A:$A,0)),DATE(2000,1,1)),
Tasks!$I:$I,"&lt;="&amp;INDEX(Weeks!$D:$D,MATCH($C379,Weeks!$A:$A,0)),
Tasks!$I:$I,"&lt;&gt;")</f>
        <v>0</v>
      </c>
    </row>
    <row r="380" spans="1:10" ht="15" customHeight="1">
      <c r="A380" t="s">
        <v>93</v>
      </c>
      <c r="B380" t="s">
        <v>95</v>
      </c>
      <c r="C380">
        <v>15</v>
      </c>
      <c r="D380">
        <v>4</v>
      </c>
      <c r="E380">
        <v>2</v>
      </c>
      <c r="F380" s="5" t="str">
        <f>IFERROR(ROUND(COUNTIFS(Tasks!$A:$A,$A380,Tasks!$B:$B,$B380,Tasks!$I:$I,"&lt;="&amp;INDEX(Weeks!$D:$D,MATCH($C380,Weeks!$A:$A,0)),Tasks!$I:$I,"&lt;&gt;")/COUNTIFS(Tasks!$A:$A,$A380,Tasks!$B:$B,$B380)*100,0),"")</f>
        <v/>
      </c>
      <c r="G380" s="5" t="str">
        <f>IFERROR(ROUND(COUNTIFS(Tasks!$A:$A,$A380,Tasks!$B:$B,$B380,Tasks!$H:$H,"&lt;="&amp;INDEX(Weeks!$D:$D,MATCH($C380,Weeks!$A:$A,0)))/COUNTIFS(Tasks!$A:$A,$A380,Tasks!$B:$B,$B380)*100,0),"")</f>
        <v/>
      </c>
      <c r="H380" t="s">
        <v>91</v>
      </c>
      <c r="I380">
        <f>COUNTIFS(Tasks!$A:$A,$A380,Tasks!$B:$B,$B380,Tasks!$G:$G,"&lt;="&amp;INDEX(Weeks!$D:$D,MATCH($C380,Weeks!$A:$A,0)))-COUNTIFS(Tasks!$A:$A,$A380,Tasks!$B:$B,$B380,Tasks!$I:$I,"&lt;="&amp;INDEX(Weeks!$D:$D,MATCH($C380,Weeks!$A:$A,0)),Tasks!$I:$I,"&lt;&gt;")</f>
        <v>0</v>
      </c>
      <c r="J380">
        <f>COUNTIFS(Tasks!$A:$A,$A380,Tasks!$B:$B,$B380,
Tasks!$I:$I,"&gt;"&amp;IFERROR(INDEX(Weeks!$D:$D,MATCH($C380-1,Weeks!$A:$A,0)),DATE(2000,1,1)),
Tasks!$I:$I,"&lt;="&amp;INDEX(Weeks!$D:$D,MATCH($C380,Weeks!$A:$A,0)),
Tasks!$I:$I,"&lt;&gt;")</f>
        <v>0</v>
      </c>
    </row>
    <row r="381" spans="1:10" ht="15" customHeight="1">
      <c r="A381" t="s">
        <v>93</v>
      </c>
      <c r="B381" t="s">
        <v>95</v>
      </c>
      <c r="C381">
        <v>16</v>
      </c>
      <c r="D381">
        <v>4</v>
      </c>
      <c r="E381">
        <v>3</v>
      </c>
      <c r="F381" s="5" t="str">
        <f>IFERROR(ROUND(COUNTIFS(Tasks!$A:$A,$A381,Tasks!$B:$B,$B381,Tasks!$I:$I,"&lt;="&amp;INDEX(Weeks!$D:$D,MATCH($C381,Weeks!$A:$A,0)),Tasks!$I:$I,"&lt;&gt;")/COUNTIFS(Tasks!$A:$A,$A381,Tasks!$B:$B,$B381)*100,0),"")</f>
        <v/>
      </c>
      <c r="G381" s="5" t="str">
        <f>IFERROR(ROUND(COUNTIFS(Tasks!$A:$A,$A381,Tasks!$B:$B,$B381,Tasks!$H:$H,"&lt;="&amp;INDEX(Weeks!$D:$D,MATCH($C381,Weeks!$A:$A,0)))/COUNTIFS(Tasks!$A:$A,$A381,Tasks!$B:$B,$B381)*100,0),"")</f>
        <v/>
      </c>
      <c r="H381" t="s">
        <v>91</v>
      </c>
      <c r="I381">
        <f>COUNTIFS(Tasks!$A:$A,$A381,Tasks!$B:$B,$B381,Tasks!$G:$G,"&lt;="&amp;INDEX(Weeks!$D:$D,MATCH($C381,Weeks!$A:$A,0)))-COUNTIFS(Tasks!$A:$A,$A381,Tasks!$B:$B,$B381,Tasks!$I:$I,"&lt;="&amp;INDEX(Weeks!$D:$D,MATCH($C381,Weeks!$A:$A,0)),Tasks!$I:$I,"&lt;&gt;")</f>
        <v>0</v>
      </c>
      <c r="J381">
        <f>COUNTIFS(Tasks!$A:$A,$A381,Tasks!$B:$B,$B381,
Tasks!$I:$I,"&gt;"&amp;IFERROR(INDEX(Weeks!$D:$D,MATCH($C381-1,Weeks!$A:$A,0)),DATE(2000,1,1)),
Tasks!$I:$I,"&lt;="&amp;INDEX(Weeks!$D:$D,MATCH($C381,Weeks!$A:$A,0)),
Tasks!$I:$I,"&lt;&gt;")</f>
        <v>0</v>
      </c>
    </row>
    <row r="382" spans="1:10" ht="15" customHeight="1">
      <c r="A382" t="s">
        <v>93</v>
      </c>
      <c r="B382" t="s">
        <v>95</v>
      </c>
      <c r="C382">
        <v>17</v>
      </c>
      <c r="D382">
        <v>4</v>
      </c>
      <c r="E382">
        <v>4</v>
      </c>
      <c r="F382" s="5" t="str">
        <f>IFERROR(ROUND(COUNTIFS(Tasks!$A:$A,$A382,Tasks!$B:$B,$B382,Tasks!$I:$I,"&lt;="&amp;INDEX(Weeks!$D:$D,MATCH($C382,Weeks!$A:$A,0)),Tasks!$I:$I,"&lt;&gt;")/COUNTIFS(Tasks!$A:$A,$A382,Tasks!$B:$B,$B382)*100,0),"")</f>
        <v/>
      </c>
      <c r="G382" s="5" t="str">
        <f>IFERROR(ROUND(COUNTIFS(Tasks!$A:$A,$A382,Tasks!$B:$B,$B382,Tasks!$H:$H,"&lt;="&amp;INDEX(Weeks!$D:$D,MATCH($C382,Weeks!$A:$A,0)))/COUNTIFS(Tasks!$A:$A,$A382,Tasks!$B:$B,$B382)*100,0),"")</f>
        <v/>
      </c>
      <c r="H382" t="s">
        <v>91</v>
      </c>
      <c r="I382">
        <f>COUNTIFS(Tasks!$A:$A,$A382,Tasks!$B:$B,$B382,Tasks!$G:$G,"&lt;="&amp;INDEX(Weeks!$D:$D,MATCH($C382,Weeks!$A:$A,0)))-COUNTIFS(Tasks!$A:$A,$A382,Tasks!$B:$B,$B382,Tasks!$I:$I,"&lt;="&amp;INDEX(Weeks!$D:$D,MATCH($C382,Weeks!$A:$A,0)),Tasks!$I:$I,"&lt;&gt;")</f>
        <v>0</v>
      </c>
      <c r="J382">
        <f>COUNTIFS(Tasks!$A:$A,$A382,Tasks!$B:$B,$B382,
Tasks!$I:$I,"&gt;"&amp;IFERROR(INDEX(Weeks!$D:$D,MATCH($C382-1,Weeks!$A:$A,0)),DATE(2000,1,1)),
Tasks!$I:$I,"&lt;="&amp;INDEX(Weeks!$D:$D,MATCH($C382,Weeks!$A:$A,0)),
Tasks!$I:$I,"&lt;&gt;")</f>
        <v>0</v>
      </c>
    </row>
    <row r="383" spans="1:10" ht="15" customHeight="1">
      <c r="A383" t="s">
        <v>93</v>
      </c>
      <c r="B383" t="s">
        <v>95</v>
      </c>
      <c r="C383">
        <v>18</v>
      </c>
      <c r="D383">
        <v>5</v>
      </c>
      <c r="E383">
        <v>1</v>
      </c>
      <c r="F383" s="5" t="str">
        <f>IFERROR(ROUND(COUNTIFS(Tasks!$A:$A,$A383,Tasks!$B:$B,$B383,Tasks!$I:$I,"&lt;="&amp;INDEX(Weeks!$D:$D,MATCH($C383,Weeks!$A:$A,0)),Tasks!$I:$I,"&lt;&gt;")/COUNTIFS(Tasks!$A:$A,$A383,Tasks!$B:$B,$B383)*100,0),"")</f>
        <v/>
      </c>
      <c r="G383" s="5" t="str">
        <f>IFERROR(ROUND(COUNTIFS(Tasks!$A:$A,$A383,Tasks!$B:$B,$B383,Tasks!$H:$H,"&lt;="&amp;INDEX(Weeks!$D:$D,MATCH($C383,Weeks!$A:$A,0)))/COUNTIFS(Tasks!$A:$A,$A383,Tasks!$B:$B,$B383)*100,0),"")</f>
        <v/>
      </c>
      <c r="H383" t="s">
        <v>91</v>
      </c>
      <c r="I383">
        <f>COUNTIFS(Tasks!$A:$A,$A383,Tasks!$B:$B,$B383,Tasks!$G:$G,"&lt;="&amp;INDEX(Weeks!$D:$D,MATCH($C383,Weeks!$A:$A,0)))-COUNTIFS(Tasks!$A:$A,$A383,Tasks!$B:$B,$B383,Tasks!$I:$I,"&lt;="&amp;INDEX(Weeks!$D:$D,MATCH($C383,Weeks!$A:$A,0)),Tasks!$I:$I,"&lt;&gt;")</f>
        <v>0</v>
      </c>
      <c r="J383">
        <f>COUNTIFS(Tasks!$A:$A,$A383,Tasks!$B:$B,$B383,
Tasks!$I:$I,"&gt;"&amp;IFERROR(INDEX(Weeks!$D:$D,MATCH($C383-1,Weeks!$A:$A,0)),DATE(2000,1,1)),
Tasks!$I:$I,"&lt;="&amp;INDEX(Weeks!$D:$D,MATCH($C383,Weeks!$A:$A,0)),
Tasks!$I:$I,"&lt;&gt;")</f>
        <v>0</v>
      </c>
    </row>
    <row r="384" spans="1:10" ht="15" customHeight="1">
      <c r="A384" t="s">
        <v>93</v>
      </c>
      <c r="B384" t="s">
        <v>95</v>
      </c>
      <c r="C384">
        <v>19</v>
      </c>
      <c r="D384">
        <v>5</v>
      </c>
      <c r="E384">
        <v>2</v>
      </c>
      <c r="F384" s="5" t="str">
        <f>IFERROR(ROUND(COUNTIFS(Tasks!$A:$A,$A384,Tasks!$B:$B,$B384,Tasks!$I:$I,"&lt;="&amp;INDEX(Weeks!$D:$D,MATCH($C384,Weeks!$A:$A,0)),Tasks!$I:$I,"&lt;&gt;")/COUNTIFS(Tasks!$A:$A,$A384,Tasks!$B:$B,$B384)*100,0),"")</f>
        <v/>
      </c>
      <c r="G384" s="5" t="str">
        <f>IFERROR(ROUND(COUNTIFS(Tasks!$A:$A,$A384,Tasks!$B:$B,$B384,Tasks!$H:$H,"&lt;="&amp;INDEX(Weeks!$D:$D,MATCH($C384,Weeks!$A:$A,0)))/COUNTIFS(Tasks!$A:$A,$A384,Tasks!$B:$B,$B384)*100,0),"")</f>
        <v/>
      </c>
      <c r="H384" t="s">
        <v>91</v>
      </c>
      <c r="I384">
        <f>COUNTIFS(Tasks!$A:$A,$A384,Tasks!$B:$B,$B384,Tasks!$G:$G,"&lt;="&amp;INDEX(Weeks!$D:$D,MATCH($C384,Weeks!$A:$A,0)))-COUNTIFS(Tasks!$A:$A,$A384,Tasks!$B:$B,$B384,Tasks!$I:$I,"&lt;="&amp;INDEX(Weeks!$D:$D,MATCH($C384,Weeks!$A:$A,0)),Tasks!$I:$I,"&lt;&gt;")</f>
        <v>0</v>
      </c>
      <c r="J384">
        <f>COUNTIFS(Tasks!$A:$A,$A384,Tasks!$B:$B,$B384,
Tasks!$I:$I,"&gt;"&amp;IFERROR(INDEX(Weeks!$D:$D,MATCH($C384-1,Weeks!$A:$A,0)),DATE(2000,1,1)),
Tasks!$I:$I,"&lt;="&amp;INDEX(Weeks!$D:$D,MATCH($C384,Weeks!$A:$A,0)),
Tasks!$I:$I,"&lt;&gt;")</f>
        <v>0</v>
      </c>
    </row>
    <row r="385" spans="1:10" ht="15" customHeight="1">
      <c r="A385" t="s">
        <v>93</v>
      </c>
      <c r="B385" t="s">
        <v>95</v>
      </c>
      <c r="C385">
        <v>20</v>
      </c>
      <c r="D385">
        <v>5</v>
      </c>
      <c r="E385">
        <v>3</v>
      </c>
      <c r="F385" s="5" t="str">
        <f>IFERROR(ROUND(COUNTIFS(Tasks!$A:$A,$A385,Tasks!$B:$B,$B385,Tasks!$I:$I,"&lt;="&amp;INDEX(Weeks!$D:$D,MATCH($C385,Weeks!$A:$A,0)),Tasks!$I:$I,"&lt;&gt;")/COUNTIFS(Tasks!$A:$A,$A385,Tasks!$B:$B,$B385)*100,0),"")</f>
        <v/>
      </c>
      <c r="G385" s="5" t="str">
        <f>IFERROR(ROUND(COUNTIFS(Tasks!$A:$A,$A385,Tasks!$B:$B,$B385,Tasks!$H:$H,"&lt;="&amp;INDEX(Weeks!$D:$D,MATCH($C385,Weeks!$A:$A,0)))/COUNTIFS(Tasks!$A:$A,$A385,Tasks!$B:$B,$B385)*100,0),"")</f>
        <v/>
      </c>
      <c r="H385" t="s">
        <v>91</v>
      </c>
      <c r="I385">
        <f>COUNTIFS(Tasks!$A:$A,$A385,Tasks!$B:$B,$B385,Tasks!$G:$G,"&lt;="&amp;INDEX(Weeks!$D:$D,MATCH($C385,Weeks!$A:$A,0)))-COUNTIFS(Tasks!$A:$A,$A385,Tasks!$B:$B,$B385,Tasks!$I:$I,"&lt;="&amp;INDEX(Weeks!$D:$D,MATCH($C385,Weeks!$A:$A,0)),Tasks!$I:$I,"&lt;&gt;")</f>
        <v>0</v>
      </c>
      <c r="J385">
        <f>COUNTIFS(Tasks!$A:$A,$A385,Tasks!$B:$B,$B385,
Tasks!$I:$I,"&gt;"&amp;IFERROR(INDEX(Weeks!$D:$D,MATCH($C385-1,Weeks!$A:$A,0)),DATE(2000,1,1)),
Tasks!$I:$I,"&lt;="&amp;INDEX(Weeks!$D:$D,MATCH($C385,Weeks!$A:$A,0)),
Tasks!$I:$I,"&lt;&gt;")</f>
        <v>0</v>
      </c>
    </row>
    <row r="386" spans="1:10" ht="15" customHeight="1">
      <c r="A386" t="s">
        <v>93</v>
      </c>
      <c r="B386" t="s">
        <v>95</v>
      </c>
      <c r="C386">
        <v>21</v>
      </c>
      <c r="D386">
        <v>5</v>
      </c>
      <c r="E386">
        <v>4</v>
      </c>
      <c r="F386" s="5" t="str">
        <f>IFERROR(ROUND(COUNTIFS(Tasks!$A:$A,$A386,Tasks!$B:$B,$B386,Tasks!$I:$I,"&lt;="&amp;INDEX(Weeks!$D:$D,MATCH($C386,Weeks!$A:$A,0)),Tasks!$I:$I,"&lt;&gt;")/COUNTIFS(Tasks!$A:$A,$A386,Tasks!$B:$B,$B386)*100,0),"")</f>
        <v/>
      </c>
      <c r="G386" s="5" t="str">
        <f>IFERROR(ROUND(COUNTIFS(Tasks!$A:$A,$A386,Tasks!$B:$B,$B386,Tasks!$H:$H,"&lt;="&amp;INDEX(Weeks!$D:$D,MATCH($C386,Weeks!$A:$A,0)))/COUNTIFS(Tasks!$A:$A,$A386,Tasks!$B:$B,$B386)*100,0),"")</f>
        <v/>
      </c>
      <c r="H386" t="s">
        <v>91</v>
      </c>
      <c r="I386">
        <f>COUNTIFS(Tasks!$A:$A,$A386,Tasks!$B:$B,$B386,Tasks!$G:$G,"&lt;="&amp;INDEX(Weeks!$D:$D,MATCH($C386,Weeks!$A:$A,0)))-COUNTIFS(Tasks!$A:$A,$A386,Tasks!$B:$B,$B386,Tasks!$I:$I,"&lt;="&amp;INDEX(Weeks!$D:$D,MATCH($C386,Weeks!$A:$A,0)),Tasks!$I:$I,"&lt;&gt;")</f>
        <v>0</v>
      </c>
      <c r="J386">
        <f>COUNTIFS(Tasks!$A:$A,$A386,Tasks!$B:$B,$B386,
Tasks!$I:$I,"&gt;"&amp;IFERROR(INDEX(Weeks!$D:$D,MATCH($C386-1,Weeks!$A:$A,0)),DATE(2000,1,1)),
Tasks!$I:$I,"&lt;="&amp;INDEX(Weeks!$D:$D,MATCH($C386,Weeks!$A:$A,0)),
Tasks!$I:$I,"&lt;&gt;")</f>
        <v>0</v>
      </c>
    </row>
    <row r="387" spans="1:10" ht="15" customHeight="1">
      <c r="A387" t="s">
        <v>93</v>
      </c>
      <c r="B387" t="s">
        <v>95</v>
      </c>
      <c r="C387">
        <v>22</v>
      </c>
      <c r="D387">
        <v>5</v>
      </c>
      <c r="E387">
        <v>5</v>
      </c>
      <c r="F387" s="5" t="str">
        <f>IFERROR(ROUND(COUNTIFS(Tasks!$A:$A,$A387,Tasks!$B:$B,$B387,Tasks!$I:$I,"&lt;="&amp;INDEX(Weeks!$D:$D,MATCH($C387,Weeks!$A:$A,0)),Tasks!$I:$I,"&lt;&gt;")/COUNTIFS(Tasks!$A:$A,$A387,Tasks!$B:$B,$B387)*100,0),"")</f>
        <v/>
      </c>
      <c r="G387" s="5" t="str">
        <f>IFERROR(ROUND(COUNTIFS(Tasks!$A:$A,$A387,Tasks!$B:$B,$B387,Tasks!$H:$H,"&lt;="&amp;INDEX(Weeks!$D:$D,MATCH($C387,Weeks!$A:$A,0)))/COUNTIFS(Tasks!$A:$A,$A387,Tasks!$B:$B,$B387)*100,0),"")</f>
        <v/>
      </c>
      <c r="H387" t="s">
        <v>91</v>
      </c>
      <c r="I387">
        <f>COUNTIFS(Tasks!$A:$A,$A387,Tasks!$B:$B,$B387,Tasks!$G:$G,"&lt;="&amp;INDEX(Weeks!$D:$D,MATCH($C387,Weeks!$A:$A,0)))-COUNTIFS(Tasks!$A:$A,$A387,Tasks!$B:$B,$B387,Tasks!$I:$I,"&lt;="&amp;INDEX(Weeks!$D:$D,MATCH($C387,Weeks!$A:$A,0)),Tasks!$I:$I,"&lt;&gt;")</f>
        <v>0</v>
      </c>
      <c r="J387">
        <f>COUNTIFS(Tasks!$A:$A,$A387,Tasks!$B:$B,$B387,
Tasks!$I:$I,"&gt;"&amp;IFERROR(INDEX(Weeks!$D:$D,MATCH($C387-1,Weeks!$A:$A,0)),DATE(2000,1,1)),
Tasks!$I:$I,"&lt;="&amp;INDEX(Weeks!$D:$D,MATCH($C387,Weeks!$A:$A,0)),
Tasks!$I:$I,"&lt;&gt;")</f>
        <v>0</v>
      </c>
    </row>
    <row r="388" spans="1:10" ht="15" customHeight="1">
      <c r="A388" t="s">
        <v>93</v>
      </c>
      <c r="B388" t="s">
        <v>95</v>
      </c>
      <c r="C388">
        <v>23</v>
      </c>
      <c r="D388">
        <v>6</v>
      </c>
      <c r="E388">
        <v>1</v>
      </c>
      <c r="F388" s="5" t="str">
        <f>IFERROR(ROUND(COUNTIFS(Tasks!$A:$A,$A388,Tasks!$B:$B,$B388,Tasks!$I:$I,"&lt;="&amp;INDEX(Weeks!$D:$D,MATCH($C388,Weeks!$A:$A,0)),Tasks!$I:$I,"&lt;&gt;")/COUNTIFS(Tasks!$A:$A,$A388,Tasks!$B:$B,$B388)*100,0),"")</f>
        <v/>
      </c>
      <c r="G388" s="5" t="str">
        <f>IFERROR(ROUND(COUNTIFS(Tasks!$A:$A,$A388,Tasks!$B:$B,$B388,Tasks!$H:$H,"&lt;="&amp;INDEX(Weeks!$D:$D,MATCH($C388,Weeks!$A:$A,0)))/COUNTIFS(Tasks!$A:$A,$A388,Tasks!$B:$B,$B388)*100,0),"")</f>
        <v/>
      </c>
      <c r="H388" t="s">
        <v>91</v>
      </c>
      <c r="I388">
        <f>COUNTIFS(Tasks!$A:$A,$A388,Tasks!$B:$B,$B388,Tasks!$G:$G,"&lt;="&amp;INDEX(Weeks!$D:$D,MATCH($C388,Weeks!$A:$A,0)))-COUNTIFS(Tasks!$A:$A,$A388,Tasks!$B:$B,$B388,Tasks!$I:$I,"&lt;="&amp;INDEX(Weeks!$D:$D,MATCH($C388,Weeks!$A:$A,0)),Tasks!$I:$I,"&lt;&gt;")</f>
        <v>0</v>
      </c>
      <c r="J388">
        <f>COUNTIFS(Tasks!$A:$A,$A388,Tasks!$B:$B,$B388,
Tasks!$I:$I,"&gt;"&amp;IFERROR(INDEX(Weeks!$D:$D,MATCH($C388-1,Weeks!$A:$A,0)),DATE(2000,1,1)),
Tasks!$I:$I,"&lt;="&amp;INDEX(Weeks!$D:$D,MATCH($C388,Weeks!$A:$A,0)),
Tasks!$I:$I,"&lt;&gt;")</f>
        <v>0</v>
      </c>
    </row>
    <row r="389" spans="1:10" ht="15" customHeight="1">
      <c r="A389" t="s">
        <v>93</v>
      </c>
      <c r="B389" t="s">
        <v>95</v>
      </c>
      <c r="C389">
        <v>24</v>
      </c>
      <c r="D389">
        <v>6</v>
      </c>
      <c r="E389">
        <v>2</v>
      </c>
      <c r="F389" s="5" t="str">
        <f>IFERROR(ROUND(COUNTIFS(Tasks!$A:$A,$A389,Tasks!$B:$B,$B389,Tasks!$I:$I,"&lt;="&amp;INDEX(Weeks!$D:$D,MATCH($C389,Weeks!$A:$A,0)),Tasks!$I:$I,"&lt;&gt;")/COUNTIFS(Tasks!$A:$A,$A389,Tasks!$B:$B,$B389)*100,0),"")</f>
        <v/>
      </c>
      <c r="G389" s="5" t="str">
        <f>IFERROR(ROUND(COUNTIFS(Tasks!$A:$A,$A389,Tasks!$B:$B,$B389,Tasks!$H:$H,"&lt;="&amp;INDEX(Weeks!$D:$D,MATCH($C389,Weeks!$A:$A,0)))/COUNTIFS(Tasks!$A:$A,$A389,Tasks!$B:$B,$B389)*100,0),"")</f>
        <v/>
      </c>
      <c r="H389" t="s">
        <v>91</v>
      </c>
      <c r="I389">
        <f>COUNTIFS(Tasks!$A:$A,$A389,Tasks!$B:$B,$B389,Tasks!$G:$G,"&lt;="&amp;INDEX(Weeks!$D:$D,MATCH($C389,Weeks!$A:$A,0)))-COUNTIFS(Tasks!$A:$A,$A389,Tasks!$B:$B,$B389,Tasks!$I:$I,"&lt;="&amp;INDEX(Weeks!$D:$D,MATCH($C389,Weeks!$A:$A,0)),Tasks!$I:$I,"&lt;&gt;")</f>
        <v>0</v>
      </c>
      <c r="J389">
        <f>COUNTIFS(Tasks!$A:$A,$A389,Tasks!$B:$B,$B389,
Tasks!$I:$I,"&gt;"&amp;IFERROR(INDEX(Weeks!$D:$D,MATCH($C389-1,Weeks!$A:$A,0)),DATE(2000,1,1)),
Tasks!$I:$I,"&lt;="&amp;INDEX(Weeks!$D:$D,MATCH($C389,Weeks!$A:$A,0)),
Tasks!$I:$I,"&lt;&gt;")</f>
        <v>0</v>
      </c>
    </row>
    <row r="390" spans="1:10" ht="15" customHeight="1">
      <c r="A390" t="s">
        <v>93</v>
      </c>
      <c r="B390" t="s">
        <v>95</v>
      </c>
      <c r="C390">
        <v>25</v>
      </c>
      <c r="D390">
        <v>6</v>
      </c>
      <c r="E390">
        <v>3</v>
      </c>
      <c r="F390" s="5" t="str">
        <f>IFERROR(ROUND(COUNTIFS(Tasks!$A:$A,$A390,Tasks!$B:$B,$B390,Tasks!$I:$I,"&lt;="&amp;INDEX(Weeks!$D:$D,MATCH($C390,Weeks!$A:$A,0)),Tasks!$I:$I,"&lt;&gt;")/COUNTIFS(Tasks!$A:$A,$A390,Tasks!$B:$B,$B390)*100,0),"")</f>
        <v/>
      </c>
      <c r="G390" s="5" t="str">
        <f>IFERROR(ROUND(COUNTIFS(Tasks!$A:$A,$A390,Tasks!$B:$B,$B390,Tasks!$H:$H,"&lt;="&amp;INDEX(Weeks!$D:$D,MATCH($C390,Weeks!$A:$A,0)))/COUNTIFS(Tasks!$A:$A,$A390,Tasks!$B:$B,$B390)*100,0),"")</f>
        <v/>
      </c>
      <c r="I390">
        <f>COUNTIFS(Tasks!$A:$A,$A390,Tasks!$B:$B,$B390,Tasks!$G:$G,"&lt;="&amp;INDEX(Weeks!$D:$D,MATCH($C390,Weeks!$A:$A,0)))-COUNTIFS(Tasks!$A:$A,$A390,Tasks!$B:$B,$B390,Tasks!$I:$I,"&lt;="&amp;INDEX(Weeks!$D:$D,MATCH($C390,Weeks!$A:$A,0)),Tasks!$I:$I,"&lt;&gt;")</f>
        <v>0</v>
      </c>
      <c r="J390">
        <f>COUNTIFS(Tasks!$A:$A,$A390,Tasks!$B:$B,$B390,
Tasks!$I:$I,"&gt;"&amp;IFERROR(INDEX(Weeks!$D:$D,MATCH($C390-1,Weeks!$A:$A,0)),DATE(2000,1,1)),
Tasks!$I:$I,"&lt;="&amp;INDEX(Weeks!$D:$D,MATCH($C390,Weeks!$A:$A,0)),
Tasks!$I:$I,"&lt;&gt;")</f>
        <v>0</v>
      </c>
    </row>
    <row r="391" spans="1:10" ht="15" customHeight="1">
      <c r="A391" t="s">
        <v>93</v>
      </c>
      <c r="B391" t="s">
        <v>95</v>
      </c>
      <c r="C391">
        <v>26</v>
      </c>
      <c r="D391">
        <v>6</v>
      </c>
      <c r="E391">
        <v>4</v>
      </c>
      <c r="F391" s="5" t="str">
        <f>IFERROR(ROUND(COUNTIFS(Tasks!$A:$A,$A391,Tasks!$B:$B,$B391,Tasks!$I:$I,"&lt;="&amp;INDEX(Weeks!$D:$D,MATCH($C391,Weeks!$A:$A,0)),Tasks!$I:$I,"&lt;&gt;")/COUNTIFS(Tasks!$A:$A,$A391,Tasks!$B:$B,$B391)*100,0),"")</f>
        <v/>
      </c>
      <c r="G391" s="5" t="str">
        <f>IFERROR(ROUND(COUNTIFS(Tasks!$A:$A,$A391,Tasks!$B:$B,$B391,Tasks!$H:$H,"&lt;="&amp;INDEX(Weeks!$D:$D,MATCH($C391,Weeks!$A:$A,0)))/COUNTIFS(Tasks!$A:$A,$A391,Tasks!$B:$B,$B391)*100,0),"")</f>
        <v/>
      </c>
      <c r="I391">
        <f>COUNTIFS(Tasks!$A:$A,$A391,Tasks!$B:$B,$B391,Tasks!$G:$G,"&lt;="&amp;INDEX(Weeks!$D:$D,MATCH($C391,Weeks!$A:$A,0)))-COUNTIFS(Tasks!$A:$A,$A391,Tasks!$B:$B,$B391,Tasks!$I:$I,"&lt;="&amp;INDEX(Weeks!$D:$D,MATCH($C391,Weeks!$A:$A,0)),Tasks!$I:$I,"&lt;&gt;")</f>
        <v>0</v>
      </c>
      <c r="J391">
        <f>COUNTIFS(Tasks!$A:$A,$A391,Tasks!$B:$B,$B391,
Tasks!$I:$I,"&gt;"&amp;IFERROR(INDEX(Weeks!$D:$D,MATCH($C391-1,Weeks!$A:$A,0)),DATE(2000,1,1)),
Tasks!$I:$I,"&lt;="&amp;INDEX(Weeks!$D:$D,MATCH($C391,Weeks!$A:$A,0)),
Tasks!$I:$I,"&lt;&gt;")</f>
        <v>0</v>
      </c>
    </row>
    <row r="392" spans="1:10" ht="15" customHeight="1">
      <c r="A392" t="s">
        <v>93</v>
      </c>
      <c r="B392" t="s">
        <v>95</v>
      </c>
      <c r="C392">
        <v>27</v>
      </c>
      <c r="D392">
        <v>7</v>
      </c>
      <c r="E392">
        <v>1</v>
      </c>
      <c r="F392" s="5" t="str">
        <f>IFERROR(ROUND(COUNTIFS(Tasks!$A:$A,$A392,Tasks!$B:$B,$B392,Tasks!$I:$I,"&lt;="&amp;INDEX(Weeks!$D:$D,MATCH($C392,Weeks!$A:$A,0)),Tasks!$I:$I,"&lt;&gt;")/COUNTIFS(Tasks!$A:$A,$A392,Tasks!$B:$B,$B392)*100,0),"")</f>
        <v/>
      </c>
      <c r="G392" s="5" t="str">
        <f>IFERROR(ROUND(COUNTIFS(Tasks!$A:$A,$A392,Tasks!$B:$B,$B392,Tasks!$H:$H,"&lt;="&amp;INDEX(Weeks!$D:$D,MATCH($C392,Weeks!$A:$A,0)))/COUNTIFS(Tasks!$A:$A,$A392,Tasks!$B:$B,$B392)*100,0),"")</f>
        <v/>
      </c>
      <c r="I392">
        <f>COUNTIFS(Tasks!$A:$A,$A392,Tasks!$B:$B,$B392,Tasks!$G:$G,"&lt;="&amp;INDEX(Weeks!$D:$D,MATCH($C392,Weeks!$A:$A,0)))-COUNTIFS(Tasks!$A:$A,$A392,Tasks!$B:$B,$B392,Tasks!$I:$I,"&lt;="&amp;INDEX(Weeks!$D:$D,MATCH($C392,Weeks!$A:$A,0)),Tasks!$I:$I,"&lt;&gt;")</f>
        <v>0</v>
      </c>
      <c r="J392">
        <f>COUNTIFS(Tasks!$A:$A,$A392,Tasks!$B:$B,$B392,
Tasks!$I:$I,"&gt;"&amp;IFERROR(INDEX(Weeks!$D:$D,MATCH($C392-1,Weeks!$A:$A,0)),DATE(2000,1,1)),
Tasks!$I:$I,"&lt;="&amp;INDEX(Weeks!$D:$D,MATCH($C392,Weeks!$A:$A,0)),
Tasks!$I:$I,"&lt;&gt;")</f>
        <v>0</v>
      </c>
    </row>
    <row r="393" spans="1:10" ht="15" customHeight="1">
      <c r="A393" t="s">
        <v>93</v>
      </c>
      <c r="B393" t="s">
        <v>95</v>
      </c>
      <c r="C393">
        <v>28</v>
      </c>
      <c r="D393">
        <v>7</v>
      </c>
      <c r="E393">
        <v>2</v>
      </c>
      <c r="F393" s="5" t="str">
        <f>IFERROR(ROUND(COUNTIFS(Tasks!$A:$A,$A393,Tasks!$B:$B,$B393,Tasks!$I:$I,"&lt;="&amp;INDEX(Weeks!$D:$D,MATCH($C393,Weeks!$A:$A,0)),Tasks!$I:$I,"&lt;&gt;")/COUNTIFS(Tasks!$A:$A,$A393,Tasks!$B:$B,$B393)*100,0),"")</f>
        <v/>
      </c>
      <c r="G393" s="5" t="str">
        <f>IFERROR(ROUND(COUNTIFS(Tasks!$A:$A,$A393,Tasks!$B:$B,$B393,Tasks!$H:$H,"&lt;="&amp;INDEX(Weeks!$D:$D,MATCH($C393,Weeks!$A:$A,0)))/COUNTIFS(Tasks!$A:$A,$A393,Tasks!$B:$B,$B393)*100,0),"")</f>
        <v/>
      </c>
      <c r="I393">
        <f>COUNTIFS(Tasks!$A:$A,$A393,Tasks!$B:$B,$B393,Tasks!$G:$G,"&lt;="&amp;INDEX(Weeks!$D:$D,MATCH($C393,Weeks!$A:$A,0)))-COUNTIFS(Tasks!$A:$A,$A393,Tasks!$B:$B,$B393,Tasks!$I:$I,"&lt;="&amp;INDEX(Weeks!$D:$D,MATCH($C393,Weeks!$A:$A,0)),Tasks!$I:$I,"&lt;&gt;")</f>
        <v>0</v>
      </c>
      <c r="J393">
        <f>COUNTIFS(Tasks!$A:$A,$A393,Tasks!$B:$B,$B393,
Tasks!$I:$I,"&gt;"&amp;IFERROR(INDEX(Weeks!$D:$D,MATCH($C393-1,Weeks!$A:$A,0)),DATE(2000,1,1)),
Tasks!$I:$I,"&lt;="&amp;INDEX(Weeks!$D:$D,MATCH($C393,Weeks!$A:$A,0)),
Tasks!$I:$I,"&lt;&gt;")</f>
        <v>0</v>
      </c>
    </row>
    <row r="394" spans="1:10" ht="15" customHeight="1">
      <c r="A394" t="s">
        <v>93</v>
      </c>
      <c r="B394" t="s">
        <v>95</v>
      </c>
      <c r="C394">
        <v>29</v>
      </c>
      <c r="D394">
        <v>7</v>
      </c>
      <c r="E394">
        <v>3</v>
      </c>
      <c r="F394" s="5" t="str">
        <f>IFERROR(ROUND(COUNTIFS(Tasks!$A:$A,$A394,Tasks!$B:$B,$B394,Tasks!$I:$I,"&lt;="&amp;INDEX(Weeks!$D:$D,MATCH($C394,Weeks!$A:$A,0)),Tasks!$I:$I,"&lt;&gt;")/COUNTIFS(Tasks!$A:$A,$A394,Tasks!$B:$B,$B394)*100,0),"")</f>
        <v/>
      </c>
      <c r="G394" s="5" t="str">
        <f>IFERROR(ROUND(COUNTIFS(Tasks!$A:$A,$A394,Tasks!$B:$B,$B394,Tasks!$H:$H,"&lt;="&amp;INDEX(Weeks!$D:$D,MATCH($C394,Weeks!$A:$A,0)))/COUNTIFS(Tasks!$A:$A,$A394,Tasks!$B:$B,$B394)*100,0),"")</f>
        <v/>
      </c>
      <c r="I394">
        <f>COUNTIFS(Tasks!$A:$A,$A394,Tasks!$B:$B,$B394,Tasks!$G:$G,"&lt;="&amp;INDEX(Weeks!$D:$D,MATCH($C394,Weeks!$A:$A,0)))-COUNTIFS(Tasks!$A:$A,$A394,Tasks!$B:$B,$B394,Tasks!$I:$I,"&lt;="&amp;INDEX(Weeks!$D:$D,MATCH($C394,Weeks!$A:$A,0)),Tasks!$I:$I,"&lt;&gt;")</f>
        <v>0</v>
      </c>
      <c r="J394">
        <f>COUNTIFS(Tasks!$A:$A,$A394,Tasks!$B:$B,$B394,
Tasks!$I:$I,"&gt;"&amp;IFERROR(INDEX(Weeks!$D:$D,MATCH($C394-1,Weeks!$A:$A,0)),DATE(2000,1,1)),
Tasks!$I:$I,"&lt;="&amp;INDEX(Weeks!$D:$D,MATCH($C394,Weeks!$A:$A,0)),
Tasks!$I:$I,"&lt;&gt;")</f>
        <v>0</v>
      </c>
    </row>
    <row r="395" spans="1:10" ht="15" customHeight="1">
      <c r="A395" t="s">
        <v>93</v>
      </c>
      <c r="B395" t="s">
        <v>95</v>
      </c>
      <c r="C395">
        <v>30</v>
      </c>
      <c r="D395">
        <v>7</v>
      </c>
      <c r="E395">
        <v>4</v>
      </c>
      <c r="F395" s="5" t="str">
        <f>IFERROR(ROUND(COUNTIFS(Tasks!$A:$A,$A395,Tasks!$B:$B,$B395,Tasks!$I:$I,"&lt;="&amp;INDEX(Weeks!$D:$D,MATCH($C395,Weeks!$A:$A,0)),Tasks!$I:$I,"&lt;&gt;")/COUNTIFS(Tasks!$A:$A,$A395,Tasks!$B:$B,$B395)*100,0),"")</f>
        <v/>
      </c>
      <c r="G395" s="5" t="str">
        <f>IFERROR(ROUND(COUNTIFS(Tasks!$A:$A,$A395,Tasks!$B:$B,$B395,Tasks!$H:$H,"&lt;="&amp;INDEX(Weeks!$D:$D,MATCH($C395,Weeks!$A:$A,0)))/COUNTIFS(Tasks!$A:$A,$A395,Tasks!$B:$B,$B395)*100,0),"")</f>
        <v/>
      </c>
      <c r="I395">
        <f>COUNTIFS(Tasks!$A:$A,$A395,Tasks!$B:$B,$B395,Tasks!$G:$G,"&lt;="&amp;INDEX(Weeks!$D:$D,MATCH($C395,Weeks!$A:$A,0)))-COUNTIFS(Tasks!$A:$A,$A395,Tasks!$B:$B,$B395,Tasks!$I:$I,"&lt;="&amp;INDEX(Weeks!$D:$D,MATCH($C395,Weeks!$A:$A,0)),Tasks!$I:$I,"&lt;&gt;")</f>
        <v>0</v>
      </c>
      <c r="J395">
        <f>COUNTIFS(Tasks!$A:$A,$A395,Tasks!$B:$B,$B395,
Tasks!$I:$I,"&gt;"&amp;IFERROR(INDEX(Weeks!$D:$D,MATCH($C395-1,Weeks!$A:$A,0)),DATE(2000,1,1)),
Tasks!$I:$I,"&lt;="&amp;INDEX(Weeks!$D:$D,MATCH($C395,Weeks!$A:$A,0)),
Tasks!$I:$I,"&lt;&gt;")</f>
        <v>0</v>
      </c>
    </row>
    <row r="396" spans="1:10" ht="15" customHeight="1">
      <c r="A396" t="s">
        <v>93</v>
      </c>
      <c r="B396" t="s">
        <v>95</v>
      </c>
      <c r="C396">
        <v>31</v>
      </c>
      <c r="D396">
        <v>8</v>
      </c>
      <c r="E396">
        <v>1</v>
      </c>
      <c r="F396" s="5" t="str">
        <f>IFERROR(ROUND(COUNTIFS(Tasks!$A:$A,$A396,Tasks!$B:$B,$B396,Tasks!$I:$I,"&lt;="&amp;INDEX(Weeks!$D:$D,MATCH($C396,Weeks!$A:$A,0)),Tasks!$I:$I,"&lt;&gt;")/COUNTIFS(Tasks!$A:$A,$A396,Tasks!$B:$B,$B396)*100,0),"")</f>
        <v/>
      </c>
      <c r="G396" s="5" t="str">
        <f>IFERROR(ROUND(COUNTIFS(Tasks!$A:$A,$A396,Tasks!$B:$B,$B396,Tasks!$H:$H,"&lt;="&amp;INDEX(Weeks!$D:$D,MATCH($C396,Weeks!$A:$A,0)))/COUNTIFS(Tasks!$A:$A,$A396,Tasks!$B:$B,$B396)*100,0),"")</f>
        <v/>
      </c>
      <c r="I396">
        <f>COUNTIFS(Tasks!$A:$A,$A396,Tasks!$B:$B,$B396,Tasks!$G:$G,"&lt;="&amp;INDEX(Weeks!$D:$D,MATCH($C396,Weeks!$A:$A,0)))-COUNTIFS(Tasks!$A:$A,$A396,Tasks!$B:$B,$B396,Tasks!$I:$I,"&lt;="&amp;INDEX(Weeks!$D:$D,MATCH($C396,Weeks!$A:$A,0)),Tasks!$I:$I,"&lt;&gt;")</f>
        <v>0</v>
      </c>
      <c r="J396">
        <f>COUNTIFS(Tasks!$A:$A,$A396,Tasks!$B:$B,$B396,
Tasks!$I:$I,"&gt;"&amp;IFERROR(INDEX(Weeks!$D:$D,MATCH($C396-1,Weeks!$A:$A,0)),DATE(2000,1,1)),
Tasks!$I:$I,"&lt;="&amp;INDEX(Weeks!$D:$D,MATCH($C396,Weeks!$A:$A,0)),
Tasks!$I:$I,"&lt;&gt;")</f>
        <v>0</v>
      </c>
    </row>
    <row r="397" spans="1:10" ht="15" customHeight="1">
      <c r="A397" t="s">
        <v>93</v>
      </c>
      <c r="B397" t="s">
        <v>95</v>
      </c>
      <c r="C397">
        <v>32</v>
      </c>
      <c r="D397">
        <v>8</v>
      </c>
      <c r="E397">
        <v>2</v>
      </c>
      <c r="F397" s="5" t="str">
        <f>IFERROR(ROUND(COUNTIFS(Tasks!$A:$A,$A397,Tasks!$B:$B,$B397,Tasks!$I:$I,"&lt;="&amp;INDEX(Weeks!$D:$D,MATCH($C397,Weeks!$A:$A,0)),Tasks!$I:$I,"&lt;&gt;")/COUNTIFS(Tasks!$A:$A,$A397,Tasks!$B:$B,$B397)*100,0),"")</f>
        <v/>
      </c>
      <c r="G397" s="5" t="str">
        <f>IFERROR(ROUND(COUNTIFS(Tasks!$A:$A,$A397,Tasks!$B:$B,$B397,Tasks!$H:$H,"&lt;="&amp;INDEX(Weeks!$D:$D,MATCH($C397,Weeks!$A:$A,0)))/COUNTIFS(Tasks!$A:$A,$A397,Tasks!$B:$B,$B397)*100,0),"")</f>
        <v/>
      </c>
      <c r="I397">
        <f>COUNTIFS(Tasks!$A:$A,$A397,Tasks!$B:$B,$B397,Tasks!$G:$G,"&lt;="&amp;INDEX(Weeks!$D:$D,MATCH($C397,Weeks!$A:$A,0)))-COUNTIFS(Tasks!$A:$A,$A397,Tasks!$B:$B,$B397,Tasks!$I:$I,"&lt;="&amp;INDEX(Weeks!$D:$D,MATCH($C397,Weeks!$A:$A,0)),Tasks!$I:$I,"&lt;&gt;")</f>
        <v>0</v>
      </c>
      <c r="J397">
        <f>COUNTIFS(Tasks!$A:$A,$A397,Tasks!$B:$B,$B397,
Tasks!$I:$I,"&gt;"&amp;IFERROR(INDEX(Weeks!$D:$D,MATCH($C397-1,Weeks!$A:$A,0)),DATE(2000,1,1)),
Tasks!$I:$I,"&lt;="&amp;INDEX(Weeks!$D:$D,MATCH($C397,Weeks!$A:$A,0)),
Tasks!$I:$I,"&lt;&gt;")</f>
        <v>0</v>
      </c>
    </row>
    <row r="398" spans="1:10" ht="15" customHeight="1">
      <c r="A398" t="s">
        <v>93</v>
      </c>
      <c r="B398" t="s">
        <v>95</v>
      </c>
      <c r="C398">
        <v>33</v>
      </c>
      <c r="D398">
        <v>8</v>
      </c>
      <c r="E398">
        <v>3</v>
      </c>
      <c r="F398" s="5" t="str">
        <f>IFERROR(ROUND(COUNTIFS(Tasks!$A:$A,$A398,Tasks!$B:$B,$B398,Tasks!$I:$I,"&lt;="&amp;INDEX(Weeks!$D:$D,MATCH($C398,Weeks!$A:$A,0)),Tasks!$I:$I,"&lt;&gt;")/COUNTIFS(Tasks!$A:$A,$A398,Tasks!$B:$B,$B398)*100,0),"")</f>
        <v/>
      </c>
      <c r="G398" s="5" t="str">
        <f>IFERROR(ROUND(COUNTIFS(Tasks!$A:$A,$A398,Tasks!$B:$B,$B398,Tasks!$H:$H,"&lt;="&amp;INDEX(Weeks!$D:$D,MATCH($C398,Weeks!$A:$A,0)))/COUNTIFS(Tasks!$A:$A,$A398,Tasks!$B:$B,$B398)*100,0),"")</f>
        <v/>
      </c>
      <c r="I398">
        <f>COUNTIFS(Tasks!$A:$A,$A398,Tasks!$B:$B,$B398,Tasks!$G:$G,"&lt;="&amp;INDEX(Weeks!$D:$D,MATCH($C398,Weeks!$A:$A,0)))-COUNTIFS(Tasks!$A:$A,$A398,Tasks!$B:$B,$B398,Tasks!$I:$I,"&lt;="&amp;INDEX(Weeks!$D:$D,MATCH($C398,Weeks!$A:$A,0)),Tasks!$I:$I,"&lt;&gt;")</f>
        <v>0</v>
      </c>
      <c r="J398">
        <f>COUNTIFS(Tasks!$A:$A,$A398,Tasks!$B:$B,$B398,
Tasks!$I:$I,"&gt;"&amp;IFERROR(INDEX(Weeks!$D:$D,MATCH($C398-1,Weeks!$A:$A,0)),DATE(2000,1,1)),
Tasks!$I:$I,"&lt;="&amp;INDEX(Weeks!$D:$D,MATCH($C398,Weeks!$A:$A,0)),
Tasks!$I:$I,"&lt;&gt;")</f>
        <v>0</v>
      </c>
    </row>
    <row r="399" spans="1:10" ht="15" customHeight="1">
      <c r="A399" t="s">
        <v>93</v>
      </c>
      <c r="B399" t="s">
        <v>95</v>
      </c>
      <c r="C399">
        <v>34</v>
      </c>
      <c r="D399">
        <v>8</v>
      </c>
      <c r="E399">
        <v>4</v>
      </c>
      <c r="F399" s="5" t="str">
        <f>IFERROR(ROUND(COUNTIFS(Tasks!$A:$A,$A399,Tasks!$B:$B,$B399,Tasks!$I:$I,"&lt;="&amp;INDEX(Weeks!$D:$D,MATCH($C399,Weeks!$A:$A,0)),Tasks!$I:$I,"&lt;&gt;")/COUNTIFS(Tasks!$A:$A,$A399,Tasks!$B:$B,$B399)*100,0),"")</f>
        <v/>
      </c>
      <c r="G399" s="5" t="str">
        <f>IFERROR(ROUND(COUNTIFS(Tasks!$A:$A,$A399,Tasks!$B:$B,$B399,Tasks!$H:$H,"&lt;="&amp;INDEX(Weeks!$D:$D,MATCH($C399,Weeks!$A:$A,0)))/COUNTIFS(Tasks!$A:$A,$A399,Tasks!$B:$B,$B399)*100,0),"")</f>
        <v/>
      </c>
      <c r="I399">
        <f>COUNTIFS(Tasks!$A:$A,$A399,Tasks!$B:$B,$B399,Tasks!$G:$G,"&lt;="&amp;INDEX(Weeks!$D:$D,MATCH($C399,Weeks!$A:$A,0)))-COUNTIFS(Tasks!$A:$A,$A399,Tasks!$B:$B,$B399,Tasks!$I:$I,"&lt;="&amp;INDEX(Weeks!$D:$D,MATCH($C399,Weeks!$A:$A,0)),Tasks!$I:$I,"&lt;&gt;")</f>
        <v>0</v>
      </c>
      <c r="J399">
        <f>COUNTIFS(Tasks!$A:$A,$A399,Tasks!$B:$B,$B399,
Tasks!$I:$I,"&gt;"&amp;IFERROR(INDEX(Weeks!$D:$D,MATCH($C399-1,Weeks!$A:$A,0)),DATE(2000,1,1)),
Tasks!$I:$I,"&lt;="&amp;INDEX(Weeks!$D:$D,MATCH($C399,Weeks!$A:$A,0)),
Tasks!$I:$I,"&lt;&gt;")</f>
        <v>0</v>
      </c>
    </row>
    <row r="400" spans="1:10" ht="15" customHeight="1">
      <c r="A400" t="s">
        <v>93</v>
      </c>
      <c r="B400" t="s">
        <v>95</v>
      </c>
      <c r="C400">
        <v>35</v>
      </c>
      <c r="D400">
        <v>8</v>
      </c>
      <c r="E400">
        <v>5</v>
      </c>
      <c r="F400" s="5" t="str">
        <f>IFERROR(ROUND(COUNTIFS(Tasks!$A:$A,$A400,Tasks!$B:$B,$B400,Tasks!$I:$I,"&lt;="&amp;INDEX(Weeks!$D:$D,MATCH($C400,Weeks!$A:$A,0)),Tasks!$I:$I,"&lt;&gt;")/COUNTIFS(Tasks!$A:$A,$A400,Tasks!$B:$B,$B400)*100,0),"")</f>
        <v/>
      </c>
      <c r="G400" s="5" t="str">
        <f>IFERROR(ROUND(COUNTIFS(Tasks!$A:$A,$A400,Tasks!$B:$B,$B400,Tasks!$H:$H,"&lt;="&amp;INDEX(Weeks!$D:$D,MATCH($C400,Weeks!$A:$A,0)))/COUNTIFS(Tasks!$A:$A,$A400,Tasks!$B:$B,$B400)*100,0),"")</f>
        <v/>
      </c>
      <c r="I400">
        <f>COUNTIFS(Tasks!$A:$A,$A400,Tasks!$B:$B,$B400,Tasks!$G:$G,"&lt;="&amp;INDEX(Weeks!$D:$D,MATCH($C400,Weeks!$A:$A,0)))-COUNTIFS(Tasks!$A:$A,$A400,Tasks!$B:$B,$B400,Tasks!$I:$I,"&lt;="&amp;INDEX(Weeks!$D:$D,MATCH($C400,Weeks!$A:$A,0)),Tasks!$I:$I,"&lt;&gt;")</f>
        <v>0</v>
      </c>
      <c r="J400">
        <f>COUNTIFS(Tasks!$A:$A,$A400,Tasks!$B:$B,$B400,
Tasks!$I:$I,"&gt;"&amp;IFERROR(INDEX(Weeks!$D:$D,MATCH($C400-1,Weeks!$A:$A,0)),DATE(2000,1,1)),
Tasks!$I:$I,"&lt;="&amp;INDEX(Weeks!$D:$D,MATCH($C400,Weeks!$A:$A,0)),
Tasks!$I:$I,"&lt;&gt;")</f>
        <v>0</v>
      </c>
    </row>
    <row r="401" spans="1:10" ht="15" customHeight="1">
      <c r="A401" t="s">
        <v>93</v>
      </c>
      <c r="B401" t="s">
        <v>95</v>
      </c>
      <c r="C401">
        <v>36</v>
      </c>
      <c r="D401">
        <v>9</v>
      </c>
      <c r="E401">
        <v>1</v>
      </c>
      <c r="F401" s="5" t="str">
        <f>IFERROR(ROUND(COUNTIFS(Tasks!$A:$A,$A401,Tasks!$B:$B,$B401,Tasks!$I:$I,"&lt;="&amp;INDEX(Weeks!$D:$D,MATCH($C401,Weeks!$A:$A,0)),Tasks!$I:$I,"&lt;&gt;")/COUNTIFS(Tasks!$A:$A,$A401,Tasks!$B:$B,$B401)*100,0),"")</f>
        <v/>
      </c>
      <c r="G401" s="5" t="str">
        <f>IFERROR(ROUND(COUNTIFS(Tasks!$A:$A,$A401,Tasks!$B:$B,$B401,Tasks!$H:$H,"&lt;="&amp;INDEX(Weeks!$D:$D,MATCH($C401,Weeks!$A:$A,0)))/COUNTIFS(Tasks!$A:$A,$A401,Tasks!$B:$B,$B401)*100,0),"")</f>
        <v/>
      </c>
      <c r="I401">
        <f>COUNTIFS(Tasks!$A:$A,$A401,Tasks!$B:$B,$B401,Tasks!$G:$G,"&lt;="&amp;INDEX(Weeks!$D:$D,MATCH($C401,Weeks!$A:$A,0)))-COUNTIFS(Tasks!$A:$A,$A401,Tasks!$B:$B,$B401,Tasks!$I:$I,"&lt;="&amp;INDEX(Weeks!$D:$D,MATCH($C401,Weeks!$A:$A,0)),Tasks!$I:$I,"&lt;&gt;")</f>
        <v>0</v>
      </c>
      <c r="J401">
        <f>COUNTIFS(Tasks!$A:$A,$A401,Tasks!$B:$B,$B401,
Tasks!$I:$I,"&gt;"&amp;IFERROR(INDEX(Weeks!$D:$D,MATCH($C401-1,Weeks!$A:$A,0)),DATE(2000,1,1)),
Tasks!$I:$I,"&lt;="&amp;INDEX(Weeks!$D:$D,MATCH($C401,Weeks!$A:$A,0)),
Tasks!$I:$I,"&lt;&gt;")</f>
        <v>0</v>
      </c>
    </row>
    <row r="402" spans="1:10" ht="15" customHeight="1">
      <c r="A402" t="s">
        <v>93</v>
      </c>
      <c r="B402" t="s">
        <v>95</v>
      </c>
      <c r="C402">
        <v>37</v>
      </c>
      <c r="D402">
        <v>9</v>
      </c>
      <c r="E402">
        <v>2</v>
      </c>
      <c r="F402" s="5" t="str">
        <f>IFERROR(ROUND(COUNTIFS(Tasks!$A:$A,$A402,Tasks!$B:$B,$B402,Tasks!$I:$I,"&lt;="&amp;INDEX(Weeks!$D:$D,MATCH($C402,Weeks!$A:$A,0)),Tasks!$I:$I,"&lt;&gt;")/COUNTIFS(Tasks!$A:$A,$A402,Tasks!$B:$B,$B402)*100,0),"")</f>
        <v/>
      </c>
      <c r="G402" s="5" t="str">
        <f>IFERROR(ROUND(COUNTIFS(Tasks!$A:$A,$A402,Tasks!$B:$B,$B402,Tasks!$H:$H,"&lt;="&amp;INDEX(Weeks!$D:$D,MATCH($C402,Weeks!$A:$A,0)))/COUNTIFS(Tasks!$A:$A,$A402,Tasks!$B:$B,$B402)*100,0),"")</f>
        <v/>
      </c>
      <c r="I402">
        <f>COUNTIFS(Tasks!$A:$A,$A402,Tasks!$B:$B,$B402,Tasks!$G:$G,"&lt;="&amp;INDEX(Weeks!$D:$D,MATCH($C402,Weeks!$A:$A,0)))-COUNTIFS(Tasks!$A:$A,$A402,Tasks!$B:$B,$B402,Tasks!$I:$I,"&lt;="&amp;INDEX(Weeks!$D:$D,MATCH($C402,Weeks!$A:$A,0)),Tasks!$I:$I,"&lt;&gt;")</f>
        <v>0</v>
      </c>
      <c r="J402">
        <f>COUNTIFS(Tasks!$A:$A,$A402,Tasks!$B:$B,$B402,
Tasks!$I:$I,"&gt;"&amp;IFERROR(INDEX(Weeks!$D:$D,MATCH($C402-1,Weeks!$A:$A,0)),DATE(2000,1,1)),
Tasks!$I:$I,"&lt;="&amp;INDEX(Weeks!$D:$D,MATCH($C402,Weeks!$A:$A,0)),
Tasks!$I:$I,"&lt;&gt;")</f>
        <v>0</v>
      </c>
    </row>
    <row r="403" spans="1:10" ht="15" customHeight="1">
      <c r="A403" t="s">
        <v>93</v>
      </c>
      <c r="B403" t="s">
        <v>95</v>
      </c>
      <c r="C403">
        <v>38</v>
      </c>
      <c r="D403">
        <v>9</v>
      </c>
      <c r="E403">
        <v>3</v>
      </c>
      <c r="F403" s="5" t="str">
        <f>IFERROR(ROUND(COUNTIFS(Tasks!$A:$A,$A403,Tasks!$B:$B,$B403,Tasks!$I:$I,"&lt;="&amp;INDEX(Weeks!$D:$D,MATCH($C403,Weeks!$A:$A,0)),Tasks!$I:$I,"&lt;&gt;")/COUNTIFS(Tasks!$A:$A,$A403,Tasks!$B:$B,$B403)*100,0),"")</f>
        <v/>
      </c>
      <c r="G403" s="5" t="str">
        <f>IFERROR(ROUND(COUNTIFS(Tasks!$A:$A,$A403,Tasks!$B:$B,$B403,Tasks!$H:$H,"&lt;="&amp;INDEX(Weeks!$D:$D,MATCH($C403,Weeks!$A:$A,0)))/COUNTIFS(Tasks!$A:$A,$A403,Tasks!$B:$B,$B403)*100,0),"")</f>
        <v/>
      </c>
      <c r="I403">
        <f>COUNTIFS(Tasks!$A:$A,$A403,Tasks!$B:$B,$B403,Tasks!$G:$G,"&lt;="&amp;INDEX(Weeks!$D:$D,MATCH($C403,Weeks!$A:$A,0)))-COUNTIFS(Tasks!$A:$A,$A403,Tasks!$B:$B,$B403,Tasks!$I:$I,"&lt;="&amp;INDEX(Weeks!$D:$D,MATCH($C403,Weeks!$A:$A,0)),Tasks!$I:$I,"&lt;&gt;")</f>
        <v>0</v>
      </c>
      <c r="J403">
        <f>COUNTIFS(Tasks!$A:$A,$A403,Tasks!$B:$B,$B403,
Tasks!$I:$I,"&gt;"&amp;IFERROR(INDEX(Weeks!$D:$D,MATCH($C403-1,Weeks!$A:$A,0)),DATE(2000,1,1)),
Tasks!$I:$I,"&lt;="&amp;INDEX(Weeks!$D:$D,MATCH($C403,Weeks!$A:$A,0)),
Tasks!$I:$I,"&lt;&gt;")</f>
        <v>0</v>
      </c>
    </row>
    <row r="404" spans="1:10" ht="15" customHeight="1">
      <c r="A404" t="s">
        <v>93</v>
      </c>
      <c r="B404" t="s">
        <v>95</v>
      </c>
      <c r="C404">
        <v>39</v>
      </c>
      <c r="D404">
        <v>9</v>
      </c>
      <c r="E404">
        <v>4</v>
      </c>
      <c r="F404" s="5" t="str">
        <f>IFERROR(ROUND(COUNTIFS(Tasks!$A:$A,$A404,Tasks!$B:$B,$B404,Tasks!$I:$I,"&lt;="&amp;INDEX(Weeks!$D:$D,MATCH($C404,Weeks!$A:$A,0)),Tasks!$I:$I,"&lt;&gt;")/COUNTIFS(Tasks!$A:$A,$A404,Tasks!$B:$B,$B404)*100,0),"")</f>
        <v/>
      </c>
      <c r="G404" s="5" t="str">
        <f>IFERROR(ROUND(COUNTIFS(Tasks!$A:$A,$A404,Tasks!$B:$B,$B404,Tasks!$H:$H,"&lt;="&amp;INDEX(Weeks!$D:$D,MATCH($C404,Weeks!$A:$A,0)))/COUNTIFS(Tasks!$A:$A,$A404,Tasks!$B:$B,$B404)*100,0),"")</f>
        <v/>
      </c>
      <c r="I404">
        <f>COUNTIFS(Tasks!$A:$A,$A404,Tasks!$B:$B,$B404,Tasks!$G:$G,"&lt;="&amp;INDEX(Weeks!$D:$D,MATCH($C404,Weeks!$A:$A,0)))-COUNTIFS(Tasks!$A:$A,$A404,Tasks!$B:$B,$B404,Tasks!$I:$I,"&lt;="&amp;INDEX(Weeks!$D:$D,MATCH($C404,Weeks!$A:$A,0)),Tasks!$I:$I,"&lt;&gt;")</f>
        <v>0</v>
      </c>
      <c r="J404">
        <f>COUNTIFS(Tasks!$A:$A,$A404,Tasks!$B:$B,$B404,
Tasks!$I:$I,"&gt;"&amp;IFERROR(INDEX(Weeks!$D:$D,MATCH($C404-1,Weeks!$A:$A,0)),DATE(2000,1,1)),
Tasks!$I:$I,"&lt;="&amp;INDEX(Weeks!$D:$D,MATCH($C404,Weeks!$A:$A,0)),
Tasks!$I:$I,"&lt;&gt;")</f>
        <v>0</v>
      </c>
    </row>
    <row r="405" spans="1:10" ht="15" customHeight="1">
      <c r="A405" t="s">
        <v>93</v>
      </c>
      <c r="B405" t="s">
        <v>95</v>
      </c>
      <c r="C405">
        <v>40</v>
      </c>
      <c r="D405">
        <v>10</v>
      </c>
      <c r="E405">
        <v>1</v>
      </c>
      <c r="F405" s="5" t="str">
        <f>IFERROR(ROUND(COUNTIFS(Tasks!$A:$A,$A405,Tasks!$B:$B,$B405,Tasks!$I:$I,"&lt;="&amp;INDEX(Weeks!$D:$D,MATCH($C405,Weeks!$A:$A,0)),Tasks!$I:$I,"&lt;&gt;")/COUNTIFS(Tasks!$A:$A,$A405,Tasks!$B:$B,$B405)*100,0),"")</f>
        <v/>
      </c>
      <c r="G405" s="5" t="str">
        <f>IFERROR(ROUND(COUNTIFS(Tasks!$A:$A,$A405,Tasks!$B:$B,$B405,Tasks!$H:$H,"&lt;="&amp;INDEX(Weeks!$D:$D,MATCH($C405,Weeks!$A:$A,0)))/COUNTIFS(Tasks!$A:$A,$A405,Tasks!$B:$B,$B405)*100,0),"")</f>
        <v/>
      </c>
      <c r="I405">
        <f>COUNTIFS(Tasks!$A:$A,$A405,Tasks!$B:$B,$B405,Tasks!$G:$G,"&lt;="&amp;INDEX(Weeks!$D:$D,MATCH($C405,Weeks!$A:$A,0)))-COUNTIFS(Tasks!$A:$A,$A405,Tasks!$B:$B,$B405,Tasks!$I:$I,"&lt;="&amp;INDEX(Weeks!$D:$D,MATCH($C405,Weeks!$A:$A,0)),Tasks!$I:$I,"&lt;&gt;")</f>
        <v>0</v>
      </c>
      <c r="J405">
        <f>COUNTIFS(Tasks!$A:$A,$A405,Tasks!$B:$B,$B405,
Tasks!$I:$I,"&gt;"&amp;IFERROR(INDEX(Weeks!$D:$D,MATCH($C405-1,Weeks!$A:$A,0)),DATE(2000,1,1)),
Tasks!$I:$I,"&lt;="&amp;INDEX(Weeks!$D:$D,MATCH($C405,Weeks!$A:$A,0)),
Tasks!$I:$I,"&lt;&gt;")</f>
        <v>0</v>
      </c>
    </row>
    <row r="406" spans="1:10" ht="15" customHeight="1">
      <c r="A406" t="s">
        <v>93</v>
      </c>
      <c r="B406" t="s">
        <v>95</v>
      </c>
      <c r="C406">
        <v>41</v>
      </c>
      <c r="D406">
        <v>10</v>
      </c>
      <c r="E406">
        <v>2</v>
      </c>
      <c r="F406" s="5" t="str">
        <f>IFERROR(ROUND(COUNTIFS(Tasks!$A:$A,$A406,Tasks!$B:$B,$B406,Tasks!$I:$I,"&lt;="&amp;INDEX(Weeks!$D:$D,MATCH($C406,Weeks!$A:$A,0)),Tasks!$I:$I,"&lt;&gt;")/COUNTIFS(Tasks!$A:$A,$A406,Tasks!$B:$B,$B406)*100,0),"")</f>
        <v/>
      </c>
      <c r="G406" s="5" t="str">
        <f>IFERROR(ROUND(COUNTIFS(Tasks!$A:$A,$A406,Tasks!$B:$B,$B406,Tasks!$H:$H,"&lt;="&amp;INDEX(Weeks!$D:$D,MATCH($C406,Weeks!$A:$A,0)))/COUNTIFS(Tasks!$A:$A,$A406,Tasks!$B:$B,$B406)*100,0),"")</f>
        <v/>
      </c>
      <c r="I406">
        <f>COUNTIFS(Tasks!$A:$A,$A406,Tasks!$B:$B,$B406,Tasks!$G:$G,"&lt;="&amp;INDEX(Weeks!$D:$D,MATCH($C406,Weeks!$A:$A,0)))-COUNTIFS(Tasks!$A:$A,$A406,Tasks!$B:$B,$B406,Tasks!$I:$I,"&lt;="&amp;INDEX(Weeks!$D:$D,MATCH($C406,Weeks!$A:$A,0)),Tasks!$I:$I,"&lt;&gt;")</f>
        <v>0</v>
      </c>
      <c r="J406">
        <f>COUNTIFS(Tasks!$A:$A,$A406,Tasks!$B:$B,$B406,
Tasks!$I:$I,"&gt;"&amp;IFERROR(INDEX(Weeks!$D:$D,MATCH($C406-1,Weeks!$A:$A,0)),DATE(2000,1,1)),
Tasks!$I:$I,"&lt;="&amp;INDEX(Weeks!$D:$D,MATCH($C406,Weeks!$A:$A,0)),
Tasks!$I:$I,"&lt;&gt;")</f>
        <v>0</v>
      </c>
    </row>
    <row r="407" spans="1:10" ht="15" customHeight="1">
      <c r="A407" t="s">
        <v>93</v>
      </c>
      <c r="B407" t="s">
        <v>95</v>
      </c>
      <c r="C407">
        <v>42</v>
      </c>
      <c r="D407">
        <v>10</v>
      </c>
      <c r="E407">
        <v>3</v>
      </c>
      <c r="F407" s="5" t="str">
        <f>IFERROR(ROUND(COUNTIFS(Tasks!$A:$A,$A407,Tasks!$B:$B,$B407,Tasks!$I:$I,"&lt;="&amp;INDEX(Weeks!$D:$D,MATCH($C407,Weeks!$A:$A,0)),Tasks!$I:$I,"&lt;&gt;")/COUNTIFS(Tasks!$A:$A,$A407,Tasks!$B:$B,$B407)*100,0),"")</f>
        <v/>
      </c>
      <c r="G407" s="5" t="str">
        <f>IFERROR(ROUND(COUNTIFS(Tasks!$A:$A,$A407,Tasks!$B:$B,$B407,Tasks!$H:$H,"&lt;="&amp;INDEX(Weeks!$D:$D,MATCH($C407,Weeks!$A:$A,0)))/COUNTIFS(Tasks!$A:$A,$A407,Tasks!$B:$B,$B407)*100,0),"")</f>
        <v/>
      </c>
      <c r="I407">
        <f>COUNTIFS(Tasks!$A:$A,$A407,Tasks!$B:$B,$B407,Tasks!$G:$G,"&lt;="&amp;INDEX(Weeks!$D:$D,MATCH($C407,Weeks!$A:$A,0)))-COUNTIFS(Tasks!$A:$A,$A407,Tasks!$B:$B,$B407,Tasks!$I:$I,"&lt;="&amp;INDEX(Weeks!$D:$D,MATCH($C407,Weeks!$A:$A,0)),Tasks!$I:$I,"&lt;&gt;")</f>
        <v>0</v>
      </c>
      <c r="J407">
        <f>COUNTIFS(Tasks!$A:$A,$A407,Tasks!$B:$B,$B407,
Tasks!$I:$I,"&gt;"&amp;IFERROR(INDEX(Weeks!$D:$D,MATCH($C407-1,Weeks!$A:$A,0)),DATE(2000,1,1)),
Tasks!$I:$I,"&lt;="&amp;INDEX(Weeks!$D:$D,MATCH($C407,Weeks!$A:$A,0)),
Tasks!$I:$I,"&lt;&gt;")</f>
        <v>0</v>
      </c>
    </row>
    <row r="408" spans="1:10" ht="15" customHeight="1">
      <c r="A408" t="s">
        <v>93</v>
      </c>
      <c r="B408" t="s">
        <v>95</v>
      </c>
      <c r="C408">
        <v>43</v>
      </c>
      <c r="D408">
        <v>10</v>
      </c>
      <c r="E408">
        <v>4</v>
      </c>
      <c r="F408" s="5" t="str">
        <f>IFERROR(ROUND(COUNTIFS(Tasks!$A:$A,$A408,Tasks!$B:$B,$B408,Tasks!$I:$I,"&lt;="&amp;INDEX(Weeks!$D:$D,MATCH($C408,Weeks!$A:$A,0)),Tasks!$I:$I,"&lt;&gt;")/COUNTIFS(Tasks!$A:$A,$A408,Tasks!$B:$B,$B408)*100,0),"")</f>
        <v/>
      </c>
      <c r="G408" s="5" t="str">
        <f>IFERROR(ROUND(COUNTIFS(Tasks!$A:$A,$A408,Tasks!$B:$B,$B408,Tasks!$H:$H,"&lt;="&amp;INDEX(Weeks!$D:$D,MATCH($C408,Weeks!$A:$A,0)))/COUNTIFS(Tasks!$A:$A,$A408,Tasks!$B:$B,$B408)*100,0),"")</f>
        <v/>
      </c>
      <c r="I408">
        <f>COUNTIFS(Tasks!$A:$A,$A408,Tasks!$B:$B,$B408,Tasks!$G:$G,"&lt;="&amp;INDEX(Weeks!$D:$D,MATCH($C408,Weeks!$A:$A,0)))-COUNTIFS(Tasks!$A:$A,$A408,Tasks!$B:$B,$B408,Tasks!$I:$I,"&lt;="&amp;INDEX(Weeks!$D:$D,MATCH($C408,Weeks!$A:$A,0)),Tasks!$I:$I,"&lt;&gt;")</f>
        <v>0</v>
      </c>
      <c r="J408">
        <f>COUNTIFS(Tasks!$A:$A,$A408,Tasks!$B:$B,$B408,
Tasks!$I:$I,"&gt;"&amp;IFERROR(INDEX(Weeks!$D:$D,MATCH($C408-1,Weeks!$A:$A,0)),DATE(2000,1,1)),
Tasks!$I:$I,"&lt;="&amp;INDEX(Weeks!$D:$D,MATCH($C408,Weeks!$A:$A,0)),
Tasks!$I:$I,"&lt;&gt;")</f>
        <v>0</v>
      </c>
    </row>
    <row r="409" spans="1:10" ht="15" customHeight="1">
      <c r="A409" t="s">
        <v>93</v>
      </c>
      <c r="B409" t="s">
        <v>95</v>
      </c>
      <c r="C409">
        <v>44</v>
      </c>
      <c r="D409">
        <v>10</v>
      </c>
      <c r="E409">
        <v>5</v>
      </c>
      <c r="F409" s="5" t="str">
        <f>IFERROR(ROUND(COUNTIFS(Tasks!$A:$A,$A409,Tasks!$B:$B,$B409,Tasks!$I:$I,"&lt;="&amp;INDEX(Weeks!$D:$D,MATCH($C409,Weeks!$A:$A,0)),Tasks!$I:$I,"&lt;&gt;")/COUNTIFS(Tasks!$A:$A,$A409,Tasks!$B:$B,$B409)*100,0),"")</f>
        <v/>
      </c>
      <c r="G409" s="5" t="str">
        <f>IFERROR(ROUND(COUNTIFS(Tasks!$A:$A,$A409,Tasks!$B:$B,$B409,Tasks!$H:$H,"&lt;="&amp;INDEX(Weeks!$D:$D,MATCH($C409,Weeks!$A:$A,0)))/COUNTIFS(Tasks!$A:$A,$A409,Tasks!$B:$B,$B409)*100,0),"")</f>
        <v/>
      </c>
      <c r="I409">
        <f>COUNTIFS(Tasks!$A:$A,$A409,Tasks!$B:$B,$B409,Tasks!$G:$G,"&lt;="&amp;INDEX(Weeks!$D:$D,MATCH($C409,Weeks!$A:$A,0)))-COUNTIFS(Tasks!$A:$A,$A409,Tasks!$B:$B,$B409,Tasks!$I:$I,"&lt;="&amp;INDEX(Weeks!$D:$D,MATCH($C409,Weeks!$A:$A,0)),Tasks!$I:$I,"&lt;&gt;")</f>
        <v>0</v>
      </c>
      <c r="J409">
        <f>COUNTIFS(Tasks!$A:$A,$A409,Tasks!$B:$B,$B409,
Tasks!$I:$I,"&gt;"&amp;IFERROR(INDEX(Weeks!$D:$D,MATCH($C409-1,Weeks!$A:$A,0)),DATE(2000,1,1)),
Tasks!$I:$I,"&lt;="&amp;INDEX(Weeks!$D:$D,MATCH($C409,Weeks!$A:$A,0)),
Tasks!$I:$I,"&lt;&gt;")</f>
        <v>0</v>
      </c>
    </row>
    <row r="410" spans="1:10" ht="15" customHeight="1">
      <c r="A410" t="s">
        <v>93</v>
      </c>
      <c r="B410" t="s">
        <v>95</v>
      </c>
      <c r="C410">
        <v>45</v>
      </c>
      <c r="D410">
        <v>11</v>
      </c>
      <c r="E410">
        <v>1</v>
      </c>
      <c r="F410" s="5" t="str">
        <f>IFERROR(ROUND(COUNTIFS(Tasks!$A:$A,$A410,Tasks!$B:$B,$B410,Tasks!$I:$I,"&lt;="&amp;INDEX(Weeks!$D:$D,MATCH($C410,Weeks!$A:$A,0)),Tasks!$I:$I,"&lt;&gt;")/COUNTIFS(Tasks!$A:$A,$A410,Tasks!$B:$B,$B410)*100,0),"")</f>
        <v/>
      </c>
      <c r="G410" s="5" t="str">
        <f>IFERROR(ROUND(COUNTIFS(Tasks!$A:$A,$A410,Tasks!$B:$B,$B410,Tasks!$H:$H,"&lt;="&amp;INDEX(Weeks!$D:$D,MATCH($C410,Weeks!$A:$A,0)))/COUNTIFS(Tasks!$A:$A,$A410,Tasks!$B:$B,$B410)*100,0),"")</f>
        <v/>
      </c>
      <c r="I410">
        <f>COUNTIFS(Tasks!$A:$A,$A410,Tasks!$B:$B,$B410,Tasks!$G:$G,"&lt;="&amp;INDEX(Weeks!$D:$D,MATCH($C410,Weeks!$A:$A,0)))-COUNTIFS(Tasks!$A:$A,$A410,Tasks!$B:$B,$B410,Tasks!$I:$I,"&lt;="&amp;INDEX(Weeks!$D:$D,MATCH($C410,Weeks!$A:$A,0)),Tasks!$I:$I,"&lt;&gt;")</f>
        <v>0</v>
      </c>
      <c r="J410">
        <f>COUNTIFS(Tasks!$A:$A,$A410,Tasks!$B:$B,$B410,
Tasks!$I:$I,"&gt;"&amp;IFERROR(INDEX(Weeks!$D:$D,MATCH($C410-1,Weeks!$A:$A,0)),DATE(2000,1,1)),
Tasks!$I:$I,"&lt;="&amp;INDEX(Weeks!$D:$D,MATCH($C410,Weeks!$A:$A,0)),
Tasks!$I:$I,"&lt;&gt;")</f>
        <v>0</v>
      </c>
    </row>
    <row r="411" spans="1:10" ht="15" customHeight="1">
      <c r="A411" t="s">
        <v>93</v>
      </c>
      <c r="B411" t="s">
        <v>95</v>
      </c>
      <c r="C411">
        <v>46</v>
      </c>
      <c r="D411">
        <v>11</v>
      </c>
      <c r="E411">
        <v>2</v>
      </c>
      <c r="F411" s="5" t="str">
        <f>IFERROR(ROUND(COUNTIFS(Tasks!$A:$A,$A411,Tasks!$B:$B,$B411,Tasks!$I:$I,"&lt;="&amp;INDEX(Weeks!$D:$D,MATCH($C411,Weeks!$A:$A,0)),Tasks!$I:$I,"&lt;&gt;")/COUNTIFS(Tasks!$A:$A,$A411,Tasks!$B:$B,$B411)*100,0),"")</f>
        <v/>
      </c>
      <c r="G411" s="5" t="str">
        <f>IFERROR(ROUND(COUNTIFS(Tasks!$A:$A,$A411,Tasks!$B:$B,$B411,Tasks!$H:$H,"&lt;="&amp;INDEX(Weeks!$D:$D,MATCH($C411,Weeks!$A:$A,0)))/COUNTIFS(Tasks!$A:$A,$A411,Tasks!$B:$B,$B411)*100,0),"")</f>
        <v/>
      </c>
      <c r="I411">
        <f>COUNTIFS(Tasks!$A:$A,$A411,Tasks!$B:$B,$B411,Tasks!$G:$G,"&lt;="&amp;INDEX(Weeks!$D:$D,MATCH($C411,Weeks!$A:$A,0)))-COUNTIFS(Tasks!$A:$A,$A411,Tasks!$B:$B,$B411,Tasks!$I:$I,"&lt;="&amp;INDEX(Weeks!$D:$D,MATCH($C411,Weeks!$A:$A,0)),Tasks!$I:$I,"&lt;&gt;")</f>
        <v>0</v>
      </c>
      <c r="J411">
        <f>COUNTIFS(Tasks!$A:$A,$A411,Tasks!$B:$B,$B411,
Tasks!$I:$I,"&gt;"&amp;IFERROR(INDEX(Weeks!$D:$D,MATCH($C411-1,Weeks!$A:$A,0)),DATE(2000,1,1)),
Tasks!$I:$I,"&lt;="&amp;INDEX(Weeks!$D:$D,MATCH($C411,Weeks!$A:$A,0)),
Tasks!$I:$I,"&lt;&gt;")</f>
        <v>0</v>
      </c>
    </row>
    <row r="412" spans="1:10" ht="15" customHeight="1">
      <c r="A412" t="s">
        <v>93</v>
      </c>
      <c r="B412" t="s">
        <v>95</v>
      </c>
      <c r="C412">
        <v>47</v>
      </c>
      <c r="D412">
        <v>11</v>
      </c>
      <c r="E412">
        <v>3</v>
      </c>
      <c r="F412" s="5" t="str">
        <f>IFERROR(ROUND(COUNTIFS(Tasks!$A:$A,$A412,Tasks!$B:$B,$B412,Tasks!$I:$I,"&lt;="&amp;INDEX(Weeks!$D:$D,MATCH($C412,Weeks!$A:$A,0)),Tasks!$I:$I,"&lt;&gt;")/COUNTIFS(Tasks!$A:$A,$A412,Tasks!$B:$B,$B412)*100,0),"")</f>
        <v/>
      </c>
      <c r="G412" s="5" t="str">
        <f>IFERROR(ROUND(COUNTIFS(Tasks!$A:$A,$A412,Tasks!$B:$B,$B412,Tasks!$H:$H,"&lt;="&amp;INDEX(Weeks!$D:$D,MATCH($C412,Weeks!$A:$A,0)))/COUNTIFS(Tasks!$A:$A,$A412,Tasks!$B:$B,$B412)*100,0),"")</f>
        <v/>
      </c>
      <c r="I412">
        <f>COUNTIFS(Tasks!$A:$A,$A412,Tasks!$B:$B,$B412,Tasks!$G:$G,"&lt;="&amp;INDEX(Weeks!$D:$D,MATCH($C412,Weeks!$A:$A,0)))-COUNTIFS(Tasks!$A:$A,$A412,Tasks!$B:$B,$B412,Tasks!$I:$I,"&lt;="&amp;INDEX(Weeks!$D:$D,MATCH($C412,Weeks!$A:$A,0)),Tasks!$I:$I,"&lt;&gt;")</f>
        <v>0</v>
      </c>
      <c r="J412">
        <f>COUNTIFS(Tasks!$A:$A,$A412,Tasks!$B:$B,$B412,
Tasks!$I:$I,"&gt;"&amp;IFERROR(INDEX(Weeks!$D:$D,MATCH($C412-1,Weeks!$A:$A,0)),DATE(2000,1,1)),
Tasks!$I:$I,"&lt;="&amp;INDEX(Weeks!$D:$D,MATCH($C412,Weeks!$A:$A,0)),
Tasks!$I:$I,"&lt;&gt;")</f>
        <v>0</v>
      </c>
    </row>
    <row r="413" spans="1:10" ht="15" customHeight="1">
      <c r="A413" t="s">
        <v>93</v>
      </c>
      <c r="B413" t="s">
        <v>95</v>
      </c>
      <c r="C413">
        <v>48</v>
      </c>
      <c r="D413">
        <v>11</v>
      </c>
      <c r="E413">
        <v>4</v>
      </c>
      <c r="F413" s="5" t="str">
        <f>IFERROR(ROUND(COUNTIFS(Tasks!$A:$A,$A413,Tasks!$B:$B,$B413,Tasks!$I:$I,"&lt;="&amp;INDEX(Weeks!$D:$D,MATCH($C413,Weeks!$A:$A,0)),Tasks!$I:$I,"&lt;&gt;")/COUNTIFS(Tasks!$A:$A,$A413,Tasks!$B:$B,$B413)*100,0),"")</f>
        <v/>
      </c>
      <c r="G413" s="5" t="str">
        <f>IFERROR(ROUND(COUNTIFS(Tasks!$A:$A,$A413,Tasks!$B:$B,$B413,Tasks!$H:$H,"&lt;="&amp;INDEX(Weeks!$D:$D,MATCH($C413,Weeks!$A:$A,0)))/COUNTIFS(Tasks!$A:$A,$A413,Tasks!$B:$B,$B413)*100,0),"")</f>
        <v/>
      </c>
      <c r="I413">
        <f>COUNTIFS(Tasks!$A:$A,$A413,Tasks!$B:$B,$B413,Tasks!$G:$G,"&lt;="&amp;INDEX(Weeks!$D:$D,MATCH($C413,Weeks!$A:$A,0)))-COUNTIFS(Tasks!$A:$A,$A413,Tasks!$B:$B,$B413,Tasks!$I:$I,"&lt;="&amp;INDEX(Weeks!$D:$D,MATCH($C413,Weeks!$A:$A,0)),Tasks!$I:$I,"&lt;&gt;")</f>
        <v>0</v>
      </c>
      <c r="J413">
        <f>COUNTIFS(Tasks!$A:$A,$A413,Tasks!$B:$B,$B413,
Tasks!$I:$I,"&gt;"&amp;IFERROR(INDEX(Weeks!$D:$D,MATCH($C413-1,Weeks!$A:$A,0)),DATE(2000,1,1)),
Tasks!$I:$I,"&lt;="&amp;INDEX(Weeks!$D:$D,MATCH($C413,Weeks!$A:$A,0)),
Tasks!$I:$I,"&lt;&gt;")</f>
        <v>0</v>
      </c>
    </row>
    <row r="414" spans="1:10" ht="15" customHeight="1">
      <c r="A414" t="s">
        <v>93</v>
      </c>
      <c r="B414" t="s">
        <v>95</v>
      </c>
      <c r="C414">
        <v>49</v>
      </c>
      <c r="D414">
        <v>12</v>
      </c>
      <c r="E414">
        <v>1</v>
      </c>
      <c r="F414" s="5" t="str">
        <f>IFERROR(ROUND(COUNTIFS(Tasks!$A:$A,$A414,Tasks!$B:$B,$B414,Tasks!$I:$I,"&lt;="&amp;INDEX(Weeks!$D:$D,MATCH($C414,Weeks!$A:$A,0)),Tasks!$I:$I,"&lt;&gt;")/COUNTIFS(Tasks!$A:$A,$A414,Tasks!$B:$B,$B414)*100,0),"")</f>
        <v/>
      </c>
      <c r="G414" s="5" t="str">
        <f>IFERROR(ROUND(COUNTIFS(Tasks!$A:$A,$A414,Tasks!$B:$B,$B414,Tasks!$H:$H,"&lt;="&amp;INDEX(Weeks!$D:$D,MATCH($C414,Weeks!$A:$A,0)))/COUNTIFS(Tasks!$A:$A,$A414,Tasks!$B:$B,$B414)*100,0),"")</f>
        <v/>
      </c>
      <c r="I414">
        <f>COUNTIFS(Tasks!$A:$A,$A414,Tasks!$B:$B,$B414,Tasks!$G:$G,"&lt;="&amp;INDEX(Weeks!$D:$D,MATCH($C414,Weeks!$A:$A,0)))-COUNTIFS(Tasks!$A:$A,$A414,Tasks!$B:$B,$B414,Tasks!$I:$I,"&lt;="&amp;INDEX(Weeks!$D:$D,MATCH($C414,Weeks!$A:$A,0)),Tasks!$I:$I,"&lt;&gt;")</f>
        <v>0</v>
      </c>
      <c r="J414">
        <f>COUNTIFS(Tasks!$A:$A,$A414,Tasks!$B:$B,$B414,
Tasks!$I:$I,"&gt;"&amp;IFERROR(INDEX(Weeks!$D:$D,MATCH($C414-1,Weeks!$A:$A,0)),DATE(2000,1,1)),
Tasks!$I:$I,"&lt;="&amp;INDEX(Weeks!$D:$D,MATCH($C414,Weeks!$A:$A,0)),
Tasks!$I:$I,"&lt;&gt;")</f>
        <v>0</v>
      </c>
    </row>
    <row r="415" spans="1:10" ht="15" customHeight="1">
      <c r="A415" t="s">
        <v>93</v>
      </c>
      <c r="B415" t="s">
        <v>95</v>
      </c>
      <c r="C415">
        <v>50</v>
      </c>
      <c r="D415">
        <v>12</v>
      </c>
      <c r="E415">
        <v>2</v>
      </c>
      <c r="F415" s="5" t="str">
        <f>IFERROR(ROUND(COUNTIFS(Tasks!$A:$A,$A415,Tasks!$B:$B,$B415,Tasks!$I:$I,"&lt;="&amp;INDEX(Weeks!$D:$D,MATCH($C415,Weeks!$A:$A,0)),Tasks!$I:$I,"&lt;&gt;")/COUNTIFS(Tasks!$A:$A,$A415,Tasks!$B:$B,$B415)*100,0),"")</f>
        <v/>
      </c>
      <c r="G415" s="5" t="str">
        <f>IFERROR(ROUND(COUNTIFS(Tasks!$A:$A,$A415,Tasks!$B:$B,$B415,Tasks!$H:$H,"&lt;="&amp;INDEX(Weeks!$D:$D,MATCH($C415,Weeks!$A:$A,0)))/COUNTIFS(Tasks!$A:$A,$A415,Tasks!$B:$B,$B415)*100,0),"")</f>
        <v/>
      </c>
      <c r="I415">
        <f>COUNTIFS(Tasks!$A:$A,$A415,Tasks!$B:$B,$B415,Tasks!$G:$G,"&lt;="&amp;INDEX(Weeks!$D:$D,MATCH($C415,Weeks!$A:$A,0)))-COUNTIFS(Tasks!$A:$A,$A415,Tasks!$B:$B,$B415,Tasks!$I:$I,"&lt;="&amp;INDEX(Weeks!$D:$D,MATCH($C415,Weeks!$A:$A,0)),Tasks!$I:$I,"&lt;&gt;")</f>
        <v>0</v>
      </c>
      <c r="J415">
        <f>COUNTIFS(Tasks!$A:$A,$A415,Tasks!$B:$B,$B415,
Tasks!$I:$I,"&gt;"&amp;IFERROR(INDEX(Weeks!$D:$D,MATCH($C415-1,Weeks!$A:$A,0)),DATE(2000,1,1)),
Tasks!$I:$I,"&lt;="&amp;INDEX(Weeks!$D:$D,MATCH($C415,Weeks!$A:$A,0)),
Tasks!$I:$I,"&lt;&gt;")</f>
        <v>0</v>
      </c>
    </row>
    <row r="416" spans="1:10" ht="15" customHeight="1">
      <c r="A416" t="s">
        <v>93</v>
      </c>
      <c r="B416" t="s">
        <v>95</v>
      </c>
      <c r="C416">
        <v>51</v>
      </c>
      <c r="D416">
        <v>12</v>
      </c>
      <c r="E416">
        <v>3</v>
      </c>
      <c r="F416" s="5" t="str">
        <f>IFERROR(ROUND(COUNTIFS(Tasks!$A:$A,$A416,Tasks!$B:$B,$B416,Tasks!$I:$I,"&lt;="&amp;INDEX(Weeks!$D:$D,MATCH($C416,Weeks!$A:$A,0)),Tasks!$I:$I,"&lt;&gt;")/COUNTIFS(Tasks!$A:$A,$A416,Tasks!$B:$B,$B416)*100,0),"")</f>
        <v/>
      </c>
      <c r="G416" s="5" t="str">
        <f>IFERROR(ROUND(COUNTIFS(Tasks!$A:$A,$A416,Tasks!$B:$B,$B416,Tasks!$H:$H,"&lt;="&amp;INDEX(Weeks!$D:$D,MATCH($C416,Weeks!$A:$A,0)))/COUNTIFS(Tasks!$A:$A,$A416,Tasks!$B:$B,$B416)*100,0),"")</f>
        <v/>
      </c>
      <c r="I416">
        <f>COUNTIFS(Tasks!$A:$A,$A416,Tasks!$B:$B,$B416,Tasks!$G:$G,"&lt;="&amp;INDEX(Weeks!$D:$D,MATCH($C416,Weeks!$A:$A,0)))-COUNTIFS(Tasks!$A:$A,$A416,Tasks!$B:$B,$B416,Tasks!$I:$I,"&lt;="&amp;INDEX(Weeks!$D:$D,MATCH($C416,Weeks!$A:$A,0)),Tasks!$I:$I,"&lt;&gt;")</f>
        <v>0</v>
      </c>
      <c r="J416">
        <f>COUNTIFS(Tasks!$A:$A,$A416,Tasks!$B:$B,$B416,
Tasks!$I:$I,"&gt;"&amp;IFERROR(INDEX(Weeks!$D:$D,MATCH($C416-1,Weeks!$A:$A,0)),DATE(2000,1,1)),
Tasks!$I:$I,"&lt;="&amp;INDEX(Weeks!$D:$D,MATCH($C416,Weeks!$A:$A,0)),
Tasks!$I:$I,"&lt;&gt;")</f>
        <v>0</v>
      </c>
    </row>
    <row r="417" spans="1:10" ht="15" customHeight="1">
      <c r="A417" t="s">
        <v>93</v>
      </c>
      <c r="B417" t="s">
        <v>95</v>
      </c>
      <c r="C417">
        <v>52</v>
      </c>
      <c r="D417">
        <v>12</v>
      </c>
      <c r="E417">
        <v>4</v>
      </c>
      <c r="F417" s="5" t="str">
        <f>IFERROR(ROUND(COUNTIFS(Tasks!$A:$A,$A417,Tasks!$B:$B,$B417,Tasks!$I:$I,"&lt;="&amp;INDEX(Weeks!$D:$D,MATCH($C417,Weeks!$A:$A,0)),Tasks!$I:$I,"&lt;&gt;")/COUNTIFS(Tasks!$A:$A,$A417,Tasks!$B:$B,$B417)*100,0),"")</f>
        <v/>
      </c>
      <c r="G417" s="5" t="str">
        <f>IFERROR(ROUND(COUNTIFS(Tasks!$A:$A,$A417,Tasks!$B:$B,$B417,Tasks!$H:$H,"&lt;="&amp;INDEX(Weeks!$D:$D,MATCH($C417,Weeks!$A:$A,0)))/COUNTIFS(Tasks!$A:$A,$A417,Tasks!$B:$B,$B417)*100,0),"")</f>
        <v/>
      </c>
      <c r="I417">
        <f>COUNTIFS(Tasks!$A:$A,$A417,Tasks!$B:$B,$B417,Tasks!$G:$G,"&lt;="&amp;INDEX(Weeks!$D:$D,MATCH($C417,Weeks!$A:$A,0)))-COUNTIFS(Tasks!$A:$A,$A417,Tasks!$B:$B,$B417,Tasks!$I:$I,"&lt;="&amp;INDEX(Weeks!$D:$D,MATCH($C417,Weeks!$A:$A,0)),Tasks!$I:$I,"&lt;&gt;")</f>
        <v>0</v>
      </c>
      <c r="J417">
        <f>COUNTIFS(Tasks!$A:$A,$A417,Tasks!$B:$B,$B417,
Tasks!$I:$I,"&gt;"&amp;IFERROR(INDEX(Weeks!$D:$D,MATCH($C417-1,Weeks!$A:$A,0)),DATE(2000,1,1)),
Tasks!$I:$I,"&lt;="&amp;INDEX(Weeks!$D:$D,MATCH($C417,Weeks!$A:$A,0)),
Tasks!$I:$I,"&lt;&gt;")</f>
        <v>0</v>
      </c>
    </row>
    <row r="418" spans="1:10" ht="15" customHeight="1">
      <c r="A418" t="s">
        <v>93</v>
      </c>
      <c r="B418" t="s">
        <v>96</v>
      </c>
      <c r="C418">
        <v>1</v>
      </c>
      <c r="D418">
        <v>1</v>
      </c>
      <c r="E418">
        <v>1</v>
      </c>
      <c r="F418" s="5" t="str">
        <f>IFERROR(ROUND(COUNTIFS(Tasks!$A:$A,$A418,Tasks!$B:$B,$B418,Tasks!$I:$I,"&lt;="&amp;INDEX(Weeks!$D:$D,MATCH($C418,Weeks!$A:$A,0)),Tasks!$I:$I,"&lt;&gt;")/COUNTIFS(Tasks!$A:$A,$A418,Tasks!$B:$B,$B418)*100,0),"")</f>
        <v/>
      </c>
      <c r="G418" s="5" t="str">
        <f>IFERROR(ROUND(COUNTIFS(Tasks!$A:$A,$A418,Tasks!$B:$B,$B418,Tasks!$H:$H,"&lt;="&amp;INDEX(Weeks!$D:$D,MATCH($C418,Weeks!$A:$A,0)))/COUNTIFS(Tasks!$A:$A,$A418,Tasks!$B:$B,$B418)*100,0),"")</f>
        <v/>
      </c>
      <c r="H418" t="s">
        <v>92</v>
      </c>
      <c r="I418">
        <f>COUNTIFS(Tasks!$A:$A,$A418,Tasks!$B:$B,$B418,Tasks!$G:$G,"&lt;="&amp;INDEX(Weeks!$D:$D,MATCH($C418,Weeks!$A:$A,0)))-COUNTIFS(Tasks!$A:$A,$A418,Tasks!$B:$B,$B418,Tasks!$I:$I,"&lt;="&amp;INDEX(Weeks!$D:$D,MATCH($C418,Weeks!$A:$A,0)),Tasks!$I:$I,"&lt;&gt;")</f>
        <v>0</v>
      </c>
      <c r="J418">
        <f>COUNTIFS(Tasks!$A:$A,$A418,Tasks!$B:$B,$B418,
Tasks!$I:$I,"&gt;"&amp;IFERROR(INDEX(Weeks!$D:$D,MATCH($C418-1,Weeks!$A:$A,0)),DATE(2000,1,1)),
Tasks!$I:$I,"&lt;="&amp;INDEX(Weeks!$D:$D,MATCH($C418,Weeks!$A:$A,0)),
Tasks!$I:$I,"&lt;&gt;")</f>
        <v>0</v>
      </c>
    </row>
    <row r="419" spans="1:10" ht="15" customHeight="1">
      <c r="A419" t="s">
        <v>93</v>
      </c>
      <c r="B419" t="s">
        <v>96</v>
      </c>
      <c r="C419">
        <v>2</v>
      </c>
      <c r="D419">
        <v>1</v>
      </c>
      <c r="E419">
        <v>2</v>
      </c>
      <c r="F419" s="5" t="str">
        <f>IFERROR(ROUND(COUNTIFS(Tasks!$A:$A,$A419,Tasks!$B:$B,$B419,Tasks!$I:$I,"&lt;="&amp;INDEX(Weeks!$D:$D,MATCH($C419,Weeks!$A:$A,0)),Tasks!$I:$I,"&lt;&gt;")/COUNTIFS(Tasks!$A:$A,$A419,Tasks!$B:$B,$B419)*100,0),"")</f>
        <v/>
      </c>
      <c r="G419" s="5" t="str">
        <f>IFERROR(ROUND(COUNTIFS(Tasks!$A:$A,$A419,Tasks!$B:$B,$B419,Tasks!$H:$H,"&lt;="&amp;INDEX(Weeks!$D:$D,MATCH($C419,Weeks!$A:$A,0)))/COUNTIFS(Tasks!$A:$A,$A419,Tasks!$B:$B,$B419)*100,0),"")</f>
        <v/>
      </c>
      <c r="H419" t="s">
        <v>92</v>
      </c>
      <c r="I419">
        <f>COUNTIFS(Tasks!$A:$A,$A419,Tasks!$B:$B,$B419,Tasks!$G:$G,"&lt;="&amp;INDEX(Weeks!$D:$D,MATCH($C419,Weeks!$A:$A,0)))-COUNTIFS(Tasks!$A:$A,$A419,Tasks!$B:$B,$B419,Tasks!$I:$I,"&lt;="&amp;INDEX(Weeks!$D:$D,MATCH($C419,Weeks!$A:$A,0)),Tasks!$I:$I,"&lt;&gt;")</f>
        <v>0</v>
      </c>
      <c r="J419">
        <f>COUNTIFS(Tasks!$A:$A,$A419,Tasks!$B:$B,$B419,
Tasks!$I:$I,"&gt;"&amp;IFERROR(INDEX(Weeks!$D:$D,MATCH($C419-1,Weeks!$A:$A,0)),DATE(2000,1,1)),
Tasks!$I:$I,"&lt;="&amp;INDEX(Weeks!$D:$D,MATCH($C419,Weeks!$A:$A,0)),
Tasks!$I:$I,"&lt;&gt;")</f>
        <v>0</v>
      </c>
    </row>
    <row r="420" spans="1:10" ht="15" customHeight="1">
      <c r="A420" t="s">
        <v>93</v>
      </c>
      <c r="B420" t="s">
        <v>96</v>
      </c>
      <c r="C420">
        <v>3</v>
      </c>
      <c r="D420">
        <v>1</v>
      </c>
      <c r="E420">
        <v>3</v>
      </c>
      <c r="F420" s="5" t="str">
        <f>IFERROR(ROUND(COUNTIFS(Tasks!$A:$A,$A420,Tasks!$B:$B,$B420,Tasks!$I:$I,"&lt;="&amp;INDEX(Weeks!$D:$D,MATCH($C420,Weeks!$A:$A,0)),Tasks!$I:$I,"&lt;&gt;")/COUNTIFS(Tasks!$A:$A,$A420,Tasks!$B:$B,$B420)*100,0),"")</f>
        <v/>
      </c>
      <c r="G420" s="5" t="str">
        <f>IFERROR(ROUND(COUNTIFS(Tasks!$A:$A,$A420,Tasks!$B:$B,$B420,Tasks!$H:$H,"&lt;="&amp;INDEX(Weeks!$D:$D,MATCH($C420,Weeks!$A:$A,0)))/COUNTIFS(Tasks!$A:$A,$A420,Tasks!$B:$B,$B420)*100,0),"")</f>
        <v/>
      </c>
      <c r="H420" t="s">
        <v>92</v>
      </c>
      <c r="I420">
        <f>COUNTIFS(Tasks!$A:$A,$A420,Tasks!$B:$B,$B420,Tasks!$G:$G,"&lt;="&amp;INDEX(Weeks!$D:$D,MATCH($C420,Weeks!$A:$A,0)))-COUNTIFS(Tasks!$A:$A,$A420,Tasks!$B:$B,$B420,Tasks!$I:$I,"&lt;="&amp;INDEX(Weeks!$D:$D,MATCH($C420,Weeks!$A:$A,0)),Tasks!$I:$I,"&lt;&gt;")</f>
        <v>0</v>
      </c>
      <c r="J420">
        <f>COUNTIFS(Tasks!$A:$A,$A420,Tasks!$B:$B,$B420,
Tasks!$I:$I,"&gt;"&amp;IFERROR(INDEX(Weeks!$D:$D,MATCH($C420-1,Weeks!$A:$A,0)),DATE(2000,1,1)),
Tasks!$I:$I,"&lt;="&amp;INDEX(Weeks!$D:$D,MATCH($C420,Weeks!$A:$A,0)),
Tasks!$I:$I,"&lt;&gt;")</f>
        <v>0</v>
      </c>
    </row>
    <row r="421" spans="1:10" ht="15" customHeight="1">
      <c r="A421" t="s">
        <v>93</v>
      </c>
      <c r="B421" t="s">
        <v>96</v>
      </c>
      <c r="C421">
        <v>4</v>
      </c>
      <c r="D421">
        <v>1</v>
      </c>
      <c r="E421">
        <v>4</v>
      </c>
      <c r="F421" s="5" t="str">
        <f>IFERROR(ROUND(COUNTIFS(Tasks!$A:$A,$A421,Tasks!$B:$B,$B421,Tasks!$I:$I,"&lt;="&amp;INDEX(Weeks!$D:$D,MATCH($C421,Weeks!$A:$A,0)),Tasks!$I:$I,"&lt;&gt;")/COUNTIFS(Tasks!$A:$A,$A421,Tasks!$B:$B,$B421)*100,0),"")</f>
        <v/>
      </c>
      <c r="G421" s="5" t="str">
        <f>IFERROR(ROUND(COUNTIFS(Tasks!$A:$A,$A421,Tasks!$B:$B,$B421,Tasks!$H:$H,"&lt;="&amp;INDEX(Weeks!$D:$D,MATCH($C421,Weeks!$A:$A,0)))/COUNTIFS(Tasks!$A:$A,$A421,Tasks!$B:$B,$B421)*100,0),"")</f>
        <v/>
      </c>
      <c r="H421" t="s">
        <v>92</v>
      </c>
      <c r="I421">
        <f>COUNTIFS(Tasks!$A:$A,$A421,Tasks!$B:$B,$B421,Tasks!$G:$G,"&lt;="&amp;INDEX(Weeks!$D:$D,MATCH($C421,Weeks!$A:$A,0)))-COUNTIFS(Tasks!$A:$A,$A421,Tasks!$B:$B,$B421,Tasks!$I:$I,"&lt;="&amp;INDEX(Weeks!$D:$D,MATCH($C421,Weeks!$A:$A,0)),Tasks!$I:$I,"&lt;&gt;")</f>
        <v>0</v>
      </c>
      <c r="J421">
        <f>COUNTIFS(Tasks!$A:$A,$A421,Tasks!$B:$B,$B421,
Tasks!$I:$I,"&gt;"&amp;IFERROR(INDEX(Weeks!$D:$D,MATCH($C421-1,Weeks!$A:$A,0)),DATE(2000,1,1)),
Tasks!$I:$I,"&lt;="&amp;INDEX(Weeks!$D:$D,MATCH($C421,Weeks!$A:$A,0)),
Tasks!$I:$I,"&lt;&gt;")</f>
        <v>0</v>
      </c>
    </row>
    <row r="422" spans="1:10" ht="15" customHeight="1">
      <c r="A422" t="s">
        <v>93</v>
      </c>
      <c r="B422" t="s">
        <v>96</v>
      </c>
      <c r="C422">
        <v>5</v>
      </c>
      <c r="D422">
        <v>1</v>
      </c>
      <c r="E422">
        <v>5</v>
      </c>
      <c r="F422" s="5" t="str">
        <f>IFERROR(ROUND(COUNTIFS(Tasks!$A:$A,$A422,Tasks!$B:$B,$B422,Tasks!$I:$I,"&lt;="&amp;INDEX(Weeks!$D:$D,MATCH($C422,Weeks!$A:$A,0)),Tasks!$I:$I,"&lt;&gt;")/COUNTIFS(Tasks!$A:$A,$A422,Tasks!$B:$B,$B422)*100,0),"")</f>
        <v/>
      </c>
      <c r="G422" s="5" t="str">
        <f>IFERROR(ROUND(COUNTIFS(Tasks!$A:$A,$A422,Tasks!$B:$B,$B422,Tasks!$H:$H,"&lt;="&amp;INDEX(Weeks!$D:$D,MATCH($C422,Weeks!$A:$A,0)))/COUNTIFS(Tasks!$A:$A,$A422,Tasks!$B:$B,$B422)*100,0),"")</f>
        <v/>
      </c>
      <c r="H422" t="s">
        <v>92</v>
      </c>
      <c r="I422">
        <f>COUNTIFS(Tasks!$A:$A,$A422,Tasks!$B:$B,$B422,Tasks!$G:$G,"&lt;="&amp;INDEX(Weeks!$D:$D,MATCH($C422,Weeks!$A:$A,0)))-COUNTIFS(Tasks!$A:$A,$A422,Tasks!$B:$B,$B422,Tasks!$I:$I,"&lt;="&amp;INDEX(Weeks!$D:$D,MATCH($C422,Weeks!$A:$A,0)),Tasks!$I:$I,"&lt;&gt;")</f>
        <v>0</v>
      </c>
      <c r="J422">
        <f>COUNTIFS(Tasks!$A:$A,$A422,Tasks!$B:$B,$B422,
Tasks!$I:$I,"&gt;"&amp;IFERROR(INDEX(Weeks!$D:$D,MATCH($C422-1,Weeks!$A:$A,0)),DATE(2000,1,1)),
Tasks!$I:$I,"&lt;="&amp;INDEX(Weeks!$D:$D,MATCH($C422,Weeks!$A:$A,0)),
Tasks!$I:$I,"&lt;&gt;")</f>
        <v>0</v>
      </c>
    </row>
    <row r="423" spans="1:10" ht="15" customHeight="1">
      <c r="A423" t="s">
        <v>93</v>
      </c>
      <c r="B423" t="s">
        <v>96</v>
      </c>
      <c r="C423">
        <v>6</v>
      </c>
      <c r="D423">
        <v>2</v>
      </c>
      <c r="E423">
        <v>1</v>
      </c>
      <c r="F423" s="5" t="str">
        <f>IFERROR(ROUND(COUNTIFS(Tasks!$A:$A,$A423,Tasks!$B:$B,$B423,Tasks!$I:$I,"&lt;="&amp;INDEX(Weeks!$D:$D,MATCH($C423,Weeks!$A:$A,0)),Tasks!$I:$I,"&lt;&gt;")/COUNTIFS(Tasks!$A:$A,$A423,Tasks!$B:$B,$B423)*100,0),"")</f>
        <v/>
      </c>
      <c r="G423" s="5" t="str">
        <f>IFERROR(ROUND(COUNTIFS(Tasks!$A:$A,$A423,Tasks!$B:$B,$B423,Tasks!$H:$H,"&lt;="&amp;INDEX(Weeks!$D:$D,MATCH($C423,Weeks!$A:$A,0)))/COUNTIFS(Tasks!$A:$A,$A423,Tasks!$B:$B,$B423)*100,0),"")</f>
        <v/>
      </c>
      <c r="H423" t="s">
        <v>92</v>
      </c>
      <c r="I423">
        <f>COUNTIFS(Tasks!$A:$A,$A423,Tasks!$B:$B,$B423,Tasks!$G:$G,"&lt;="&amp;INDEX(Weeks!$D:$D,MATCH($C423,Weeks!$A:$A,0)))-COUNTIFS(Tasks!$A:$A,$A423,Tasks!$B:$B,$B423,Tasks!$I:$I,"&lt;="&amp;INDEX(Weeks!$D:$D,MATCH($C423,Weeks!$A:$A,0)),Tasks!$I:$I,"&lt;&gt;")</f>
        <v>0</v>
      </c>
      <c r="J423">
        <f>COUNTIFS(Tasks!$A:$A,$A423,Tasks!$B:$B,$B423,
Tasks!$I:$I,"&gt;"&amp;IFERROR(INDEX(Weeks!$D:$D,MATCH($C423-1,Weeks!$A:$A,0)),DATE(2000,1,1)),
Tasks!$I:$I,"&lt;="&amp;INDEX(Weeks!$D:$D,MATCH($C423,Weeks!$A:$A,0)),
Tasks!$I:$I,"&lt;&gt;")</f>
        <v>0</v>
      </c>
    </row>
    <row r="424" spans="1:10" ht="15" customHeight="1">
      <c r="A424" t="s">
        <v>93</v>
      </c>
      <c r="B424" t="s">
        <v>96</v>
      </c>
      <c r="C424">
        <v>7</v>
      </c>
      <c r="D424">
        <v>2</v>
      </c>
      <c r="E424">
        <v>2</v>
      </c>
      <c r="F424" s="5" t="str">
        <f>IFERROR(ROUND(COUNTIFS(Tasks!$A:$A,$A424,Tasks!$B:$B,$B424,Tasks!$I:$I,"&lt;="&amp;INDEX(Weeks!$D:$D,MATCH($C424,Weeks!$A:$A,0)),Tasks!$I:$I,"&lt;&gt;")/COUNTIFS(Tasks!$A:$A,$A424,Tasks!$B:$B,$B424)*100,0),"")</f>
        <v/>
      </c>
      <c r="G424" s="5" t="str">
        <f>IFERROR(ROUND(COUNTIFS(Tasks!$A:$A,$A424,Tasks!$B:$B,$B424,Tasks!$H:$H,"&lt;="&amp;INDEX(Weeks!$D:$D,MATCH($C424,Weeks!$A:$A,0)))/COUNTIFS(Tasks!$A:$A,$A424,Tasks!$B:$B,$B424)*100,0),"")</f>
        <v/>
      </c>
      <c r="H424" t="s">
        <v>92</v>
      </c>
      <c r="I424">
        <f>COUNTIFS(Tasks!$A:$A,$A424,Tasks!$B:$B,$B424,Tasks!$G:$G,"&lt;="&amp;INDEX(Weeks!$D:$D,MATCH($C424,Weeks!$A:$A,0)))-COUNTIFS(Tasks!$A:$A,$A424,Tasks!$B:$B,$B424,Tasks!$I:$I,"&lt;="&amp;INDEX(Weeks!$D:$D,MATCH($C424,Weeks!$A:$A,0)),Tasks!$I:$I,"&lt;&gt;")</f>
        <v>0</v>
      </c>
      <c r="J424">
        <f>COUNTIFS(Tasks!$A:$A,$A424,Tasks!$B:$B,$B424,
Tasks!$I:$I,"&gt;"&amp;IFERROR(INDEX(Weeks!$D:$D,MATCH($C424-1,Weeks!$A:$A,0)),DATE(2000,1,1)),
Tasks!$I:$I,"&lt;="&amp;INDEX(Weeks!$D:$D,MATCH($C424,Weeks!$A:$A,0)),
Tasks!$I:$I,"&lt;&gt;")</f>
        <v>0</v>
      </c>
    </row>
    <row r="425" spans="1:10" ht="15" customHeight="1">
      <c r="A425" t="s">
        <v>93</v>
      </c>
      <c r="B425" t="s">
        <v>96</v>
      </c>
      <c r="C425">
        <v>8</v>
      </c>
      <c r="D425">
        <v>2</v>
      </c>
      <c r="E425">
        <v>3</v>
      </c>
      <c r="F425" s="5" t="str">
        <f>IFERROR(ROUND(COUNTIFS(Tasks!$A:$A,$A425,Tasks!$B:$B,$B425,Tasks!$I:$I,"&lt;="&amp;INDEX(Weeks!$D:$D,MATCH($C425,Weeks!$A:$A,0)),Tasks!$I:$I,"&lt;&gt;")/COUNTIFS(Tasks!$A:$A,$A425,Tasks!$B:$B,$B425)*100,0),"")</f>
        <v/>
      </c>
      <c r="G425" s="5" t="str">
        <f>IFERROR(ROUND(COUNTIFS(Tasks!$A:$A,$A425,Tasks!$B:$B,$B425,Tasks!$H:$H,"&lt;="&amp;INDEX(Weeks!$D:$D,MATCH($C425,Weeks!$A:$A,0)))/COUNTIFS(Tasks!$A:$A,$A425,Tasks!$B:$B,$B425)*100,0),"")</f>
        <v/>
      </c>
      <c r="H425" t="s">
        <v>92</v>
      </c>
      <c r="I425">
        <f>COUNTIFS(Tasks!$A:$A,$A425,Tasks!$B:$B,$B425,Tasks!$G:$G,"&lt;="&amp;INDEX(Weeks!$D:$D,MATCH($C425,Weeks!$A:$A,0)))-COUNTIFS(Tasks!$A:$A,$A425,Tasks!$B:$B,$B425,Tasks!$I:$I,"&lt;="&amp;INDEX(Weeks!$D:$D,MATCH($C425,Weeks!$A:$A,0)),Tasks!$I:$I,"&lt;&gt;")</f>
        <v>0</v>
      </c>
      <c r="J425">
        <f>COUNTIFS(Tasks!$A:$A,$A425,Tasks!$B:$B,$B425,
Tasks!$I:$I,"&gt;"&amp;IFERROR(INDEX(Weeks!$D:$D,MATCH($C425-1,Weeks!$A:$A,0)),DATE(2000,1,1)),
Tasks!$I:$I,"&lt;="&amp;INDEX(Weeks!$D:$D,MATCH($C425,Weeks!$A:$A,0)),
Tasks!$I:$I,"&lt;&gt;")</f>
        <v>0</v>
      </c>
    </row>
    <row r="426" spans="1:10" ht="15" customHeight="1">
      <c r="A426" t="s">
        <v>93</v>
      </c>
      <c r="B426" t="s">
        <v>96</v>
      </c>
      <c r="C426">
        <v>9</v>
      </c>
      <c r="D426">
        <v>2</v>
      </c>
      <c r="E426">
        <v>4</v>
      </c>
      <c r="F426" s="5" t="str">
        <f>IFERROR(ROUND(COUNTIFS(Tasks!$A:$A,$A426,Tasks!$B:$B,$B426,Tasks!$I:$I,"&lt;="&amp;INDEX(Weeks!$D:$D,MATCH($C426,Weeks!$A:$A,0)),Tasks!$I:$I,"&lt;&gt;")/COUNTIFS(Tasks!$A:$A,$A426,Tasks!$B:$B,$B426)*100,0),"")</f>
        <v/>
      </c>
      <c r="G426" s="5" t="str">
        <f>IFERROR(ROUND(COUNTIFS(Tasks!$A:$A,$A426,Tasks!$B:$B,$B426,Tasks!$H:$H,"&lt;="&amp;INDEX(Weeks!$D:$D,MATCH($C426,Weeks!$A:$A,0)))/COUNTIFS(Tasks!$A:$A,$A426,Tasks!$B:$B,$B426)*100,0),"")</f>
        <v/>
      </c>
      <c r="H426" t="s">
        <v>92</v>
      </c>
      <c r="I426">
        <f>COUNTIFS(Tasks!$A:$A,$A426,Tasks!$B:$B,$B426,Tasks!$G:$G,"&lt;="&amp;INDEX(Weeks!$D:$D,MATCH($C426,Weeks!$A:$A,0)))-COUNTIFS(Tasks!$A:$A,$A426,Tasks!$B:$B,$B426,Tasks!$I:$I,"&lt;="&amp;INDEX(Weeks!$D:$D,MATCH($C426,Weeks!$A:$A,0)),Tasks!$I:$I,"&lt;&gt;")</f>
        <v>0</v>
      </c>
      <c r="J426">
        <f>COUNTIFS(Tasks!$A:$A,$A426,Tasks!$B:$B,$B426,
Tasks!$I:$I,"&gt;"&amp;IFERROR(INDEX(Weeks!$D:$D,MATCH($C426-1,Weeks!$A:$A,0)),DATE(2000,1,1)),
Tasks!$I:$I,"&lt;="&amp;INDEX(Weeks!$D:$D,MATCH($C426,Weeks!$A:$A,0)),
Tasks!$I:$I,"&lt;&gt;")</f>
        <v>0</v>
      </c>
    </row>
    <row r="427" spans="1:10" ht="15" customHeight="1">
      <c r="A427" t="s">
        <v>93</v>
      </c>
      <c r="B427" t="s">
        <v>96</v>
      </c>
      <c r="C427">
        <v>10</v>
      </c>
      <c r="D427">
        <v>3</v>
      </c>
      <c r="E427">
        <v>1</v>
      </c>
      <c r="F427" s="5" t="str">
        <f>IFERROR(ROUND(COUNTIFS(Tasks!$A:$A,$A427,Tasks!$B:$B,$B427,Tasks!$I:$I,"&lt;="&amp;INDEX(Weeks!$D:$D,MATCH($C427,Weeks!$A:$A,0)),Tasks!$I:$I,"&lt;&gt;")/COUNTIFS(Tasks!$A:$A,$A427,Tasks!$B:$B,$B427)*100,0),"")</f>
        <v/>
      </c>
      <c r="G427" s="5" t="str">
        <f>IFERROR(ROUND(COUNTIFS(Tasks!$A:$A,$A427,Tasks!$B:$B,$B427,Tasks!$H:$H,"&lt;="&amp;INDEX(Weeks!$D:$D,MATCH($C427,Weeks!$A:$A,0)))/COUNTIFS(Tasks!$A:$A,$A427,Tasks!$B:$B,$B427)*100,0),"")</f>
        <v/>
      </c>
      <c r="H427" t="s">
        <v>92</v>
      </c>
      <c r="I427">
        <f>COUNTIFS(Tasks!$A:$A,$A427,Tasks!$B:$B,$B427,Tasks!$G:$G,"&lt;="&amp;INDEX(Weeks!$D:$D,MATCH($C427,Weeks!$A:$A,0)))-COUNTIFS(Tasks!$A:$A,$A427,Tasks!$B:$B,$B427,Tasks!$I:$I,"&lt;="&amp;INDEX(Weeks!$D:$D,MATCH($C427,Weeks!$A:$A,0)),Tasks!$I:$I,"&lt;&gt;")</f>
        <v>0</v>
      </c>
      <c r="J427">
        <f>COUNTIFS(Tasks!$A:$A,$A427,Tasks!$B:$B,$B427,
Tasks!$I:$I,"&gt;"&amp;IFERROR(INDEX(Weeks!$D:$D,MATCH($C427-1,Weeks!$A:$A,0)),DATE(2000,1,1)),
Tasks!$I:$I,"&lt;="&amp;INDEX(Weeks!$D:$D,MATCH($C427,Weeks!$A:$A,0)),
Tasks!$I:$I,"&lt;&gt;")</f>
        <v>0</v>
      </c>
    </row>
    <row r="428" spans="1:10" ht="15" customHeight="1">
      <c r="A428" t="s">
        <v>93</v>
      </c>
      <c r="B428" t="s">
        <v>96</v>
      </c>
      <c r="C428">
        <v>11</v>
      </c>
      <c r="D428">
        <v>3</v>
      </c>
      <c r="E428">
        <v>2</v>
      </c>
      <c r="F428" s="5" t="str">
        <f>IFERROR(ROUND(COUNTIFS(Tasks!$A:$A,$A428,Tasks!$B:$B,$B428,Tasks!$I:$I,"&lt;="&amp;INDEX(Weeks!$D:$D,MATCH($C428,Weeks!$A:$A,0)),Tasks!$I:$I,"&lt;&gt;")/COUNTIFS(Tasks!$A:$A,$A428,Tasks!$B:$B,$B428)*100,0),"")</f>
        <v/>
      </c>
      <c r="G428" s="5" t="str">
        <f>IFERROR(ROUND(COUNTIFS(Tasks!$A:$A,$A428,Tasks!$B:$B,$B428,Tasks!$H:$H,"&lt;="&amp;INDEX(Weeks!$D:$D,MATCH($C428,Weeks!$A:$A,0)))/COUNTIFS(Tasks!$A:$A,$A428,Tasks!$B:$B,$B428)*100,0),"")</f>
        <v/>
      </c>
      <c r="H428" t="s">
        <v>92</v>
      </c>
      <c r="I428">
        <f>COUNTIFS(Tasks!$A:$A,$A428,Tasks!$B:$B,$B428,Tasks!$G:$G,"&lt;="&amp;INDEX(Weeks!$D:$D,MATCH($C428,Weeks!$A:$A,0)))-COUNTIFS(Tasks!$A:$A,$A428,Tasks!$B:$B,$B428,Tasks!$I:$I,"&lt;="&amp;INDEX(Weeks!$D:$D,MATCH($C428,Weeks!$A:$A,0)),Tasks!$I:$I,"&lt;&gt;")</f>
        <v>0</v>
      </c>
      <c r="J428">
        <f>COUNTIFS(Tasks!$A:$A,$A428,Tasks!$B:$B,$B428,
Tasks!$I:$I,"&gt;"&amp;IFERROR(INDEX(Weeks!$D:$D,MATCH($C428-1,Weeks!$A:$A,0)),DATE(2000,1,1)),
Tasks!$I:$I,"&lt;="&amp;INDEX(Weeks!$D:$D,MATCH($C428,Weeks!$A:$A,0)),
Tasks!$I:$I,"&lt;&gt;")</f>
        <v>0</v>
      </c>
    </row>
    <row r="429" spans="1:10" ht="15" customHeight="1">
      <c r="A429" t="s">
        <v>93</v>
      </c>
      <c r="B429" t="s">
        <v>96</v>
      </c>
      <c r="C429">
        <v>12</v>
      </c>
      <c r="D429">
        <v>3</v>
      </c>
      <c r="E429">
        <v>3</v>
      </c>
      <c r="F429" s="5" t="str">
        <f>IFERROR(ROUND(COUNTIFS(Tasks!$A:$A,$A429,Tasks!$B:$B,$B429,Tasks!$I:$I,"&lt;="&amp;INDEX(Weeks!$D:$D,MATCH($C429,Weeks!$A:$A,0)),Tasks!$I:$I,"&lt;&gt;")/COUNTIFS(Tasks!$A:$A,$A429,Tasks!$B:$B,$B429)*100,0),"")</f>
        <v/>
      </c>
      <c r="G429" s="5" t="str">
        <f>IFERROR(ROUND(COUNTIFS(Tasks!$A:$A,$A429,Tasks!$B:$B,$B429,Tasks!$H:$H,"&lt;="&amp;INDEX(Weeks!$D:$D,MATCH($C429,Weeks!$A:$A,0)))/COUNTIFS(Tasks!$A:$A,$A429,Tasks!$B:$B,$B429)*100,0),"")</f>
        <v/>
      </c>
      <c r="H429" t="s">
        <v>92</v>
      </c>
      <c r="I429">
        <f>COUNTIFS(Tasks!$A:$A,$A429,Tasks!$B:$B,$B429,Tasks!$G:$G,"&lt;="&amp;INDEX(Weeks!$D:$D,MATCH($C429,Weeks!$A:$A,0)))-COUNTIFS(Tasks!$A:$A,$A429,Tasks!$B:$B,$B429,Tasks!$I:$I,"&lt;="&amp;INDEX(Weeks!$D:$D,MATCH($C429,Weeks!$A:$A,0)),Tasks!$I:$I,"&lt;&gt;")</f>
        <v>0</v>
      </c>
      <c r="J429">
        <f>COUNTIFS(Tasks!$A:$A,$A429,Tasks!$B:$B,$B429,
Tasks!$I:$I,"&gt;"&amp;IFERROR(INDEX(Weeks!$D:$D,MATCH($C429-1,Weeks!$A:$A,0)),DATE(2000,1,1)),
Tasks!$I:$I,"&lt;="&amp;INDEX(Weeks!$D:$D,MATCH($C429,Weeks!$A:$A,0)),
Tasks!$I:$I,"&lt;&gt;")</f>
        <v>0</v>
      </c>
    </row>
    <row r="430" spans="1:10" ht="15" customHeight="1">
      <c r="A430" t="s">
        <v>93</v>
      </c>
      <c r="B430" t="s">
        <v>96</v>
      </c>
      <c r="C430">
        <v>13</v>
      </c>
      <c r="D430">
        <v>3</v>
      </c>
      <c r="E430">
        <v>4</v>
      </c>
      <c r="F430" s="5" t="str">
        <f>IFERROR(ROUND(COUNTIFS(Tasks!$A:$A,$A430,Tasks!$B:$B,$B430,Tasks!$I:$I,"&lt;="&amp;INDEX(Weeks!$D:$D,MATCH($C430,Weeks!$A:$A,0)),Tasks!$I:$I,"&lt;&gt;")/COUNTIFS(Tasks!$A:$A,$A430,Tasks!$B:$B,$B430)*100,0),"")</f>
        <v/>
      </c>
      <c r="G430" s="5" t="str">
        <f>IFERROR(ROUND(COUNTIFS(Tasks!$A:$A,$A430,Tasks!$B:$B,$B430,Tasks!$H:$H,"&lt;="&amp;INDEX(Weeks!$D:$D,MATCH($C430,Weeks!$A:$A,0)))/COUNTIFS(Tasks!$A:$A,$A430,Tasks!$B:$B,$B430)*100,0),"")</f>
        <v/>
      </c>
      <c r="H430" t="s">
        <v>92</v>
      </c>
      <c r="I430">
        <f>COUNTIFS(Tasks!$A:$A,$A430,Tasks!$B:$B,$B430,Tasks!$G:$G,"&lt;="&amp;INDEX(Weeks!$D:$D,MATCH($C430,Weeks!$A:$A,0)))-COUNTIFS(Tasks!$A:$A,$A430,Tasks!$B:$B,$B430,Tasks!$I:$I,"&lt;="&amp;INDEX(Weeks!$D:$D,MATCH($C430,Weeks!$A:$A,0)),Tasks!$I:$I,"&lt;&gt;")</f>
        <v>0</v>
      </c>
      <c r="J430">
        <f>COUNTIFS(Tasks!$A:$A,$A430,Tasks!$B:$B,$B430,
Tasks!$I:$I,"&gt;"&amp;IFERROR(INDEX(Weeks!$D:$D,MATCH($C430-1,Weeks!$A:$A,0)),DATE(2000,1,1)),
Tasks!$I:$I,"&lt;="&amp;INDEX(Weeks!$D:$D,MATCH($C430,Weeks!$A:$A,0)),
Tasks!$I:$I,"&lt;&gt;")</f>
        <v>0</v>
      </c>
    </row>
    <row r="431" spans="1:10" ht="15" customHeight="1">
      <c r="A431" t="s">
        <v>93</v>
      </c>
      <c r="B431" t="s">
        <v>96</v>
      </c>
      <c r="C431">
        <v>14</v>
      </c>
      <c r="D431">
        <v>4</v>
      </c>
      <c r="E431">
        <v>1</v>
      </c>
      <c r="F431" s="5" t="str">
        <f>IFERROR(ROUND(COUNTIFS(Tasks!$A:$A,$A431,Tasks!$B:$B,$B431,Tasks!$I:$I,"&lt;="&amp;INDEX(Weeks!$D:$D,MATCH($C431,Weeks!$A:$A,0)),Tasks!$I:$I,"&lt;&gt;")/COUNTIFS(Tasks!$A:$A,$A431,Tasks!$B:$B,$B431)*100,0),"")</f>
        <v/>
      </c>
      <c r="G431" s="5" t="str">
        <f>IFERROR(ROUND(COUNTIFS(Tasks!$A:$A,$A431,Tasks!$B:$B,$B431,Tasks!$H:$H,"&lt;="&amp;INDEX(Weeks!$D:$D,MATCH($C431,Weeks!$A:$A,0)))/COUNTIFS(Tasks!$A:$A,$A431,Tasks!$B:$B,$B431)*100,0),"")</f>
        <v/>
      </c>
      <c r="H431" t="s">
        <v>92</v>
      </c>
      <c r="I431">
        <f>COUNTIFS(Tasks!$A:$A,$A431,Tasks!$B:$B,$B431,Tasks!$G:$G,"&lt;="&amp;INDEX(Weeks!$D:$D,MATCH($C431,Weeks!$A:$A,0)))-COUNTIFS(Tasks!$A:$A,$A431,Tasks!$B:$B,$B431,Tasks!$I:$I,"&lt;="&amp;INDEX(Weeks!$D:$D,MATCH($C431,Weeks!$A:$A,0)),Tasks!$I:$I,"&lt;&gt;")</f>
        <v>0</v>
      </c>
      <c r="J431">
        <f>COUNTIFS(Tasks!$A:$A,$A431,Tasks!$B:$B,$B431,
Tasks!$I:$I,"&gt;"&amp;IFERROR(INDEX(Weeks!$D:$D,MATCH($C431-1,Weeks!$A:$A,0)),DATE(2000,1,1)),
Tasks!$I:$I,"&lt;="&amp;INDEX(Weeks!$D:$D,MATCH($C431,Weeks!$A:$A,0)),
Tasks!$I:$I,"&lt;&gt;")</f>
        <v>0</v>
      </c>
    </row>
    <row r="432" spans="1:10" ht="15" customHeight="1">
      <c r="A432" t="s">
        <v>93</v>
      </c>
      <c r="B432" t="s">
        <v>96</v>
      </c>
      <c r="C432">
        <v>15</v>
      </c>
      <c r="D432">
        <v>4</v>
      </c>
      <c r="E432">
        <v>2</v>
      </c>
      <c r="F432" s="5" t="str">
        <f>IFERROR(ROUND(COUNTIFS(Tasks!$A:$A,$A432,Tasks!$B:$B,$B432,Tasks!$I:$I,"&lt;="&amp;INDEX(Weeks!$D:$D,MATCH($C432,Weeks!$A:$A,0)),Tasks!$I:$I,"&lt;&gt;")/COUNTIFS(Tasks!$A:$A,$A432,Tasks!$B:$B,$B432)*100,0),"")</f>
        <v/>
      </c>
      <c r="G432" s="5" t="str">
        <f>IFERROR(ROUND(COUNTIFS(Tasks!$A:$A,$A432,Tasks!$B:$B,$B432,Tasks!$H:$H,"&lt;="&amp;INDEX(Weeks!$D:$D,MATCH($C432,Weeks!$A:$A,0)))/COUNTIFS(Tasks!$A:$A,$A432,Tasks!$B:$B,$B432)*100,0),"")</f>
        <v/>
      </c>
      <c r="H432" t="s">
        <v>92</v>
      </c>
      <c r="I432">
        <f>COUNTIFS(Tasks!$A:$A,$A432,Tasks!$B:$B,$B432,Tasks!$G:$G,"&lt;="&amp;INDEX(Weeks!$D:$D,MATCH($C432,Weeks!$A:$A,0)))-COUNTIFS(Tasks!$A:$A,$A432,Tasks!$B:$B,$B432,Tasks!$I:$I,"&lt;="&amp;INDEX(Weeks!$D:$D,MATCH($C432,Weeks!$A:$A,0)),Tasks!$I:$I,"&lt;&gt;")</f>
        <v>0</v>
      </c>
      <c r="J432">
        <f>COUNTIFS(Tasks!$A:$A,$A432,Tasks!$B:$B,$B432,
Tasks!$I:$I,"&gt;"&amp;IFERROR(INDEX(Weeks!$D:$D,MATCH($C432-1,Weeks!$A:$A,0)),DATE(2000,1,1)),
Tasks!$I:$I,"&lt;="&amp;INDEX(Weeks!$D:$D,MATCH($C432,Weeks!$A:$A,0)),
Tasks!$I:$I,"&lt;&gt;")</f>
        <v>0</v>
      </c>
    </row>
    <row r="433" spans="1:10" ht="15" customHeight="1">
      <c r="A433" t="s">
        <v>93</v>
      </c>
      <c r="B433" t="s">
        <v>96</v>
      </c>
      <c r="C433">
        <v>16</v>
      </c>
      <c r="D433">
        <v>4</v>
      </c>
      <c r="E433">
        <v>3</v>
      </c>
      <c r="F433" s="5" t="str">
        <f>IFERROR(ROUND(COUNTIFS(Tasks!$A:$A,$A433,Tasks!$B:$B,$B433,Tasks!$I:$I,"&lt;="&amp;INDEX(Weeks!$D:$D,MATCH($C433,Weeks!$A:$A,0)),Tasks!$I:$I,"&lt;&gt;")/COUNTIFS(Tasks!$A:$A,$A433,Tasks!$B:$B,$B433)*100,0),"")</f>
        <v/>
      </c>
      <c r="G433" s="5" t="str">
        <f>IFERROR(ROUND(COUNTIFS(Tasks!$A:$A,$A433,Tasks!$B:$B,$B433,Tasks!$H:$H,"&lt;="&amp;INDEX(Weeks!$D:$D,MATCH($C433,Weeks!$A:$A,0)))/COUNTIFS(Tasks!$A:$A,$A433,Tasks!$B:$B,$B433)*100,0),"")</f>
        <v/>
      </c>
      <c r="H433" t="s">
        <v>92</v>
      </c>
      <c r="I433">
        <f>COUNTIFS(Tasks!$A:$A,$A433,Tasks!$B:$B,$B433,Tasks!$G:$G,"&lt;="&amp;INDEX(Weeks!$D:$D,MATCH($C433,Weeks!$A:$A,0)))-COUNTIFS(Tasks!$A:$A,$A433,Tasks!$B:$B,$B433,Tasks!$I:$I,"&lt;="&amp;INDEX(Weeks!$D:$D,MATCH($C433,Weeks!$A:$A,0)),Tasks!$I:$I,"&lt;&gt;")</f>
        <v>0</v>
      </c>
      <c r="J433">
        <f>COUNTIFS(Tasks!$A:$A,$A433,Tasks!$B:$B,$B433,
Tasks!$I:$I,"&gt;"&amp;IFERROR(INDEX(Weeks!$D:$D,MATCH($C433-1,Weeks!$A:$A,0)),DATE(2000,1,1)),
Tasks!$I:$I,"&lt;="&amp;INDEX(Weeks!$D:$D,MATCH($C433,Weeks!$A:$A,0)),
Tasks!$I:$I,"&lt;&gt;")</f>
        <v>0</v>
      </c>
    </row>
    <row r="434" spans="1:10" ht="15" customHeight="1">
      <c r="A434" t="s">
        <v>93</v>
      </c>
      <c r="B434" t="s">
        <v>96</v>
      </c>
      <c r="C434">
        <v>17</v>
      </c>
      <c r="D434">
        <v>4</v>
      </c>
      <c r="E434">
        <v>4</v>
      </c>
      <c r="F434" s="5" t="str">
        <f>IFERROR(ROUND(COUNTIFS(Tasks!$A:$A,$A434,Tasks!$B:$B,$B434,Tasks!$I:$I,"&lt;="&amp;INDEX(Weeks!$D:$D,MATCH($C434,Weeks!$A:$A,0)),Tasks!$I:$I,"&lt;&gt;")/COUNTIFS(Tasks!$A:$A,$A434,Tasks!$B:$B,$B434)*100,0),"")</f>
        <v/>
      </c>
      <c r="G434" s="5" t="str">
        <f>IFERROR(ROUND(COUNTIFS(Tasks!$A:$A,$A434,Tasks!$B:$B,$B434,Tasks!$H:$H,"&lt;="&amp;INDEX(Weeks!$D:$D,MATCH($C434,Weeks!$A:$A,0)))/COUNTIFS(Tasks!$A:$A,$A434,Tasks!$B:$B,$B434)*100,0),"")</f>
        <v/>
      </c>
      <c r="H434" t="s">
        <v>92</v>
      </c>
      <c r="I434">
        <f>COUNTIFS(Tasks!$A:$A,$A434,Tasks!$B:$B,$B434,Tasks!$G:$G,"&lt;="&amp;INDEX(Weeks!$D:$D,MATCH($C434,Weeks!$A:$A,0)))-COUNTIFS(Tasks!$A:$A,$A434,Tasks!$B:$B,$B434,Tasks!$I:$I,"&lt;="&amp;INDEX(Weeks!$D:$D,MATCH($C434,Weeks!$A:$A,0)),Tasks!$I:$I,"&lt;&gt;")</f>
        <v>0</v>
      </c>
      <c r="J434">
        <f>COUNTIFS(Tasks!$A:$A,$A434,Tasks!$B:$B,$B434,
Tasks!$I:$I,"&gt;"&amp;IFERROR(INDEX(Weeks!$D:$D,MATCH($C434-1,Weeks!$A:$A,0)),DATE(2000,1,1)),
Tasks!$I:$I,"&lt;="&amp;INDEX(Weeks!$D:$D,MATCH($C434,Weeks!$A:$A,0)),
Tasks!$I:$I,"&lt;&gt;")</f>
        <v>0</v>
      </c>
    </row>
    <row r="435" spans="1:10" ht="15" customHeight="1">
      <c r="A435" t="s">
        <v>93</v>
      </c>
      <c r="B435" t="s">
        <v>96</v>
      </c>
      <c r="C435">
        <v>18</v>
      </c>
      <c r="D435">
        <v>5</v>
      </c>
      <c r="E435">
        <v>1</v>
      </c>
      <c r="F435" s="5" t="str">
        <f>IFERROR(ROUND(COUNTIFS(Tasks!$A:$A,$A435,Tasks!$B:$B,$B435,Tasks!$I:$I,"&lt;="&amp;INDEX(Weeks!$D:$D,MATCH($C435,Weeks!$A:$A,0)),Tasks!$I:$I,"&lt;&gt;")/COUNTIFS(Tasks!$A:$A,$A435,Tasks!$B:$B,$B435)*100,0),"")</f>
        <v/>
      </c>
      <c r="G435" s="5" t="str">
        <f>IFERROR(ROUND(COUNTIFS(Tasks!$A:$A,$A435,Tasks!$B:$B,$B435,Tasks!$H:$H,"&lt;="&amp;INDEX(Weeks!$D:$D,MATCH($C435,Weeks!$A:$A,0)))/COUNTIFS(Tasks!$A:$A,$A435,Tasks!$B:$B,$B435)*100,0),"")</f>
        <v/>
      </c>
      <c r="H435" t="s">
        <v>92</v>
      </c>
      <c r="I435">
        <f>COUNTIFS(Tasks!$A:$A,$A435,Tasks!$B:$B,$B435,Tasks!$G:$G,"&lt;="&amp;INDEX(Weeks!$D:$D,MATCH($C435,Weeks!$A:$A,0)))-COUNTIFS(Tasks!$A:$A,$A435,Tasks!$B:$B,$B435,Tasks!$I:$I,"&lt;="&amp;INDEX(Weeks!$D:$D,MATCH($C435,Weeks!$A:$A,0)),Tasks!$I:$I,"&lt;&gt;")</f>
        <v>0</v>
      </c>
      <c r="J435">
        <f>COUNTIFS(Tasks!$A:$A,$A435,Tasks!$B:$B,$B435,
Tasks!$I:$I,"&gt;"&amp;IFERROR(INDEX(Weeks!$D:$D,MATCH($C435-1,Weeks!$A:$A,0)),DATE(2000,1,1)),
Tasks!$I:$I,"&lt;="&amp;INDEX(Weeks!$D:$D,MATCH($C435,Weeks!$A:$A,0)),
Tasks!$I:$I,"&lt;&gt;")</f>
        <v>0</v>
      </c>
    </row>
    <row r="436" spans="1:10" ht="15" customHeight="1">
      <c r="A436" t="s">
        <v>93</v>
      </c>
      <c r="B436" t="s">
        <v>96</v>
      </c>
      <c r="C436">
        <v>19</v>
      </c>
      <c r="D436">
        <v>5</v>
      </c>
      <c r="E436">
        <v>2</v>
      </c>
      <c r="F436" s="5" t="str">
        <f>IFERROR(ROUND(COUNTIFS(Tasks!$A:$A,$A436,Tasks!$B:$B,$B436,Tasks!$I:$I,"&lt;="&amp;INDEX(Weeks!$D:$D,MATCH($C436,Weeks!$A:$A,0)),Tasks!$I:$I,"&lt;&gt;")/COUNTIFS(Tasks!$A:$A,$A436,Tasks!$B:$B,$B436)*100,0),"")</f>
        <v/>
      </c>
      <c r="G436" s="5" t="str">
        <f>IFERROR(ROUND(COUNTIFS(Tasks!$A:$A,$A436,Tasks!$B:$B,$B436,Tasks!$H:$H,"&lt;="&amp;INDEX(Weeks!$D:$D,MATCH($C436,Weeks!$A:$A,0)))/COUNTIFS(Tasks!$A:$A,$A436,Tasks!$B:$B,$B436)*100,0),"")</f>
        <v/>
      </c>
      <c r="H436" t="s">
        <v>92</v>
      </c>
      <c r="I436">
        <f>COUNTIFS(Tasks!$A:$A,$A436,Tasks!$B:$B,$B436,Tasks!$G:$G,"&lt;="&amp;INDEX(Weeks!$D:$D,MATCH($C436,Weeks!$A:$A,0)))-COUNTIFS(Tasks!$A:$A,$A436,Tasks!$B:$B,$B436,Tasks!$I:$I,"&lt;="&amp;INDEX(Weeks!$D:$D,MATCH($C436,Weeks!$A:$A,0)),Tasks!$I:$I,"&lt;&gt;")</f>
        <v>0</v>
      </c>
      <c r="J436">
        <f>COUNTIFS(Tasks!$A:$A,$A436,Tasks!$B:$B,$B436,
Tasks!$I:$I,"&gt;"&amp;IFERROR(INDEX(Weeks!$D:$D,MATCH($C436-1,Weeks!$A:$A,0)),DATE(2000,1,1)),
Tasks!$I:$I,"&lt;="&amp;INDEX(Weeks!$D:$D,MATCH($C436,Weeks!$A:$A,0)),
Tasks!$I:$I,"&lt;&gt;")</f>
        <v>0</v>
      </c>
    </row>
    <row r="437" spans="1:10" ht="15" customHeight="1">
      <c r="A437" t="s">
        <v>93</v>
      </c>
      <c r="B437" t="s">
        <v>96</v>
      </c>
      <c r="C437">
        <v>20</v>
      </c>
      <c r="D437">
        <v>5</v>
      </c>
      <c r="E437">
        <v>3</v>
      </c>
      <c r="F437" s="5" t="str">
        <f>IFERROR(ROUND(COUNTIFS(Tasks!$A:$A,$A437,Tasks!$B:$B,$B437,Tasks!$I:$I,"&lt;="&amp;INDEX(Weeks!$D:$D,MATCH($C437,Weeks!$A:$A,0)),Tasks!$I:$I,"&lt;&gt;")/COUNTIFS(Tasks!$A:$A,$A437,Tasks!$B:$B,$B437)*100,0),"")</f>
        <v/>
      </c>
      <c r="G437" s="5" t="str">
        <f>IFERROR(ROUND(COUNTIFS(Tasks!$A:$A,$A437,Tasks!$B:$B,$B437,Tasks!$H:$H,"&lt;="&amp;INDEX(Weeks!$D:$D,MATCH($C437,Weeks!$A:$A,0)))/COUNTIFS(Tasks!$A:$A,$A437,Tasks!$B:$B,$B437)*100,0),"")</f>
        <v/>
      </c>
      <c r="H437" t="s">
        <v>92</v>
      </c>
      <c r="I437">
        <f>COUNTIFS(Tasks!$A:$A,$A437,Tasks!$B:$B,$B437,Tasks!$G:$G,"&lt;="&amp;INDEX(Weeks!$D:$D,MATCH($C437,Weeks!$A:$A,0)))-COUNTIFS(Tasks!$A:$A,$A437,Tasks!$B:$B,$B437,Tasks!$I:$I,"&lt;="&amp;INDEX(Weeks!$D:$D,MATCH($C437,Weeks!$A:$A,0)),Tasks!$I:$I,"&lt;&gt;")</f>
        <v>0</v>
      </c>
      <c r="J437">
        <f>COUNTIFS(Tasks!$A:$A,$A437,Tasks!$B:$B,$B437,
Tasks!$I:$I,"&gt;"&amp;IFERROR(INDEX(Weeks!$D:$D,MATCH($C437-1,Weeks!$A:$A,0)),DATE(2000,1,1)),
Tasks!$I:$I,"&lt;="&amp;INDEX(Weeks!$D:$D,MATCH($C437,Weeks!$A:$A,0)),
Tasks!$I:$I,"&lt;&gt;")</f>
        <v>0</v>
      </c>
    </row>
    <row r="438" spans="1:10" ht="15" customHeight="1">
      <c r="A438" t="s">
        <v>93</v>
      </c>
      <c r="B438" t="s">
        <v>96</v>
      </c>
      <c r="C438">
        <v>21</v>
      </c>
      <c r="D438">
        <v>5</v>
      </c>
      <c r="E438">
        <v>4</v>
      </c>
      <c r="F438" s="5" t="str">
        <f>IFERROR(ROUND(COUNTIFS(Tasks!$A:$A,$A438,Tasks!$B:$B,$B438,Tasks!$I:$I,"&lt;="&amp;INDEX(Weeks!$D:$D,MATCH($C438,Weeks!$A:$A,0)),Tasks!$I:$I,"&lt;&gt;")/COUNTIFS(Tasks!$A:$A,$A438,Tasks!$B:$B,$B438)*100,0),"")</f>
        <v/>
      </c>
      <c r="G438" s="5" t="str">
        <f>IFERROR(ROUND(COUNTIFS(Tasks!$A:$A,$A438,Tasks!$B:$B,$B438,Tasks!$H:$H,"&lt;="&amp;INDEX(Weeks!$D:$D,MATCH($C438,Weeks!$A:$A,0)))/COUNTIFS(Tasks!$A:$A,$A438,Tasks!$B:$B,$B438)*100,0),"")</f>
        <v/>
      </c>
      <c r="H438" t="s">
        <v>92</v>
      </c>
      <c r="I438">
        <f>COUNTIFS(Tasks!$A:$A,$A438,Tasks!$B:$B,$B438,Tasks!$G:$G,"&lt;="&amp;INDEX(Weeks!$D:$D,MATCH($C438,Weeks!$A:$A,0)))-COUNTIFS(Tasks!$A:$A,$A438,Tasks!$B:$B,$B438,Tasks!$I:$I,"&lt;="&amp;INDEX(Weeks!$D:$D,MATCH($C438,Weeks!$A:$A,0)),Tasks!$I:$I,"&lt;&gt;")</f>
        <v>0</v>
      </c>
      <c r="J438">
        <f>COUNTIFS(Tasks!$A:$A,$A438,Tasks!$B:$B,$B438,
Tasks!$I:$I,"&gt;"&amp;IFERROR(INDEX(Weeks!$D:$D,MATCH($C438-1,Weeks!$A:$A,0)),DATE(2000,1,1)),
Tasks!$I:$I,"&lt;="&amp;INDEX(Weeks!$D:$D,MATCH($C438,Weeks!$A:$A,0)),
Tasks!$I:$I,"&lt;&gt;")</f>
        <v>0</v>
      </c>
    </row>
    <row r="439" spans="1:10" ht="15" customHeight="1">
      <c r="A439" t="s">
        <v>93</v>
      </c>
      <c r="B439" t="s">
        <v>96</v>
      </c>
      <c r="C439">
        <v>22</v>
      </c>
      <c r="D439">
        <v>5</v>
      </c>
      <c r="E439">
        <v>5</v>
      </c>
      <c r="F439" s="5" t="str">
        <f>IFERROR(ROUND(COUNTIFS(Tasks!$A:$A,$A439,Tasks!$B:$B,$B439,Tasks!$I:$I,"&lt;="&amp;INDEX(Weeks!$D:$D,MATCH($C439,Weeks!$A:$A,0)),Tasks!$I:$I,"&lt;&gt;")/COUNTIFS(Tasks!$A:$A,$A439,Tasks!$B:$B,$B439)*100,0),"")</f>
        <v/>
      </c>
      <c r="G439" s="5" t="str">
        <f>IFERROR(ROUND(COUNTIFS(Tasks!$A:$A,$A439,Tasks!$B:$B,$B439,Tasks!$H:$H,"&lt;="&amp;INDEX(Weeks!$D:$D,MATCH($C439,Weeks!$A:$A,0)))/COUNTIFS(Tasks!$A:$A,$A439,Tasks!$B:$B,$B439)*100,0),"")</f>
        <v/>
      </c>
      <c r="H439" t="s">
        <v>92</v>
      </c>
      <c r="I439">
        <f>COUNTIFS(Tasks!$A:$A,$A439,Tasks!$B:$B,$B439,Tasks!$G:$G,"&lt;="&amp;INDEX(Weeks!$D:$D,MATCH($C439,Weeks!$A:$A,0)))-COUNTIFS(Tasks!$A:$A,$A439,Tasks!$B:$B,$B439,Tasks!$I:$I,"&lt;="&amp;INDEX(Weeks!$D:$D,MATCH($C439,Weeks!$A:$A,0)),Tasks!$I:$I,"&lt;&gt;")</f>
        <v>0</v>
      </c>
      <c r="J439">
        <f>COUNTIFS(Tasks!$A:$A,$A439,Tasks!$B:$B,$B439,
Tasks!$I:$I,"&gt;"&amp;IFERROR(INDEX(Weeks!$D:$D,MATCH($C439-1,Weeks!$A:$A,0)),DATE(2000,1,1)),
Tasks!$I:$I,"&lt;="&amp;INDEX(Weeks!$D:$D,MATCH($C439,Weeks!$A:$A,0)),
Tasks!$I:$I,"&lt;&gt;")</f>
        <v>0</v>
      </c>
    </row>
    <row r="440" spans="1:10" ht="15" customHeight="1">
      <c r="A440" t="s">
        <v>93</v>
      </c>
      <c r="B440" t="s">
        <v>96</v>
      </c>
      <c r="C440">
        <v>23</v>
      </c>
      <c r="D440">
        <v>6</v>
      </c>
      <c r="E440">
        <v>1</v>
      </c>
      <c r="F440" s="5" t="str">
        <f>IFERROR(ROUND(COUNTIFS(Tasks!$A:$A,$A440,Tasks!$B:$B,$B440,Tasks!$I:$I,"&lt;="&amp;INDEX(Weeks!$D:$D,MATCH($C440,Weeks!$A:$A,0)),Tasks!$I:$I,"&lt;&gt;")/COUNTIFS(Tasks!$A:$A,$A440,Tasks!$B:$B,$B440)*100,0),"")</f>
        <v/>
      </c>
      <c r="G440" s="5" t="str">
        <f>IFERROR(ROUND(COUNTIFS(Tasks!$A:$A,$A440,Tasks!$B:$B,$B440,Tasks!$H:$H,"&lt;="&amp;INDEX(Weeks!$D:$D,MATCH($C440,Weeks!$A:$A,0)))/COUNTIFS(Tasks!$A:$A,$A440,Tasks!$B:$B,$B440)*100,0),"")</f>
        <v/>
      </c>
      <c r="H440" t="s">
        <v>92</v>
      </c>
      <c r="I440">
        <f>COUNTIFS(Tasks!$A:$A,$A440,Tasks!$B:$B,$B440,Tasks!$G:$G,"&lt;="&amp;INDEX(Weeks!$D:$D,MATCH($C440,Weeks!$A:$A,0)))-COUNTIFS(Tasks!$A:$A,$A440,Tasks!$B:$B,$B440,Tasks!$I:$I,"&lt;="&amp;INDEX(Weeks!$D:$D,MATCH($C440,Weeks!$A:$A,0)),Tasks!$I:$I,"&lt;&gt;")</f>
        <v>0</v>
      </c>
      <c r="J440">
        <f>COUNTIFS(Tasks!$A:$A,$A440,Tasks!$B:$B,$B440,
Tasks!$I:$I,"&gt;"&amp;IFERROR(INDEX(Weeks!$D:$D,MATCH($C440-1,Weeks!$A:$A,0)),DATE(2000,1,1)),
Tasks!$I:$I,"&lt;="&amp;INDEX(Weeks!$D:$D,MATCH($C440,Weeks!$A:$A,0)),
Tasks!$I:$I,"&lt;&gt;")</f>
        <v>0</v>
      </c>
    </row>
    <row r="441" spans="1:10" ht="15" customHeight="1">
      <c r="A441" t="s">
        <v>93</v>
      </c>
      <c r="B441" t="s">
        <v>96</v>
      </c>
      <c r="C441">
        <v>24</v>
      </c>
      <c r="D441">
        <v>6</v>
      </c>
      <c r="E441">
        <v>2</v>
      </c>
      <c r="F441" s="5" t="str">
        <f>IFERROR(ROUND(COUNTIFS(Tasks!$A:$A,$A441,Tasks!$B:$B,$B441,Tasks!$I:$I,"&lt;="&amp;INDEX(Weeks!$D:$D,MATCH($C441,Weeks!$A:$A,0)),Tasks!$I:$I,"&lt;&gt;")/COUNTIFS(Tasks!$A:$A,$A441,Tasks!$B:$B,$B441)*100,0),"")</f>
        <v/>
      </c>
      <c r="G441" s="5" t="str">
        <f>IFERROR(ROUND(COUNTIFS(Tasks!$A:$A,$A441,Tasks!$B:$B,$B441,Tasks!$H:$H,"&lt;="&amp;INDEX(Weeks!$D:$D,MATCH($C441,Weeks!$A:$A,0)))/COUNTIFS(Tasks!$A:$A,$A441,Tasks!$B:$B,$B441)*100,0),"")</f>
        <v/>
      </c>
      <c r="H441" t="s">
        <v>92</v>
      </c>
      <c r="I441">
        <f>COUNTIFS(Tasks!$A:$A,$A441,Tasks!$B:$B,$B441,Tasks!$G:$G,"&lt;="&amp;INDEX(Weeks!$D:$D,MATCH($C441,Weeks!$A:$A,0)))-COUNTIFS(Tasks!$A:$A,$A441,Tasks!$B:$B,$B441,Tasks!$I:$I,"&lt;="&amp;INDEX(Weeks!$D:$D,MATCH($C441,Weeks!$A:$A,0)),Tasks!$I:$I,"&lt;&gt;")</f>
        <v>0</v>
      </c>
      <c r="J441">
        <f>COUNTIFS(Tasks!$A:$A,$A441,Tasks!$B:$B,$B441,
Tasks!$I:$I,"&gt;"&amp;IFERROR(INDEX(Weeks!$D:$D,MATCH($C441-1,Weeks!$A:$A,0)),DATE(2000,1,1)),
Tasks!$I:$I,"&lt;="&amp;INDEX(Weeks!$D:$D,MATCH($C441,Weeks!$A:$A,0)),
Tasks!$I:$I,"&lt;&gt;")</f>
        <v>0</v>
      </c>
    </row>
    <row r="442" spans="1:10" ht="15" customHeight="1">
      <c r="A442" t="s">
        <v>93</v>
      </c>
      <c r="B442" t="s">
        <v>96</v>
      </c>
      <c r="C442">
        <v>25</v>
      </c>
      <c r="D442">
        <v>6</v>
      </c>
      <c r="E442">
        <v>3</v>
      </c>
      <c r="F442" s="5" t="str">
        <f>IFERROR(ROUND(COUNTIFS(Tasks!$A:$A,$A442,Tasks!$B:$B,$B442,Tasks!$I:$I,"&lt;="&amp;INDEX(Weeks!$D:$D,MATCH($C442,Weeks!$A:$A,0)),Tasks!$I:$I,"&lt;&gt;")/COUNTIFS(Tasks!$A:$A,$A442,Tasks!$B:$B,$B442)*100,0),"")</f>
        <v/>
      </c>
      <c r="G442" s="5" t="str">
        <f>IFERROR(ROUND(COUNTIFS(Tasks!$A:$A,$A442,Tasks!$B:$B,$B442,Tasks!$H:$H,"&lt;="&amp;INDEX(Weeks!$D:$D,MATCH($C442,Weeks!$A:$A,0)))/COUNTIFS(Tasks!$A:$A,$A442,Tasks!$B:$B,$B442)*100,0),"")</f>
        <v/>
      </c>
      <c r="I442">
        <f>COUNTIFS(Tasks!$A:$A,$A442,Tasks!$B:$B,$B442,Tasks!$G:$G,"&lt;="&amp;INDEX(Weeks!$D:$D,MATCH($C442,Weeks!$A:$A,0)))-COUNTIFS(Tasks!$A:$A,$A442,Tasks!$B:$B,$B442,Tasks!$I:$I,"&lt;="&amp;INDEX(Weeks!$D:$D,MATCH($C442,Weeks!$A:$A,0)),Tasks!$I:$I,"&lt;&gt;")</f>
        <v>0</v>
      </c>
      <c r="J442">
        <f>COUNTIFS(Tasks!$A:$A,$A442,Tasks!$B:$B,$B442,
Tasks!$I:$I,"&gt;"&amp;IFERROR(INDEX(Weeks!$D:$D,MATCH($C442-1,Weeks!$A:$A,0)),DATE(2000,1,1)),
Tasks!$I:$I,"&lt;="&amp;INDEX(Weeks!$D:$D,MATCH($C442,Weeks!$A:$A,0)),
Tasks!$I:$I,"&lt;&gt;")</f>
        <v>0</v>
      </c>
    </row>
    <row r="443" spans="1:10" ht="15" customHeight="1">
      <c r="A443" t="s">
        <v>93</v>
      </c>
      <c r="B443" t="s">
        <v>96</v>
      </c>
      <c r="C443">
        <v>26</v>
      </c>
      <c r="D443">
        <v>6</v>
      </c>
      <c r="E443">
        <v>4</v>
      </c>
      <c r="F443" s="5" t="str">
        <f>IFERROR(ROUND(COUNTIFS(Tasks!$A:$A,$A443,Tasks!$B:$B,$B443,Tasks!$I:$I,"&lt;="&amp;INDEX(Weeks!$D:$D,MATCH($C443,Weeks!$A:$A,0)),Tasks!$I:$I,"&lt;&gt;")/COUNTIFS(Tasks!$A:$A,$A443,Tasks!$B:$B,$B443)*100,0),"")</f>
        <v/>
      </c>
      <c r="G443" s="5" t="str">
        <f>IFERROR(ROUND(COUNTIFS(Tasks!$A:$A,$A443,Tasks!$B:$B,$B443,Tasks!$H:$H,"&lt;="&amp;INDEX(Weeks!$D:$D,MATCH($C443,Weeks!$A:$A,0)))/COUNTIFS(Tasks!$A:$A,$A443,Tasks!$B:$B,$B443)*100,0),"")</f>
        <v/>
      </c>
      <c r="I443">
        <f>COUNTIFS(Tasks!$A:$A,$A443,Tasks!$B:$B,$B443,Tasks!$G:$G,"&lt;="&amp;INDEX(Weeks!$D:$D,MATCH($C443,Weeks!$A:$A,0)))-COUNTIFS(Tasks!$A:$A,$A443,Tasks!$B:$B,$B443,Tasks!$I:$I,"&lt;="&amp;INDEX(Weeks!$D:$D,MATCH($C443,Weeks!$A:$A,0)),Tasks!$I:$I,"&lt;&gt;")</f>
        <v>0</v>
      </c>
      <c r="J443">
        <f>COUNTIFS(Tasks!$A:$A,$A443,Tasks!$B:$B,$B443,
Tasks!$I:$I,"&gt;"&amp;IFERROR(INDEX(Weeks!$D:$D,MATCH($C443-1,Weeks!$A:$A,0)),DATE(2000,1,1)),
Tasks!$I:$I,"&lt;="&amp;INDEX(Weeks!$D:$D,MATCH($C443,Weeks!$A:$A,0)),
Tasks!$I:$I,"&lt;&gt;")</f>
        <v>0</v>
      </c>
    </row>
    <row r="444" spans="1:10" ht="15" customHeight="1">
      <c r="A444" t="s">
        <v>93</v>
      </c>
      <c r="B444" t="s">
        <v>96</v>
      </c>
      <c r="C444">
        <v>27</v>
      </c>
      <c r="D444">
        <v>7</v>
      </c>
      <c r="E444">
        <v>1</v>
      </c>
      <c r="F444" s="5" t="str">
        <f>IFERROR(ROUND(COUNTIFS(Tasks!$A:$A,$A444,Tasks!$B:$B,$B444,Tasks!$I:$I,"&lt;="&amp;INDEX(Weeks!$D:$D,MATCH($C444,Weeks!$A:$A,0)),Tasks!$I:$I,"&lt;&gt;")/COUNTIFS(Tasks!$A:$A,$A444,Tasks!$B:$B,$B444)*100,0),"")</f>
        <v/>
      </c>
      <c r="G444" s="5" t="str">
        <f>IFERROR(ROUND(COUNTIFS(Tasks!$A:$A,$A444,Tasks!$B:$B,$B444,Tasks!$H:$H,"&lt;="&amp;INDEX(Weeks!$D:$D,MATCH($C444,Weeks!$A:$A,0)))/COUNTIFS(Tasks!$A:$A,$A444,Tasks!$B:$B,$B444)*100,0),"")</f>
        <v/>
      </c>
      <c r="I444">
        <f>COUNTIFS(Tasks!$A:$A,$A444,Tasks!$B:$B,$B444,Tasks!$G:$G,"&lt;="&amp;INDEX(Weeks!$D:$D,MATCH($C444,Weeks!$A:$A,0)))-COUNTIFS(Tasks!$A:$A,$A444,Tasks!$B:$B,$B444,Tasks!$I:$I,"&lt;="&amp;INDEX(Weeks!$D:$D,MATCH($C444,Weeks!$A:$A,0)),Tasks!$I:$I,"&lt;&gt;")</f>
        <v>0</v>
      </c>
      <c r="J444">
        <f>COUNTIFS(Tasks!$A:$A,$A444,Tasks!$B:$B,$B444,
Tasks!$I:$I,"&gt;"&amp;IFERROR(INDEX(Weeks!$D:$D,MATCH($C444-1,Weeks!$A:$A,0)),DATE(2000,1,1)),
Tasks!$I:$I,"&lt;="&amp;INDEX(Weeks!$D:$D,MATCH($C444,Weeks!$A:$A,0)),
Tasks!$I:$I,"&lt;&gt;")</f>
        <v>0</v>
      </c>
    </row>
    <row r="445" spans="1:10" ht="15" customHeight="1">
      <c r="A445" t="s">
        <v>93</v>
      </c>
      <c r="B445" t="s">
        <v>96</v>
      </c>
      <c r="C445">
        <v>28</v>
      </c>
      <c r="D445">
        <v>7</v>
      </c>
      <c r="E445">
        <v>2</v>
      </c>
      <c r="F445" s="5" t="str">
        <f>IFERROR(ROUND(COUNTIFS(Tasks!$A:$A,$A445,Tasks!$B:$B,$B445,Tasks!$I:$I,"&lt;="&amp;INDEX(Weeks!$D:$D,MATCH($C445,Weeks!$A:$A,0)),Tasks!$I:$I,"&lt;&gt;")/COUNTIFS(Tasks!$A:$A,$A445,Tasks!$B:$B,$B445)*100,0),"")</f>
        <v/>
      </c>
      <c r="G445" s="5" t="str">
        <f>IFERROR(ROUND(COUNTIFS(Tasks!$A:$A,$A445,Tasks!$B:$B,$B445,Tasks!$H:$H,"&lt;="&amp;INDEX(Weeks!$D:$D,MATCH($C445,Weeks!$A:$A,0)))/COUNTIFS(Tasks!$A:$A,$A445,Tasks!$B:$B,$B445)*100,0),"")</f>
        <v/>
      </c>
      <c r="I445">
        <f>COUNTIFS(Tasks!$A:$A,$A445,Tasks!$B:$B,$B445,Tasks!$G:$G,"&lt;="&amp;INDEX(Weeks!$D:$D,MATCH($C445,Weeks!$A:$A,0)))-COUNTIFS(Tasks!$A:$A,$A445,Tasks!$B:$B,$B445,Tasks!$I:$I,"&lt;="&amp;INDEX(Weeks!$D:$D,MATCH($C445,Weeks!$A:$A,0)),Tasks!$I:$I,"&lt;&gt;")</f>
        <v>0</v>
      </c>
      <c r="J445">
        <f>COUNTIFS(Tasks!$A:$A,$A445,Tasks!$B:$B,$B445,
Tasks!$I:$I,"&gt;"&amp;IFERROR(INDEX(Weeks!$D:$D,MATCH($C445-1,Weeks!$A:$A,0)),DATE(2000,1,1)),
Tasks!$I:$I,"&lt;="&amp;INDEX(Weeks!$D:$D,MATCH($C445,Weeks!$A:$A,0)),
Tasks!$I:$I,"&lt;&gt;")</f>
        <v>0</v>
      </c>
    </row>
    <row r="446" spans="1:10" ht="15" customHeight="1">
      <c r="A446" t="s">
        <v>93</v>
      </c>
      <c r="B446" t="s">
        <v>96</v>
      </c>
      <c r="C446">
        <v>29</v>
      </c>
      <c r="D446">
        <v>7</v>
      </c>
      <c r="E446">
        <v>3</v>
      </c>
      <c r="F446" s="5" t="str">
        <f>IFERROR(ROUND(COUNTIFS(Tasks!$A:$A,$A446,Tasks!$B:$B,$B446,Tasks!$I:$I,"&lt;="&amp;INDEX(Weeks!$D:$D,MATCH($C446,Weeks!$A:$A,0)),Tasks!$I:$I,"&lt;&gt;")/COUNTIFS(Tasks!$A:$A,$A446,Tasks!$B:$B,$B446)*100,0),"")</f>
        <v/>
      </c>
      <c r="G446" s="5" t="str">
        <f>IFERROR(ROUND(COUNTIFS(Tasks!$A:$A,$A446,Tasks!$B:$B,$B446,Tasks!$H:$H,"&lt;="&amp;INDEX(Weeks!$D:$D,MATCH($C446,Weeks!$A:$A,0)))/COUNTIFS(Tasks!$A:$A,$A446,Tasks!$B:$B,$B446)*100,0),"")</f>
        <v/>
      </c>
      <c r="I446">
        <f>COUNTIFS(Tasks!$A:$A,$A446,Tasks!$B:$B,$B446,Tasks!$G:$G,"&lt;="&amp;INDEX(Weeks!$D:$D,MATCH($C446,Weeks!$A:$A,0)))-COUNTIFS(Tasks!$A:$A,$A446,Tasks!$B:$B,$B446,Tasks!$I:$I,"&lt;="&amp;INDEX(Weeks!$D:$D,MATCH($C446,Weeks!$A:$A,0)),Tasks!$I:$I,"&lt;&gt;")</f>
        <v>0</v>
      </c>
      <c r="J446">
        <f>COUNTIFS(Tasks!$A:$A,$A446,Tasks!$B:$B,$B446,
Tasks!$I:$I,"&gt;"&amp;IFERROR(INDEX(Weeks!$D:$D,MATCH($C446-1,Weeks!$A:$A,0)),DATE(2000,1,1)),
Tasks!$I:$I,"&lt;="&amp;INDEX(Weeks!$D:$D,MATCH($C446,Weeks!$A:$A,0)),
Tasks!$I:$I,"&lt;&gt;")</f>
        <v>0</v>
      </c>
    </row>
    <row r="447" spans="1:10" ht="15" customHeight="1">
      <c r="A447" t="s">
        <v>93</v>
      </c>
      <c r="B447" t="s">
        <v>96</v>
      </c>
      <c r="C447">
        <v>30</v>
      </c>
      <c r="D447">
        <v>7</v>
      </c>
      <c r="E447">
        <v>4</v>
      </c>
      <c r="F447" s="5" t="str">
        <f>IFERROR(ROUND(COUNTIFS(Tasks!$A:$A,$A447,Tasks!$B:$B,$B447,Tasks!$I:$I,"&lt;="&amp;INDEX(Weeks!$D:$D,MATCH($C447,Weeks!$A:$A,0)),Tasks!$I:$I,"&lt;&gt;")/COUNTIFS(Tasks!$A:$A,$A447,Tasks!$B:$B,$B447)*100,0),"")</f>
        <v/>
      </c>
      <c r="G447" s="5" t="str">
        <f>IFERROR(ROUND(COUNTIFS(Tasks!$A:$A,$A447,Tasks!$B:$B,$B447,Tasks!$H:$H,"&lt;="&amp;INDEX(Weeks!$D:$D,MATCH($C447,Weeks!$A:$A,0)))/COUNTIFS(Tasks!$A:$A,$A447,Tasks!$B:$B,$B447)*100,0),"")</f>
        <v/>
      </c>
      <c r="I447">
        <f>COUNTIFS(Tasks!$A:$A,$A447,Tasks!$B:$B,$B447,Tasks!$G:$G,"&lt;="&amp;INDEX(Weeks!$D:$D,MATCH($C447,Weeks!$A:$A,0)))-COUNTIFS(Tasks!$A:$A,$A447,Tasks!$B:$B,$B447,Tasks!$I:$I,"&lt;="&amp;INDEX(Weeks!$D:$D,MATCH($C447,Weeks!$A:$A,0)),Tasks!$I:$I,"&lt;&gt;")</f>
        <v>0</v>
      </c>
      <c r="J447">
        <f>COUNTIFS(Tasks!$A:$A,$A447,Tasks!$B:$B,$B447,
Tasks!$I:$I,"&gt;"&amp;IFERROR(INDEX(Weeks!$D:$D,MATCH($C447-1,Weeks!$A:$A,0)),DATE(2000,1,1)),
Tasks!$I:$I,"&lt;="&amp;INDEX(Weeks!$D:$D,MATCH($C447,Weeks!$A:$A,0)),
Tasks!$I:$I,"&lt;&gt;")</f>
        <v>0</v>
      </c>
    </row>
    <row r="448" spans="1:10" ht="15" customHeight="1">
      <c r="A448" t="s">
        <v>93</v>
      </c>
      <c r="B448" t="s">
        <v>96</v>
      </c>
      <c r="C448">
        <v>31</v>
      </c>
      <c r="D448">
        <v>8</v>
      </c>
      <c r="E448">
        <v>1</v>
      </c>
      <c r="F448" s="5" t="str">
        <f>IFERROR(ROUND(COUNTIFS(Tasks!$A:$A,$A448,Tasks!$B:$B,$B448,Tasks!$I:$I,"&lt;="&amp;INDEX(Weeks!$D:$D,MATCH($C448,Weeks!$A:$A,0)),Tasks!$I:$I,"&lt;&gt;")/COUNTIFS(Tasks!$A:$A,$A448,Tasks!$B:$B,$B448)*100,0),"")</f>
        <v/>
      </c>
      <c r="G448" s="5" t="str">
        <f>IFERROR(ROUND(COUNTIFS(Tasks!$A:$A,$A448,Tasks!$B:$B,$B448,Tasks!$H:$H,"&lt;="&amp;INDEX(Weeks!$D:$D,MATCH($C448,Weeks!$A:$A,0)))/COUNTIFS(Tasks!$A:$A,$A448,Tasks!$B:$B,$B448)*100,0),"")</f>
        <v/>
      </c>
      <c r="I448">
        <f>COUNTIFS(Tasks!$A:$A,$A448,Tasks!$B:$B,$B448,Tasks!$G:$G,"&lt;="&amp;INDEX(Weeks!$D:$D,MATCH($C448,Weeks!$A:$A,0)))-COUNTIFS(Tasks!$A:$A,$A448,Tasks!$B:$B,$B448,Tasks!$I:$I,"&lt;="&amp;INDEX(Weeks!$D:$D,MATCH($C448,Weeks!$A:$A,0)),Tasks!$I:$I,"&lt;&gt;")</f>
        <v>0</v>
      </c>
      <c r="J448">
        <f>COUNTIFS(Tasks!$A:$A,$A448,Tasks!$B:$B,$B448,
Tasks!$I:$I,"&gt;"&amp;IFERROR(INDEX(Weeks!$D:$D,MATCH($C448-1,Weeks!$A:$A,0)),DATE(2000,1,1)),
Tasks!$I:$I,"&lt;="&amp;INDEX(Weeks!$D:$D,MATCH($C448,Weeks!$A:$A,0)),
Tasks!$I:$I,"&lt;&gt;")</f>
        <v>0</v>
      </c>
    </row>
    <row r="449" spans="1:10" ht="15" customHeight="1">
      <c r="A449" t="s">
        <v>93</v>
      </c>
      <c r="B449" t="s">
        <v>96</v>
      </c>
      <c r="C449">
        <v>32</v>
      </c>
      <c r="D449">
        <v>8</v>
      </c>
      <c r="E449">
        <v>2</v>
      </c>
      <c r="F449" s="5" t="str">
        <f>IFERROR(ROUND(COUNTIFS(Tasks!$A:$A,$A449,Tasks!$B:$B,$B449,Tasks!$I:$I,"&lt;="&amp;INDEX(Weeks!$D:$D,MATCH($C449,Weeks!$A:$A,0)),Tasks!$I:$I,"&lt;&gt;")/COUNTIFS(Tasks!$A:$A,$A449,Tasks!$B:$B,$B449)*100,0),"")</f>
        <v/>
      </c>
      <c r="G449" s="5" t="str">
        <f>IFERROR(ROUND(COUNTIFS(Tasks!$A:$A,$A449,Tasks!$B:$B,$B449,Tasks!$H:$H,"&lt;="&amp;INDEX(Weeks!$D:$D,MATCH($C449,Weeks!$A:$A,0)))/COUNTIFS(Tasks!$A:$A,$A449,Tasks!$B:$B,$B449)*100,0),"")</f>
        <v/>
      </c>
      <c r="I449">
        <f>COUNTIFS(Tasks!$A:$A,$A449,Tasks!$B:$B,$B449,Tasks!$G:$G,"&lt;="&amp;INDEX(Weeks!$D:$D,MATCH($C449,Weeks!$A:$A,0)))-COUNTIFS(Tasks!$A:$A,$A449,Tasks!$B:$B,$B449,Tasks!$I:$I,"&lt;="&amp;INDEX(Weeks!$D:$D,MATCH($C449,Weeks!$A:$A,0)),Tasks!$I:$I,"&lt;&gt;")</f>
        <v>0</v>
      </c>
      <c r="J449">
        <f>COUNTIFS(Tasks!$A:$A,$A449,Tasks!$B:$B,$B449,
Tasks!$I:$I,"&gt;"&amp;IFERROR(INDEX(Weeks!$D:$D,MATCH($C449-1,Weeks!$A:$A,0)),DATE(2000,1,1)),
Tasks!$I:$I,"&lt;="&amp;INDEX(Weeks!$D:$D,MATCH($C449,Weeks!$A:$A,0)),
Tasks!$I:$I,"&lt;&gt;")</f>
        <v>0</v>
      </c>
    </row>
    <row r="450" spans="1:10" ht="15" customHeight="1">
      <c r="A450" t="s">
        <v>93</v>
      </c>
      <c r="B450" t="s">
        <v>96</v>
      </c>
      <c r="C450">
        <v>33</v>
      </c>
      <c r="D450">
        <v>8</v>
      </c>
      <c r="E450">
        <v>3</v>
      </c>
      <c r="F450" s="5" t="str">
        <f>IFERROR(ROUND(COUNTIFS(Tasks!$A:$A,$A450,Tasks!$B:$B,$B450,Tasks!$I:$I,"&lt;="&amp;INDEX(Weeks!$D:$D,MATCH($C450,Weeks!$A:$A,0)),Tasks!$I:$I,"&lt;&gt;")/COUNTIFS(Tasks!$A:$A,$A450,Tasks!$B:$B,$B450)*100,0),"")</f>
        <v/>
      </c>
      <c r="G450" s="5" t="str">
        <f>IFERROR(ROUND(COUNTIFS(Tasks!$A:$A,$A450,Tasks!$B:$B,$B450,Tasks!$H:$H,"&lt;="&amp;INDEX(Weeks!$D:$D,MATCH($C450,Weeks!$A:$A,0)))/COUNTIFS(Tasks!$A:$A,$A450,Tasks!$B:$B,$B450)*100,0),"")</f>
        <v/>
      </c>
      <c r="I450">
        <f>COUNTIFS(Tasks!$A:$A,$A450,Tasks!$B:$B,$B450,Tasks!$G:$G,"&lt;="&amp;INDEX(Weeks!$D:$D,MATCH($C450,Weeks!$A:$A,0)))-COUNTIFS(Tasks!$A:$A,$A450,Tasks!$B:$B,$B450,Tasks!$I:$I,"&lt;="&amp;INDEX(Weeks!$D:$D,MATCH($C450,Weeks!$A:$A,0)),Tasks!$I:$I,"&lt;&gt;")</f>
        <v>0</v>
      </c>
      <c r="J450">
        <f>COUNTIFS(Tasks!$A:$A,$A450,Tasks!$B:$B,$B450,
Tasks!$I:$I,"&gt;"&amp;IFERROR(INDEX(Weeks!$D:$D,MATCH($C450-1,Weeks!$A:$A,0)),DATE(2000,1,1)),
Tasks!$I:$I,"&lt;="&amp;INDEX(Weeks!$D:$D,MATCH($C450,Weeks!$A:$A,0)),
Tasks!$I:$I,"&lt;&gt;")</f>
        <v>0</v>
      </c>
    </row>
    <row r="451" spans="1:10" ht="15" customHeight="1">
      <c r="A451" t="s">
        <v>93</v>
      </c>
      <c r="B451" t="s">
        <v>96</v>
      </c>
      <c r="C451">
        <v>34</v>
      </c>
      <c r="D451">
        <v>8</v>
      </c>
      <c r="E451">
        <v>4</v>
      </c>
      <c r="F451" s="5" t="str">
        <f>IFERROR(ROUND(COUNTIFS(Tasks!$A:$A,$A451,Tasks!$B:$B,$B451,Tasks!$I:$I,"&lt;="&amp;INDEX(Weeks!$D:$D,MATCH($C451,Weeks!$A:$A,0)),Tasks!$I:$I,"&lt;&gt;")/COUNTIFS(Tasks!$A:$A,$A451,Tasks!$B:$B,$B451)*100,0),"")</f>
        <v/>
      </c>
      <c r="G451" s="5" t="str">
        <f>IFERROR(ROUND(COUNTIFS(Tasks!$A:$A,$A451,Tasks!$B:$B,$B451,Tasks!$H:$H,"&lt;="&amp;INDEX(Weeks!$D:$D,MATCH($C451,Weeks!$A:$A,0)))/COUNTIFS(Tasks!$A:$A,$A451,Tasks!$B:$B,$B451)*100,0),"")</f>
        <v/>
      </c>
      <c r="I451">
        <f>COUNTIFS(Tasks!$A:$A,$A451,Tasks!$B:$B,$B451,Tasks!$G:$G,"&lt;="&amp;INDEX(Weeks!$D:$D,MATCH($C451,Weeks!$A:$A,0)))-COUNTIFS(Tasks!$A:$A,$A451,Tasks!$B:$B,$B451,Tasks!$I:$I,"&lt;="&amp;INDEX(Weeks!$D:$D,MATCH($C451,Weeks!$A:$A,0)),Tasks!$I:$I,"&lt;&gt;")</f>
        <v>0</v>
      </c>
      <c r="J451">
        <f>COUNTIFS(Tasks!$A:$A,$A451,Tasks!$B:$B,$B451,
Tasks!$I:$I,"&gt;"&amp;IFERROR(INDEX(Weeks!$D:$D,MATCH($C451-1,Weeks!$A:$A,0)),DATE(2000,1,1)),
Tasks!$I:$I,"&lt;="&amp;INDEX(Weeks!$D:$D,MATCH($C451,Weeks!$A:$A,0)),
Tasks!$I:$I,"&lt;&gt;")</f>
        <v>0</v>
      </c>
    </row>
    <row r="452" spans="1:10" ht="15" customHeight="1">
      <c r="A452" t="s">
        <v>93</v>
      </c>
      <c r="B452" t="s">
        <v>96</v>
      </c>
      <c r="C452">
        <v>35</v>
      </c>
      <c r="D452">
        <v>8</v>
      </c>
      <c r="E452">
        <v>5</v>
      </c>
      <c r="F452" s="5" t="str">
        <f>IFERROR(ROUND(COUNTIFS(Tasks!$A:$A,$A452,Tasks!$B:$B,$B452,Tasks!$I:$I,"&lt;="&amp;INDEX(Weeks!$D:$D,MATCH($C452,Weeks!$A:$A,0)),Tasks!$I:$I,"&lt;&gt;")/COUNTIFS(Tasks!$A:$A,$A452,Tasks!$B:$B,$B452)*100,0),"")</f>
        <v/>
      </c>
      <c r="G452" s="5" t="str">
        <f>IFERROR(ROUND(COUNTIFS(Tasks!$A:$A,$A452,Tasks!$B:$B,$B452,Tasks!$H:$H,"&lt;="&amp;INDEX(Weeks!$D:$D,MATCH($C452,Weeks!$A:$A,0)))/COUNTIFS(Tasks!$A:$A,$A452,Tasks!$B:$B,$B452)*100,0),"")</f>
        <v/>
      </c>
      <c r="I452">
        <f>COUNTIFS(Tasks!$A:$A,$A452,Tasks!$B:$B,$B452,Tasks!$G:$G,"&lt;="&amp;INDEX(Weeks!$D:$D,MATCH($C452,Weeks!$A:$A,0)))-COUNTIFS(Tasks!$A:$A,$A452,Tasks!$B:$B,$B452,Tasks!$I:$I,"&lt;="&amp;INDEX(Weeks!$D:$D,MATCH($C452,Weeks!$A:$A,0)),Tasks!$I:$I,"&lt;&gt;")</f>
        <v>0</v>
      </c>
      <c r="J452">
        <f>COUNTIFS(Tasks!$A:$A,$A452,Tasks!$B:$B,$B452,
Tasks!$I:$I,"&gt;"&amp;IFERROR(INDEX(Weeks!$D:$D,MATCH($C452-1,Weeks!$A:$A,0)),DATE(2000,1,1)),
Tasks!$I:$I,"&lt;="&amp;INDEX(Weeks!$D:$D,MATCH($C452,Weeks!$A:$A,0)),
Tasks!$I:$I,"&lt;&gt;")</f>
        <v>0</v>
      </c>
    </row>
    <row r="453" spans="1:10" ht="15" customHeight="1">
      <c r="A453" t="s">
        <v>93</v>
      </c>
      <c r="B453" t="s">
        <v>96</v>
      </c>
      <c r="C453">
        <v>36</v>
      </c>
      <c r="D453">
        <v>9</v>
      </c>
      <c r="E453">
        <v>1</v>
      </c>
      <c r="F453" s="5" t="str">
        <f>IFERROR(ROUND(COUNTIFS(Tasks!$A:$A,$A453,Tasks!$B:$B,$B453,Tasks!$I:$I,"&lt;="&amp;INDEX(Weeks!$D:$D,MATCH($C453,Weeks!$A:$A,0)),Tasks!$I:$I,"&lt;&gt;")/COUNTIFS(Tasks!$A:$A,$A453,Tasks!$B:$B,$B453)*100,0),"")</f>
        <v/>
      </c>
      <c r="G453" s="5" t="str">
        <f>IFERROR(ROUND(COUNTIFS(Tasks!$A:$A,$A453,Tasks!$B:$B,$B453,Tasks!$H:$H,"&lt;="&amp;INDEX(Weeks!$D:$D,MATCH($C453,Weeks!$A:$A,0)))/COUNTIFS(Tasks!$A:$A,$A453,Tasks!$B:$B,$B453)*100,0),"")</f>
        <v/>
      </c>
      <c r="I453">
        <f>COUNTIFS(Tasks!$A:$A,$A453,Tasks!$B:$B,$B453,Tasks!$G:$G,"&lt;="&amp;INDEX(Weeks!$D:$D,MATCH($C453,Weeks!$A:$A,0)))-COUNTIFS(Tasks!$A:$A,$A453,Tasks!$B:$B,$B453,Tasks!$I:$I,"&lt;="&amp;INDEX(Weeks!$D:$D,MATCH($C453,Weeks!$A:$A,0)),Tasks!$I:$I,"&lt;&gt;")</f>
        <v>0</v>
      </c>
      <c r="J453">
        <f>COUNTIFS(Tasks!$A:$A,$A453,Tasks!$B:$B,$B453,
Tasks!$I:$I,"&gt;"&amp;IFERROR(INDEX(Weeks!$D:$D,MATCH($C453-1,Weeks!$A:$A,0)),DATE(2000,1,1)),
Tasks!$I:$I,"&lt;="&amp;INDEX(Weeks!$D:$D,MATCH($C453,Weeks!$A:$A,0)),
Tasks!$I:$I,"&lt;&gt;")</f>
        <v>0</v>
      </c>
    </row>
    <row r="454" spans="1:10" ht="15" customHeight="1">
      <c r="A454" t="s">
        <v>93</v>
      </c>
      <c r="B454" t="s">
        <v>96</v>
      </c>
      <c r="C454">
        <v>37</v>
      </c>
      <c r="D454">
        <v>9</v>
      </c>
      <c r="E454">
        <v>2</v>
      </c>
      <c r="F454" s="5" t="str">
        <f>IFERROR(ROUND(COUNTIFS(Tasks!$A:$A,$A454,Tasks!$B:$B,$B454,Tasks!$I:$I,"&lt;="&amp;INDEX(Weeks!$D:$D,MATCH($C454,Weeks!$A:$A,0)),Tasks!$I:$I,"&lt;&gt;")/COUNTIFS(Tasks!$A:$A,$A454,Tasks!$B:$B,$B454)*100,0),"")</f>
        <v/>
      </c>
      <c r="G454" s="5" t="str">
        <f>IFERROR(ROUND(COUNTIFS(Tasks!$A:$A,$A454,Tasks!$B:$B,$B454,Tasks!$H:$H,"&lt;="&amp;INDEX(Weeks!$D:$D,MATCH($C454,Weeks!$A:$A,0)))/COUNTIFS(Tasks!$A:$A,$A454,Tasks!$B:$B,$B454)*100,0),"")</f>
        <v/>
      </c>
      <c r="I454">
        <f>COUNTIFS(Tasks!$A:$A,$A454,Tasks!$B:$B,$B454,Tasks!$G:$G,"&lt;="&amp;INDEX(Weeks!$D:$D,MATCH($C454,Weeks!$A:$A,0)))-COUNTIFS(Tasks!$A:$A,$A454,Tasks!$B:$B,$B454,Tasks!$I:$I,"&lt;="&amp;INDEX(Weeks!$D:$D,MATCH($C454,Weeks!$A:$A,0)),Tasks!$I:$I,"&lt;&gt;")</f>
        <v>0</v>
      </c>
      <c r="J454">
        <f>COUNTIFS(Tasks!$A:$A,$A454,Tasks!$B:$B,$B454,
Tasks!$I:$I,"&gt;"&amp;IFERROR(INDEX(Weeks!$D:$D,MATCH($C454-1,Weeks!$A:$A,0)),DATE(2000,1,1)),
Tasks!$I:$I,"&lt;="&amp;INDEX(Weeks!$D:$D,MATCH($C454,Weeks!$A:$A,0)),
Tasks!$I:$I,"&lt;&gt;")</f>
        <v>0</v>
      </c>
    </row>
    <row r="455" spans="1:10" ht="15" customHeight="1">
      <c r="A455" t="s">
        <v>93</v>
      </c>
      <c r="B455" t="s">
        <v>96</v>
      </c>
      <c r="C455">
        <v>38</v>
      </c>
      <c r="D455">
        <v>9</v>
      </c>
      <c r="E455">
        <v>3</v>
      </c>
      <c r="F455" s="5" t="str">
        <f>IFERROR(ROUND(COUNTIFS(Tasks!$A:$A,$A455,Tasks!$B:$B,$B455,Tasks!$I:$I,"&lt;="&amp;INDEX(Weeks!$D:$D,MATCH($C455,Weeks!$A:$A,0)),Tasks!$I:$I,"&lt;&gt;")/COUNTIFS(Tasks!$A:$A,$A455,Tasks!$B:$B,$B455)*100,0),"")</f>
        <v/>
      </c>
      <c r="G455" s="5" t="str">
        <f>IFERROR(ROUND(COUNTIFS(Tasks!$A:$A,$A455,Tasks!$B:$B,$B455,Tasks!$H:$H,"&lt;="&amp;INDEX(Weeks!$D:$D,MATCH($C455,Weeks!$A:$A,0)))/COUNTIFS(Tasks!$A:$A,$A455,Tasks!$B:$B,$B455)*100,0),"")</f>
        <v/>
      </c>
      <c r="I455">
        <f>COUNTIFS(Tasks!$A:$A,$A455,Tasks!$B:$B,$B455,Tasks!$G:$G,"&lt;="&amp;INDEX(Weeks!$D:$D,MATCH($C455,Weeks!$A:$A,0)))-COUNTIFS(Tasks!$A:$A,$A455,Tasks!$B:$B,$B455,Tasks!$I:$I,"&lt;="&amp;INDEX(Weeks!$D:$D,MATCH($C455,Weeks!$A:$A,0)),Tasks!$I:$I,"&lt;&gt;")</f>
        <v>0</v>
      </c>
      <c r="J455">
        <f>COUNTIFS(Tasks!$A:$A,$A455,Tasks!$B:$B,$B455,
Tasks!$I:$I,"&gt;"&amp;IFERROR(INDEX(Weeks!$D:$D,MATCH($C455-1,Weeks!$A:$A,0)),DATE(2000,1,1)),
Tasks!$I:$I,"&lt;="&amp;INDEX(Weeks!$D:$D,MATCH($C455,Weeks!$A:$A,0)),
Tasks!$I:$I,"&lt;&gt;")</f>
        <v>0</v>
      </c>
    </row>
    <row r="456" spans="1:10" ht="15" customHeight="1">
      <c r="A456" t="s">
        <v>93</v>
      </c>
      <c r="B456" t="s">
        <v>96</v>
      </c>
      <c r="C456">
        <v>39</v>
      </c>
      <c r="D456">
        <v>9</v>
      </c>
      <c r="E456">
        <v>4</v>
      </c>
      <c r="F456" s="5" t="str">
        <f>IFERROR(ROUND(COUNTIFS(Tasks!$A:$A,$A456,Tasks!$B:$B,$B456,Tasks!$I:$I,"&lt;="&amp;INDEX(Weeks!$D:$D,MATCH($C456,Weeks!$A:$A,0)),Tasks!$I:$I,"&lt;&gt;")/COUNTIFS(Tasks!$A:$A,$A456,Tasks!$B:$B,$B456)*100,0),"")</f>
        <v/>
      </c>
      <c r="G456" s="5" t="str">
        <f>IFERROR(ROUND(COUNTIFS(Tasks!$A:$A,$A456,Tasks!$B:$B,$B456,Tasks!$H:$H,"&lt;="&amp;INDEX(Weeks!$D:$D,MATCH($C456,Weeks!$A:$A,0)))/COUNTIFS(Tasks!$A:$A,$A456,Tasks!$B:$B,$B456)*100,0),"")</f>
        <v/>
      </c>
      <c r="I456">
        <f>COUNTIFS(Tasks!$A:$A,$A456,Tasks!$B:$B,$B456,Tasks!$G:$G,"&lt;="&amp;INDEX(Weeks!$D:$D,MATCH($C456,Weeks!$A:$A,0)))-COUNTIFS(Tasks!$A:$A,$A456,Tasks!$B:$B,$B456,Tasks!$I:$I,"&lt;="&amp;INDEX(Weeks!$D:$D,MATCH($C456,Weeks!$A:$A,0)),Tasks!$I:$I,"&lt;&gt;")</f>
        <v>0</v>
      </c>
      <c r="J456">
        <f>COUNTIFS(Tasks!$A:$A,$A456,Tasks!$B:$B,$B456,
Tasks!$I:$I,"&gt;"&amp;IFERROR(INDEX(Weeks!$D:$D,MATCH($C456-1,Weeks!$A:$A,0)),DATE(2000,1,1)),
Tasks!$I:$I,"&lt;="&amp;INDEX(Weeks!$D:$D,MATCH($C456,Weeks!$A:$A,0)),
Tasks!$I:$I,"&lt;&gt;")</f>
        <v>0</v>
      </c>
    </row>
    <row r="457" spans="1:10" ht="15" customHeight="1">
      <c r="A457" t="s">
        <v>93</v>
      </c>
      <c r="B457" t="s">
        <v>96</v>
      </c>
      <c r="C457">
        <v>40</v>
      </c>
      <c r="D457">
        <v>10</v>
      </c>
      <c r="E457">
        <v>1</v>
      </c>
      <c r="F457" s="5" t="str">
        <f>IFERROR(ROUND(COUNTIFS(Tasks!$A:$A,$A457,Tasks!$B:$B,$B457,Tasks!$I:$I,"&lt;="&amp;INDEX(Weeks!$D:$D,MATCH($C457,Weeks!$A:$A,0)),Tasks!$I:$I,"&lt;&gt;")/COUNTIFS(Tasks!$A:$A,$A457,Tasks!$B:$B,$B457)*100,0),"")</f>
        <v/>
      </c>
      <c r="G457" s="5" t="str">
        <f>IFERROR(ROUND(COUNTIFS(Tasks!$A:$A,$A457,Tasks!$B:$B,$B457,Tasks!$H:$H,"&lt;="&amp;INDEX(Weeks!$D:$D,MATCH($C457,Weeks!$A:$A,0)))/COUNTIFS(Tasks!$A:$A,$A457,Tasks!$B:$B,$B457)*100,0),"")</f>
        <v/>
      </c>
      <c r="I457">
        <f>COUNTIFS(Tasks!$A:$A,$A457,Tasks!$B:$B,$B457,Tasks!$G:$G,"&lt;="&amp;INDEX(Weeks!$D:$D,MATCH($C457,Weeks!$A:$A,0)))-COUNTIFS(Tasks!$A:$A,$A457,Tasks!$B:$B,$B457,Tasks!$I:$I,"&lt;="&amp;INDEX(Weeks!$D:$D,MATCH($C457,Weeks!$A:$A,0)),Tasks!$I:$I,"&lt;&gt;")</f>
        <v>0</v>
      </c>
      <c r="J457">
        <f>COUNTIFS(Tasks!$A:$A,$A457,Tasks!$B:$B,$B457,
Tasks!$I:$I,"&gt;"&amp;IFERROR(INDEX(Weeks!$D:$D,MATCH($C457-1,Weeks!$A:$A,0)),DATE(2000,1,1)),
Tasks!$I:$I,"&lt;="&amp;INDEX(Weeks!$D:$D,MATCH($C457,Weeks!$A:$A,0)),
Tasks!$I:$I,"&lt;&gt;")</f>
        <v>0</v>
      </c>
    </row>
    <row r="458" spans="1:10" ht="15" customHeight="1">
      <c r="A458" t="s">
        <v>93</v>
      </c>
      <c r="B458" t="s">
        <v>96</v>
      </c>
      <c r="C458">
        <v>41</v>
      </c>
      <c r="D458">
        <v>10</v>
      </c>
      <c r="E458">
        <v>2</v>
      </c>
      <c r="F458" s="5" t="str">
        <f>IFERROR(ROUND(COUNTIFS(Tasks!$A:$A,$A458,Tasks!$B:$B,$B458,Tasks!$I:$I,"&lt;="&amp;INDEX(Weeks!$D:$D,MATCH($C458,Weeks!$A:$A,0)),Tasks!$I:$I,"&lt;&gt;")/COUNTIFS(Tasks!$A:$A,$A458,Tasks!$B:$B,$B458)*100,0),"")</f>
        <v/>
      </c>
      <c r="G458" s="5" t="str">
        <f>IFERROR(ROUND(COUNTIFS(Tasks!$A:$A,$A458,Tasks!$B:$B,$B458,Tasks!$H:$H,"&lt;="&amp;INDEX(Weeks!$D:$D,MATCH($C458,Weeks!$A:$A,0)))/COUNTIFS(Tasks!$A:$A,$A458,Tasks!$B:$B,$B458)*100,0),"")</f>
        <v/>
      </c>
      <c r="I458">
        <f>COUNTIFS(Tasks!$A:$A,$A458,Tasks!$B:$B,$B458,Tasks!$G:$G,"&lt;="&amp;INDEX(Weeks!$D:$D,MATCH($C458,Weeks!$A:$A,0)))-COUNTIFS(Tasks!$A:$A,$A458,Tasks!$B:$B,$B458,Tasks!$I:$I,"&lt;="&amp;INDEX(Weeks!$D:$D,MATCH($C458,Weeks!$A:$A,0)),Tasks!$I:$I,"&lt;&gt;")</f>
        <v>0</v>
      </c>
      <c r="J458">
        <f>COUNTIFS(Tasks!$A:$A,$A458,Tasks!$B:$B,$B458,
Tasks!$I:$I,"&gt;"&amp;IFERROR(INDEX(Weeks!$D:$D,MATCH($C458-1,Weeks!$A:$A,0)),DATE(2000,1,1)),
Tasks!$I:$I,"&lt;="&amp;INDEX(Weeks!$D:$D,MATCH($C458,Weeks!$A:$A,0)),
Tasks!$I:$I,"&lt;&gt;")</f>
        <v>0</v>
      </c>
    </row>
    <row r="459" spans="1:10" ht="15" customHeight="1">
      <c r="A459" t="s">
        <v>93</v>
      </c>
      <c r="B459" t="s">
        <v>96</v>
      </c>
      <c r="C459">
        <v>42</v>
      </c>
      <c r="D459">
        <v>10</v>
      </c>
      <c r="E459">
        <v>3</v>
      </c>
      <c r="F459" s="5" t="str">
        <f>IFERROR(ROUND(COUNTIFS(Tasks!$A:$A,$A459,Tasks!$B:$B,$B459,Tasks!$I:$I,"&lt;="&amp;INDEX(Weeks!$D:$D,MATCH($C459,Weeks!$A:$A,0)),Tasks!$I:$I,"&lt;&gt;")/COUNTIFS(Tasks!$A:$A,$A459,Tasks!$B:$B,$B459)*100,0),"")</f>
        <v/>
      </c>
      <c r="G459" s="5" t="str">
        <f>IFERROR(ROUND(COUNTIFS(Tasks!$A:$A,$A459,Tasks!$B:$B,$B459,Tasks!$H:$H,"&lt;="&amp;INDEX(Weeks!$D:$D,MATCH($C459,Weeks!$A:$A,0)))/COUNTIFS(Tasks!$A:$A,$A459,Tasks!$B:$B,$B459)*100,0),"")</f>
        <v/>
      </c>
      <c r="I459">
        <f>COUNTIFS(Tasks!$A:$A,$A459,Tasks!$B:$B,$B459,Tasks!$G:$G,"&lt;="&amp;INDEX(Weeks!$D:$D,MATCH($C459,Weeks!$A:$A,0)))-COUNTIFS(Tasks!$A:$A,$A459,Tasks!$B:$B,$B459,Tasks!$I:$I,"&lt;="&amp;INDEX(Weeks!$D:$D,MATCH($C459,Weeks!$A:$A,0)),Tasks!$I:$I,"&lt;&gt;")</f>
        <v>0</v>
      </c>
      <c r="J459">
        <f>COUNTIFS(Tasks!$A:$A,$A459,Tasks!$B:$B,$B459,
Tasks!$I:$I,"&gt;"&amp;IFERROR(INDEX(Weeks!$D:$D,MATCH($C459-1,Weeks!$A:$A,0)),DATE(2000,1,1)),
Tasks!$I:$I,"&lt;="&amp;INDEX(Weeks!$D:$D,MATCH($C459,Weeks!$A:$A,0)),
Tasks!$I:$I,"&lt;&gt;")</f>
        <v>0</v>
      </c>
    </row>
    <row r="460" spans="1:10" ht="15" customHeight="1">
      <c r="A460" t="s">
        <v>93</v>
      </c>
      <c r="B460" t="s">
        <v>96</v>
      </c>
      <c r="C460">
        <v>43</v>
      </c>
      <c r="D460">
        <v>10</v>
      </c>
      <c r="E460">
        <v>4</v>
      </c>
      <c r="F460" s="5" t="str">
        <f>IFERROR(ROUND(COUNTIFS(Tasks!$A:$A,$A460,Tasks!$B:$B,$B460,Tasks!$I:$I,"&lt;="&amp;INDEX(Weeks!$D:$D,MATCH($C460,Weeks!$A:$A,0)),Tasks!$I:$I,"&lt;&gt;")/COUNTIFS(Tasks!$A:$A,$A460,Tasks!$B:$B,$B460)*100,0),"")</f>
        <v/>
      </c>
      <c r="G460" s="5" t="str">
        <f>IFERROR(ROUND(COUNTIFS(Tasks!$A:$A,$A460,Tasks!$B:$B,$B460,Tasks!$H:$H,"&lt;="&amp;INDEX(Weeks!$D:$D,MATCH($C460,Weeks!$A:$A,0)))/COUNTIFS(Tasks!$A:$A,$A460,Tasks!$B:$B,$B460)*100,0),"")</f>
        <v/>
      </c>
      <c r="I460">
        <f>COUNTIFS(Tasks!$A:$A,$A460,Tasks!$B:$B,$B460,Tasks!$G:$G,"&lt;="&amp;INDEX(Weeks!$D:$D,MATCH($C460,Weeks!$A:$A,0)))-COUNTIFS(Tasks!$A:$A,$A460,Tasks!$B:$B,$B460,Tasks!$I:$I,"&lt;="&amp;INDEX(Weeks!$D:$D,MATCH($C460,Weeks!$A:$A,0)),Tasks!$I:$I,"&lt;&gt;")</f>
        <v>0</v>
      </c>
      <c r="J460">
        <f>COUNTIFS(Tasks!$A:$A,$A460,Tasks!$B:$B,$B460,
Tasks!$I:$I,"&gt;"&amp;IFERROR(INDEX(Weeks!$D:$D,MATCH($C460-1,Weeks!$A:$A,0)),DATE(2000,1,1)),
Tasks!$I:$I,"&lt;="&amp;INDEX(Weeks!$D:$D,MATCH($C460,Weeks!$A:$A,0)),
Tasks!$I:$I,"&lt;&gt;")</f>
        <v>0</v>
      </c>
    </row>
    <row r="461" spans="1:10" ht="15" customHeight="1">
      <c r="A461" t="s">
        <v>93</v>
      </c>
      <c r="B461" t="s">
        <v>96</v>
      </c>
      <c r="C461">
        <v>44</v>
      </c>
      <c r="D461">
        <v>10</v>
      </c>
      <c r="E461">
        <v>5</v>
      </c>
      <c r="F461" s="5" t="str">
        <f>IFERROR(ROUND(COUNTIFS(Tasks!$A:$A,$A461,Tasks!$B:$B,$B461,Tasks!$I:$I,"&lt;="&amp;INDEX(Weeks!$D:$D,MATCH($C461,Weeks!$A:$A,0)),Tasks!$I:$I,"&lt;&gt;")/COUNTIFS(Tasks!$A:$A,$A461,Tasks!$B:$B,$B461)*100,0),"")</f>
        <v/>
      </c>
      <c r="G461" s="5" t="str">
        <f>IFERROR(ROUND(COUNTIFS(Tasks!$A:$A,$A461,Tasks!$B:$B,$B461,Tasks!$H:$H,"&lt;="&amp;INDEX(Weeks!$D:$D,MATCH($C461,Weeks!$A:$A,0)))/COUNTIFS(Tasks!$A:$A,$A461,Tasks!$B:$B,$B461)*100,0),"")</f>
        <v/>
      </c>
      <c r="I461">
        <f>COUNTIFS(Tasks!$A:$A,$A461,Tasks!$B:$B,$B461,Tasks!$G:$G,"&lt;="&amp;INDEX(Weeks!$D:$D,MATCH($C461,Weeks!$A:$A,0)))-COUNTIFS(Tasks!$A:$A,$A461,Tasks!$B:$B,$B461,Tasks!$I:$I,"&lt;="&amp;INDEX(Weeks!$D:$D,MATCH($C461,Weeks!$A:$A,0)),Tasks!$I:$I,"&lt;&gt;")</f>
        <v>0</v>
      </c>
      <c r="J461">
        <f>COUNTIFS(Tasks!$A:$A,$A461,Tasks!$B:$B,$B461,
Tasks!$I:$I,"&gt;"&amp;IFERROR(INDEX(Weeks!$D:$D,MATCH($C461-1,Weeks!$A:$A,0)),DATE(2000,1,1)),
Tasks!$I:$I,"&lt;="&amp;INDEX(Weeks!$D:$D,MATCH($C461,Weeks!$A:$A,0)),
Tasks!$I:$I,"&lt;&gt;")</f>
        <v>0</v>
      </c>
    </row>
    <row r="462" spans="1:10" ht="15" customHeight="1">
      <c r="A462" t="s">
        <v>93</v>
      </c>
      <c r="B462" t="s">
        <v>96</v>
      </c>
      <c r="C462">
        <v>45</v>
      </c>
      <c r="D462">
        <v>11</v>
      </c>
      <c r="E462">
        <v>1</v>
      </c>
      <c r="F462" s="5" t="str">
        <f>IFERROR(ROUND(COUNTIFS(Tasks!$A:$A,$A462,Tasks!$B:$B,$B462,Tasks!$I:$I,"&lt;="&amp;INDEX(Weeks!$D:$D,MATCH($C462,Weeks!$A:$A,0)),Tasks!$I:$I,"&lt;&gt;")/COUNTIFS(Tasks!$A:$A,$A462,Tasks!$B:$B,$B462)*100,0),"")</f>
        <v/>
      </c>
      <c r="G462" s="5" t="str">
        <f>IFERROR(ROUND(COUNTIFS(Tasks!$A:$A,$A462,Tasks!$B:$B,$B462,Tasks!$H:$H,"&lt;="&amp;INDEX(Weeks!$D:$D,MATCH($C462,Weeks!$A:$A,0)))/COUNTIFS(Tasks!$A:$A,$A462,Tasks!$B:$B,$B462)*100,0),"")</f>
        <v/>
      </c>
      <c r="I462">
        <f>COUNTIFS(Tasks!$A:$A,$A462,Tasks!$B:$B,$B462,Tasks!$G:$G,"&lt;="&amp;INDEX(Weeks!$D:$D,MATCH($C462,Weeks!$A:$A,0)))-COUNTIFS(Tasks!$A:$A,$A462,Tasks!$B:$B,$B462,Tasks!$I:$I,"&lt;="&amp;INDEX(Weeks!$D:$D,MATCH($C462,Weeks!$A:$A,0)),Tasks!$I:$I,"&lt;&gt;")</f>
        <v>0</v>
      </c>
      <c r="J462">
        <f>COUNTIFS(Tasks!$A:$A,$A462,Tasks!$B:$B,$B462,
Tasks!$I:$I,"&gt;"&amp;IFERROR(INDEX(Weeks!$D:$D,MATCH($C462-1,Weeks!$A:$A,0)),DATE(2000,1,1)),
Tasks!$I:$I,"&lt;="&amp;INDEX(Weeks!$D:$D,MATCH($C462,Weeks!$A:$A,0)),
Tasks!$I:$I,"&lt;&gt;")</f>
        <v>0</v>
      </c>
    </row>
    <row r="463" spans="1:10" ht="15" customHeight="1">
      <c r="A463" t="s">
        <v>93</v>
      </c>
      <c r="B463" t="s">
        <v>96</v>
      </c>
      <c r="C463">
        <v>46</v>
      </c>
      <c r="D463">
        <v>11</v>
      </c>
      <c r="E463">
        <v>2</v>
      </c>
      <c r="F463" s="5" t="str">
        <f>IFERROR(ROUND(COUNTIFS(Tasks!$A:$A,$A463,Tasks!$B:$B,$B463,Tasks!$I:$I,"&lt;="&amp;INDEX(Weeks!$D:$D,MATCH($C463,Weeks!$A:$A,0)),Tasks!$I:$I,"&lt;&gt;")/COUNTIFS(Tasks!$A:$A,$A463,Tasks!$B:$B,$B463)*100,0),"")</f>
        <v/>
      </c>
      <c r="G463" s="5" t="str">
        <f>IFERROR(ROUND(COUNTIFS(Tasks!$A:$A,$A463,Tasks!$B:$B,$B463,Tasks!$H:$H,"&lt;="&amp;INDEX(Weeks!$D:$D,MATCH($C463,Weeks!$A:$A,0)))/COUNTIFS(Tasks!$A:$A,$A463,Tasks!$B:$B,$B463)*100,0),"")</f>
        <v/>
      </c>
      <c r="I463">
        <f>COUNTIFS(Tasks!$A:$A,$A463,Tasks!$B:$B,$B463,Tasks!$G:$G,"&lt;="&amp;INDEX(Weeks!$D:$D,MATCH($C463,Weeks!$A:$A,0)))-COUNTIFS(Tasks!$A:$A,$A463,Tasks!$B:$B,$B463,Tasks!$I:$I,"&lt;="&amp;INDEX(Weeks!$D:$D,MATCH($C463,Weeks!$A:$A,0)),Tasks!$I:$I,"&lt;&gt;")</f>
        <v>0</v>
      </c>
      <c r="J463">
        <f>COUNTIFS(Tasks!$A:$A,$A463,Tasks!$B:$B,$B463,
Tasks!$I:$I,"&gt;"&amp;IFERROR(INDEX(Weeks!$D:$D,MATCH($C463-1,Weeks!$A:$A,0)),DATE(2000,1,1)),
Tasks!$I:$I,"&lt;="&amp;INDEX(Weeks!$D:$D,MATCH($C463,Weeks!$A:$A,0)),
Tasks!$I:$I,"&lt;&gt;")</f>
        <v>0</v>
      </c>
    </row>
    <row r="464" spans="1:10" ht="15" customHeight="1">
      <c r="A464" t="s">
        <v>93</v>
      </c>
      <c r="B464" t="s">
        <v>96</v>
      </c>
      <c r="C464">
        <v>47</v>
      </c>
      <c r="D464">
        <v>11</v>
      </c>
      <c r="E464">
        <v>3</v>
      </c>
      <c r="F464" s="5" t="str">
        <f>IFERROR(ROUND(COUNTIFS(Tasks!$A:$A,$A464,Tasks!$B:$B,$B464,Tasks!$I:$I,"&lt;="&amp;INDEX(Weeks!$D:$D,MATCH($C464,Weeks!$A:$A,0)),Tasks!$I:$I,"&lt;&gt;")/COUNTIFS(Tasks!$A:$A,$A464,Tasks!$B:$B,$B464)*100,0),"")</f>
        <v/>
      </c>
      <c r="G464" s="5" t="str">
        <f>IFERROR(ROUND(COUNTIFS(Tasks!$A:$A,$A464,Tasks!$B:$B,$B464,Tasks!$H:$H,"&lt;="&amp;INDEX(Weeks!$D:$D,MATCH($C464,Weeks!$A:$A,0)))/COUNTIFS(Tasks!$A:$A,$A464,Tasks!$B:$B,$B464)*100,0),"")</f>
        <v/>
      </c>
      <c r="I464">
        <f>COUNTIFS(Tasks!$A:$A,$A464,Tasks!$B:$B,$B464,Tasks!$G:$G,"&lt;="&amp;INDEX(Weeks!$D:$D,MATCH($C464,Weeks!$A:$A,0)))-COUNTIFS(Tasks!$A:$A,$A464,Tasks!$B:$B,$B464,Tasks!$I:$I,"&lt;="&amp;INDEX(Weeks!$D:$D,MATCH($C464,Weeks!$A:$A,0)),Tasks!$I:$I,"&lt;&gt;")</f>
        <v>0</v>
      </c>
      <c r="J464">
        <f>COUNTIFS(Tasks!$A:$A,$A464,Tasks!$B:$B,$B464,
Tasks!$I:$I,"&gt;"&amp;IFERROR(INDEX(Weeks!$D:$D,MATCH($C464-1,Weeks!$A:$A,0)),DATE(2000,1,1)),
Tasks!$I:$I,"&lt;="&amp;INDEX(Weeks!$D:$D,MATCH($C464,Weeks!$A:$A,0)),
Tasks!$I:$I,"&lt;&gt;")</f>
        <v>0</v>
      </c>
    </row>
    <row r="465" spans="1:10" ht="15" customHeight="1">
      <c r="A465" t="s">
        <v>93</v>
      </c>
      <c r="B465" t="s">
        <v>96</v>
      </c>
      <c r="C465">
        <v>48</v>
      </c>
      <c r="D465">
        <v>11</v>
      </c>
      <c r="E465">
        <v>4</v>
      </c>
      <c r="F465" s="5" t="str">
        <f>IFERROR(ROUND(COUNTIFS(Tasks!$A:$A,$A465,Tasks!$B:$B,$B465,Tasks!$I:$I,"&lt;="&amp;INDEX(Weeks!$D:$D,MATCH($C465,Weeks!$A:$A,0)),Tasks!$I:$I,"&lt;&gt;")/COUNTIFS(Tasks!$A:$A,$A465,Tasks!$B:$B,$B465)*100,0),"")</f>
        <v/>
      </c>
      <c r="G465" s="5" t="str">
        <f>IFERROR(ROUND(COUNTIFS(Tasks!$A:$A,$A465,Tasks!$B:$B,$B465,Tasks!$H:$H,"&lt;="&amp;INDEX(Weeks!$D:$D,MATCH($C465,Weeks!$A:$A,0)))/COUNTIFS(Tasks!$A:$A,$A465,Tasks!$B:$B,$B465)*100,0),"")</f>
        <v/>
      </c>
      <c r="I465">
        <f>COUNTIFS(Tasks!$A:$A,$A465,Tasks!$B:$B,$B465,Tasks!$G:$G,"&lt;="&amp;INDEX(Weeks!$D:$D,MATCH($C465,Weeks!$A:$A,0)))-COUNTIFS(Tasks!$A:$A,$A465,Tasks!$B:$B,$B465,Tasks!$I:$I,"&lt;="&amp;INDEX(Weeks!$D:$D,MATCH($C465,Weeks!$A:$A,0)),Tasks!$I:$I,"&lt;&gt;")</f>
        <v>0</v>
      </c>
      <c r="J465">
        <f>COUNTIFS(Tasks!$A:$A,$A465,Tasks!$B:$B,$B465,
Tasks!$I:$I,"&gt;"&amp;IFERROR(INDEX(Weeks!$D:$D,MATCH($C465-1,Weeks!$A:$A,0)),DATE(2000,1,1)),
Tasks!$I:$I,"&lt;="&amp;INDEX(Weeks!$D:$D,MATCH($C465,Weeks!$A:$A,0)),
Tasks!$I:$I,"&lt;&gt;")</f>
        <v>0</v>
      </c>
    </row>
    <row r="466" spans="1:10" ht="15" customHeight="1">
      <c r="A466" t="s">
        <v>93</v>
      </c>
      <c r="B466" t="s">
        <v>96</v>
      </c>
      <c r="C466">
        <v>49</v>
      </c>
      <c r="D466">
        <v>12</v>
      </c>
      <c r="E466">
        <v>1</v>
      </c>
      <c r="F466" s="5" t="str">
        <f>IFERROR(ROUND(COUNTIFS(Tasks!$A:$A,$A466,Tasks!$B:$B,$B466,Tasks!$I:$I,"&lt;="&amp;INDEX(Weeks!$D:$D,MATCH($C466,Weeks!$A:$A,0)),Tasks!$I:$I,"&lt;&gt;")/COUNTIFS(Tasks!$A:$A,$A466,Tasks!$B:$B,$B466)*100,0),"")</f>
        <v/>
      </c>
      <c r="G466" s="5" t="str">
        <f>IFERROR(ROUND(COUNTIFS(Tasks!$A:$A,$A466,Tasks!$B:$B,$B466,Tasks!$H:$H,"&lt;="&amp;INDEX(Weeks!$D:$D,MATCH($C466,Weeks!$A:$A,0)))/COUNTIFS(Tasks!$A:$A,$A466,Tasks!$B:$B,$B466)*100,0),"")</f>
        <v/>
      </c>
      <c r="I466">
        <f>COUNTIFS(Tasks!$A:$A,$A466,Tasks!$B:$B,$B466,Tasks!$G:$G,"&lt;="&amp;INDEX(Weeks!$D:$D,MATCH($C466,Weeks!$A:$A,0)))-COUNTIFS(Tasks!$A:$A,$A466,Tasks!$B:$B,$B466,Tasks!$I:$I,"&lt;="&amp;INDEX(Weeks!$D:$D,MATCH($C466,Weeks!$A:$A,0)),Tasks!$I:$I,"&lt;&gt;")</f>
        <v>0</v>
      </c>
      <c r="J466">
        <f>COUNTIFS(Tasks!$A:$A,$A466,Tasks!$B:$B,$B466,
Tasks!$I:$I,"&gt;"&amp;IFERROR(INDEX(Weeks!$D:$D,MATCH($C466-1,Weeks!$A:$A,0)),DATE(2000,1,1)),
Tasks!$I:$I,"&lt;="&amp;INDEX(Weeks!$D:$D,MATCH($C466,Weeks!$A:$A,0)),
Tasks!$I:$I,"&lt;&gt;")</f>
        <v>0</v>
      </c>
    </row>
    <row r="467" spans="1:10" ht="15" customHeight="1">
      <c r="A467" t="s">
        <v>93</v>
      </c>
      <c r="B467" t="s">
        <v>96</v>
      </c>
      <c r="C467">
        <v>50</v>
      </c>
      <c r="D467">
        <v>12</v>
      </c>
      <c r="E467">
        <v>2</v>
      </c>
      <c r="F467" s="5" t="str">
        <f>IFERROR(ROUND(COUNTIFS(Tasks!$A:$A,$A467,Tasks!$B:$B,$B467,Tasks!$I:$I,"&lt;="&amp;INDEX(Weeks!$D:$D,MATCH($C467,Weeks!$A:$A,0)),Tasks!$I:$I,"&lt;&gt;")/COUNTIFS(Tasks!$A:$A,$A467,Tasks!$B:$B,$B467)*100,0),"")</f>
        <v/>
      </c>
      <c r="G467" s="5" t="str">
        <f>IFERROR(ROUND(COUNTIFS(Tasks!$A:$A,$A467,Tasks!$B:$B,$B467,Tasks!$H:$H,"&lt;="&amp;INDEX(Weeks!$D:$D,MATCH($C467,Weeks!$A:$A,0)))/COUNTIFS(Tasks!$A:$A,$A467,Tasks!$B:$B,$B467)*100,0),"")</f>
        <v/>
      </c>
      <c r="I467">
        <f>COUNTIFS(Tasks!$A:$A,$A467,Tasks!$B:$B,$B467,Tasks!$G:$G,"&lt;="&amp;INDEX(Weeks!$D:$D,MATCH($C467,Weeks!$A:$A,0)))-COUNTIFS(Tasks!$A:$A,$A467,Tasks!$B:$B,$B467,Tasks!$I:$I,"&lt;="&amp;INDEX(Weeks!$D:$D,MATCH($C467,Weeks!$A:$A,0)),Tasks!$I:$I,"&lt;&gt;")</f>
        <v>0</v>
      </c>
      <c r="J467">
        <f>COUNTIFS(Tasks!$A:$A,$A467,Tasks!$B:$B,$B467,
Tasks!$I:$I,"&gt;"&amp;IFERROR(INDEX(Weeks!$D:$D,MATCH($C467-1,Weeks!$A:$A,0)),DATE(2000,1,1)),
Tasks!$I:$I,"&lt;="&amp;INDEX(Weeks!$D:$D,MATCH($C467,Weeks!$A:$A,0)),
Tasks!$I:$I,"&lt;&gt;")</f>
        <v>0</v>
      </c>
    </row>
    <row r="468" spans="1:10" ht="15" customHeight="1">
      <c r="A468" t="s">
        <v>93</v>
      </c>
      <c r="B468" t="s">
        <v>96</v>
      </c>
      <c r="C468">
        <v>51</v>
      </c>
      <c r="D468">
        <v>12</v>
      </c>
      <c r="E468">
        <v>3</v>
      </c>
      <c r="F468" s="5" t="str">
        <f>IFERROR(ROUND(COUNTIFS(Tasks!$A:$A,$A468,Tasks!$B:$B,$B468,Tasks!$I:$I,"&lt;="&amp;INDEX(Weeks!$D:$D,MATCH($C468,Weeks!$A:$A,0)),Tasks!$I:$I,"&lt;&gt;")/COUNTIFS(Tasks!$A:$A,$A468,Tasks!$B:$B,$B468)*100,0),"")</f>
        <v/>
      </c>
      <c r="G468" s="5" t="str">
        <f>IFERROR(ROUND(COUNTIFS(Tasks!$A:$A,$A468,Tasks!$B:$B,$B468,Tasks!$H:$H,"&lt;="&amp;INDEX(Weeks!$D:$D,MATCH($C468,Weeks!$A:$A,0)))/COUNTIFS(Tasks!$A:$A,$A468,Tasks!$B:$B,$B468)*100,0),"")</f>
        <v/>
      </c>
      <c r="I468">
        <f>COUNTIFS(Tasks!$A:$A,$A468,Tasks!$B:$B,$B468,Tasks!$G:$G,"&lt;="&amp;INDEX(Weeks!$D:$D,MATCH($C468,Weeks!$A:$A,0)))-COUNTIFS(Tasks!$A:$A,$A468,Tasks!$B:$B,$B468,Tasks!$I:$I,"&lt;="&amp;INDEX(Weeks!$D:$D,MATCH($C468,Weeks!$A:$A,0)),Tasks!$I:$I,"&lt;&gt;")</f>
        <v>0</v>
      </c>
      <c r="J468">
        <f>COUNTIFS(Tasks!$A:$A,$A468,Tasks!$B:$B,$B468,
Tasks!$I:$I,"&gt;"&amp;IFERROR(INDEX(Weeks!$D:$D,MATCH($C468-1,Weeks!$A:$A,0)),DATE(2000,1,1)),
Tasks!$I:$I,"&lt;="&amp;INDEX(Weeks!$D:$D,MATCH($C468,Weeks!$A:$A,0)),
Tasks!$I:$I,"&lt;&gt;")</f>
        <v>0</v>
      </c>
    </row>
    <row r="469" spans="1:10" ht="15" customHeight="1">
      <c r="A469" t="s">
        <v>93</v>
      </c>
      <c r="B469" t="s">
        <v>96</v>
      </c>
      <c r="C469">
        <v>52</v>
      </c>
      <c r="D469">
        <v>12</v>
      </c>
      <c r="E469">
        <v>4</v>
      </c>
      <c r="F469" s="5" t="str">
        <f>IFERROR(ROUND(COUNTIFS(Tasks!$A:$A,$A469,Tasks!$B:$B,$B469,Tasks!$I:$I,"&lt;="&amp;INDEX(Weeks!$D:$D,MATCH($C469,Weeks!$A:$A,0)),Tasks!$I:$I,"&lt;&gt;")/COUNTIFS(Tasks!$A:$A,$A469,Tasks!$B:$B,$B469)*100,0),"")</f>
        <v/>
      </c>
      <c r="G469" s="5" t="str">
        <f>IFERROR(ROUND(COUNTIFS(Tasks!$A:$A,$A469,Tasks!$B:$B,$B469,Tasks!$H:$H,"&lt;="&amp;INDEX(Weeks!$D:$D,MATCH($C469,Weeks!$A:$A,0)))/COUNTIFS(Tasks!$A:$A,$A469,Tasks!$B:$B,$B469)*100,0),"")</f>
        <v/>
      </c>
      <c r="I469">
        <f>COUNTIFS(Tasks!$A:$A,$A469,Tasks!$B:$B,$B469,Tasks!$G:$G,"&lt;="&amp;INDEX(Weeks!$D:$D,MATCH($C469,Weeks!$A:$A,0)))-COUNTIFS(Tasks!$A:$A,$A469,Tasks!$B:$B,$B469,Tasks!$I:$I,"&lt;="&amp;INDEX(Weeks!$D:$D,MATCH($C469,Weeks!$A:$A,0)),Tasks!$I:$I,"&lt;&gt;")</f>
        <v>0</v>
      </c>
      <c r="J469">
        <f>COUNTIFS(Tasks!$A:$A,$A469,Tasks!$B:$B,$B469,
Tasks!$I:$I,"&gt;"&amp;IFERROR(INDEX(Weeks!$D:$D,MATCH($C469-1,Weeks!$A:$A,0)),DATE(2000,1,1)),
Tasks!$I:$I,"&lt;="&amp;INDEX(Weeks!$D:$D,MATCH($C469,Weeks!$A:$A,0)),
Tasks!$I:$I,"&lt;&gt;")</f>
        <v>0</v>
      </c>
    </row>
    <row r="470" spans="1:10" ht="15" customHeight="1">
      <c r="A470" t="s">
        <v>97</v>
      </c>
      <c r="B470" t="s">
        <v>98</v>
      </c>
      <c r="C470">
        <v>1</v>
      </c>
      <c r="D470">
        <v>1</v>
      </c>
      <c r="E470">
        <v>1</v>
      </c>
      <c r="F470" s="5" t="str">
        <f>IFERROR(ROUND(COUNTIFS(Tasks!$A:$A,$A470,Tasks!$B:$B,$B470,Tasks!$I:$I,"&lt;="&amp;INDEX(Weeks!$D:$D,MATCH($C470,Weeks!$A:$A,0)),Tasks!$I:$I,"&lt;&gt;")/COUNTIFS(Tasks!$A:$A,$A470,Tasks!$B:$B,$B470)*100,0),"")</f>
        <v/>
      </c>
      <c r="G470" s="5" t="str">
        <f>IFERROR(ROUND(COUNTIFS(Tasks!$A:$A,$A470,Tasks!$B:$B,$B470,Tasks!$H:$H,"&lt;="&amp;INDEX(Weeks!$D:$D,MATCH($C470,Weeks!$A:$A,0)))/COUNTIFS(Tasks!$A:$A,$A470,Tasks!$B:$B,$B470)*100,0),"")</f>
        <v/>
      </c>
      <c r="H470" t="s">
        <v>92</v>
      </c>
      <c r="I470">
        <f>COUNTIFS(Tasks!$A:$A,$A470,Tasks!$B:$B,$B470,Tasks!$G:$G,"&lt;="&amp;INDEX(Weeks!$D:$D,MATCH($C470,Weeks!$A:$A,0)))-COUNTIFS(Tasks!$A:$A,$A470,Tasks!$B:$B,$B470,Tasks!$I:$I,"&lt;="&amp;INDEX(Weeks!$D:$D,MATCH($C470,Weeks!$A:$A,0)),Tasks!$I:$I,"&lt;&gt;")</f>
        <v>0</v>
      </c>
      <c r="J470">
        <f>COUNTIFS(Tasks!$A:$A,$A470,Tasks!$B:$B,$B470,
Tasks!$I:$I,"&gt;"&amp;IFERROR(INDEX(Weeks!$D:$D,MATCH($C470-1,Weeks!$A:$A,0)),DATE(2000,1,1)),
Tasks!$I:$I,"&lt;="&amp;INDEX(Weeks!$D:$D,MATCH($C470,Weeks!$A:$A,0)),
Tasks!$I:$I,"&lt;&gt;")</f>
        <v>0</v>
      </c>
    </row>
    <row r="471" spans="1:10" ht="15" customHeight="1">
      <c r="A471" t="s">
        <v>97</v>
      </c>
      <c r="B471" t="s">
        <v>98</v>
      </c>
      <c r="C471">
        <v>2</v>
      </c>
      <c r="D471">
        <v>1</v>
      </c>
      <c r="E471">
        <v>2</v>
      </c>
      <c r="F471" s="5" t="str">
        <f>IFERROR(ROUND(COUNTIFS(Tasks!$A:$A,$A471,Tasks!$B:$B,$B471,Tasks!$I:$I,"&lt;="&amp;INDEX(Weeks!$D:$D,MATCH($C471,Weeks!$A:$A,0)),Tasks!$I:$I,"&lt;&gt;")/COUNTIFS(Tasks!$A:$A,$A471,Tasks!$B:$B,$B471)*100,0),"")</f>
        <v/>
      </c>
      <c r="G471" s="5" t="str">
        <f>IFERROR(ROUND(COUNTIFS(Tasks!$A:$A,$A471,Tasks!$B:$B,$B471,Tasks!$H:$H,"&lt;="&amp;INDEX(Weeks!$D:$D,MATCH($C471,Weeks!$A:$A,0)))/COUNTIFS(Tasks!$A:$A,$A471,Tasks!$B:$B,$B471)*100,0),"")</f>
        <v/>
      </c>
      <c r="H471" t="s">
        <v>92</v>
      </c>
      <c r="I471">
        <f>COUNTIFS(Tasks!$A:$A,$A471,Tasks!$B:$B,$B471,Tasks!$G:$G,"&lt;="&amp;INDEX(Weeks!$D:$D,MATCH($C471,Weeks!$A:$A,0)))-COUNTIFS(Tasks!$A:$A,$A471,Tasks!$B:$B,$B471,Tasks!$I:$I,"&lt;="&amp;INDEX(Weeks!$D:$D,MATCH($C471,Weeks!$A:$A,0)),Tasks!$I:$I,"&lt;&gt;")</f>
        <v>0</v>
      </c>
      <c r="J471">
        <f>COUNTIFS(Tasks!$A:$A,$A471,Tasks!$B:$B,$B471,
Tasks!$I:$I,"&gt;"&amp;IFERROR(INDEX(Weeks!$D:$D,MATCH($C471-1,Weeks!$A:$A,0)),DATE(2000,1,1)),
Tasks!$I:$I,"&lt;="&amp;INDEX(Weeks!$D:$D,MATCH($C471,Weeks!$A:$A,0)),
Tasks!$I:$I,"&lt;&gt;")</f>
        <v>0</v>
      </c>
    </row>
    <row r="472" spans="1:10" ht="15" customHeight="1">
      <c r="A472" t="s">
        <v>97</v>
      </c>
      <c r="B472" t="s">
        <v>98</v>
      </c>
      <c r="C472">
        <v>3</v>
      </c>
      <c r="D472">
        <v>1</v>
      </c>
      <c r="E472">
        <v>3</v>
      </c>
      <c r="F472" s="5" t="str">
        <f>IFERROR(ROUND(COUNTIFS(Tasks!$A:$A,$A472,Tasks!$B:$B,$B472,Tasks!$I:$I,"&lt;="&amp;INDEX(Weeks!$D:$D,MATCH($C472,Weeks!$A:$A,0)),Tasks!$I:$I,"&lt;&gt;")/COUNTIFS(Tasks!$A:$A,$A472,Tasks!$B:$B,$B472)*100,0),"")</f>
        <v/>
      </c>
      <c r="G472" s="5" t="str">
        <f>IFERROR(ROUND(COUNTIFS(Tasks!$A:$A,$A472,Tasks!$B:$B,$B472,Tasks!$H:$H,"&lt;="&amp;INDEX(Weeks!$D:$D,MATCH($C472,Weeks!$A:$A,0)))/COUNTIFS(Tasks!$A:$A,$A472,Tasks!$B:$B,$B472)*100,0),"")</f>
        <v/>
      </c>
      <c r="H472" t="s">
        <v>92</v>
      </c>
      <c r="I472">
        <f>COUNTIFS(Tasks!$A:$A,$A472,Tasks!$B:$B,$B472,Tasks!$G:$G,"&lt;="&amp;INDEX(Weeks!$D:$D,MATCH($C472,Weeks!$A:$A,0)))-COUNTIFS(Tasks!$A:$A,$A472,Tasks!$B:$B,$B472,Tasks!$I:$I,"&lt;="&amp;INDEX(Weeks!$D:$D,MATCH($C472,Weeks!$A:$A,0)),Tasks!$I:$I,"&lt;&gt;")</f>
        <v>0</v>
      </c>
      <c r="J472">
        <f>COUNTIFS(Tasks!$A:$A,$A472,Tasks!$B:$B,$B472,
Tasks!$I:$I,"&gt;"&amp;IFERROR(INDEX(Weeks!$D:$D,MATCH($C472-1,Weeks!$A:$A,0)),DATE(2000,1,1)),
Tasks!$I:$I,"&lt;="&amp;INDEX(Weeks!$D:$D,MATCH($C472,Weeks!$A:$A,0)),
Tasks!$I:$I,"&lt;&gt;")</f>
        <v>0</v>
      </c>
    </row>
    <row r="473" spans="1:10" ht="15" customHeight="1">
      <c r="A473" t="s">
        <v>97</v>
      </c>
      <c r="B473" t="s">
        <v>98</v>
      </c>
      <c r="C473">
        <v>4</v>
      </c>
      <c r="D473">
        <v>1</v>
      </c>
      <c r="E473">
        <v>4</v>
      </c>
      <c r="F473" s="5" t="str">
        <f>IFERROR(ROUND(COUNTIFS(Tasks!$A:$A,$A473,Tasks!$B:$B,$B473,Tasks!$I:$I,"&lt;="&amp;INDEX(Weeks!$D:$D,MATCH($C473,Weeks!$A:$A,0)),Tasks!$I:$I,"&lt;&gt;")/COUNTIFS(Tasks!$A:$A,$A473,Tasks!$B:$B,$B473)*100,0),"")</f>
        <v/>
      </c>
      <c r="G473" s="5" t="str">
        <f>IFERROR(ROUND(COUNTIFS(Tasks!$A:$A,$A473,Tasks!$B:$B,$B473,Tasks!$H:$H,"&lt;="&amp;INDEX(Weeks!$D:$D,MATCH($C473,Weeks!$A:$A,0)))/COUNTIFS(Tasks!$A:$A,$A473,Tasks!$B:$B,$B473)*100,0),"")</f>
        <v/>
      </c>
      <c r="H473" t="s">
        <v>92</v>
      </c>
      <c r="I473">
        <f>COUNTIFS(Tasks!$A:$A,$A473,Tasks!$B:$B,$B473,Tasks!$G:$G,"&lt;="&amp;INDEX(Weeks!$D:$D,MATCH($C473,Weeks!$A:$A,0)))-COUNTIFS(Tasks!$A:$A,$A473,Tasks!$B:$B,$B473,Tasks!$I:$I,"&lt;="&amp;INDEX(Weeks!$D:$D,MATCH($C473,Weeks!$A:$A,0)),Tasks!$I:$I,"&lt;&gt;")</f>
        <v>0</v>
      </c>
      <c r="J473">
        <f>COUNTIFS(Tasks!$A:$A,$A473,Tasks!$B:$B,$B473,
Tasks!$I:$I,"&gt;"&amp;IFERROR(INDEX(Weeks!$D:$D,MATCH($C473-1,Weeks!$A:$A,0)),DATE(2000,1,1)),
Tasks!$I:$I,"&lt;="&amp;INDEX(Weeks!$D:$D,MATCH($C473,Weeks!$A:$A,0)),
Tasks!$I:$I,"&lt;&gt;")</f>
        <v>0</v>
      </c>
    </row>
    <row r="474" spans="1:10" ht="15" customHeight="1">
      <c r="A474" t="s">
        <v>97</v>
      </c>
      <c r="B474" t="s">
        <v>98</v>
      </c>
      <c r="C474">
        <v>5</v>
      </c>
      <c r="D474">
        <v>1</v>
      </c>
      <c r="E474">
        <v>5</v>
      </c>
      <c r="F474" s="5" t="str">
        <f>IFERROR(ROUND(COUNTIFS(Tasks!$A:$A,$A474,Tasks!$B:$B,$B474,Tasks!$I:$I,"&lt;="&amp;INDEX(Weeks!$D:$D,MATCH($C474,Weeks!$A:$A,0)),Tasks!$I:$I,"&lt;&gt;")/COUNTIFS(Tasks!$A:$A,$A474,Tasks!$B:$B,$B474)*100,0),"")</f>
        <v/>
      </c>
      <c r="G474" s="5" t="str">
        <f>IFERROR(ROUND(COUNTIFS(Tasks!$A:$A,$A474,Tasks!$B:$B,$B474,Tasks!$H:$H,"&lt;="&amp;INDEX(Weeks!$D:$D,MATCH($C474,Weeks!$A:$A,0)))/COUNTIFS(Tasks!$A:$A,$A474,Tasks!$B:$B,$B474)*100,0),"")</f>
        <v/>
      </c>
      <c r="H474" t="s">
        <v>92</v>
      </c>
      <c r="I474">
        <f>COUNTIFS(Tasks!$A:$A,$A474,Tasks!$B:$B,$B474,Tasks!$G:$G,"&lt;="&amp;INDEX(Weeks!$D:$D,MATCH($C474,Weeks!$A:$A,0)))-COUNTIFS(Tasks!$A:$A,$A474,Tasks!$B:$B,$B474,Tasks!$I:$I,"&lt;="&amp;INDEX(Weeks!$D:$D,MATCH($C474,Weeks!$A:$A,0)),Tasks!$I:$I,"&lt;&gt;")</f>
        <v>0</v>
      </c>
      <c r="J474">
        <f>COUNTIFS(Tasks!$A:$A,$A474,Tasks!$B:$B,$B474,
Tasks!$I:$I,"&gt;"&amp;IFERROR(INDEX(Weeks!$D:$D,MATCH($C474-1,Weeks!$A:$A,0)),DATE(2000,1,1)),
Tasks!$I:$I,"&lt;="&amp;INDEX(Weeks!$D:$D,MATCH($C474,Weeks!$A:$A,0)),
Tasks!$I:$I,"&lt;&gt;")</f>
        <v>0</v>
      </c>
    </row>
    <row r="475" spans="1:10" ht="15" customHeight="1">
      <c r="A475" t="s">
        <v>97</v>
      </c>
      <c r="B475" t="s">
        <v>98</v>
      </c>
      <c r="C475">
        <v>6</v>
      </c>
      <c r="D475">
        <v>2</v>
      </c>
      <c r="E475">
        <v>1</v>
      </c>
      <c r="F475" s="5" t="str">
        <f>IFERROR(ROUND(COUNTIFS(Tasks!$A:$A,$A475,Tasks!$B:$B,$B475,Tasks!$I:$I,"&lt;="&amp;INDEX(Weeks!$D:$D,MATCH($C475,Weeks!$A:$A,0)),Tasks!$I:$I,"&lt;&gt;")/COUNTIFS(Tasks!$A:$A,$A475,Tasks!$B:$B,$B475)*100,0),"")</f>
        <v/>
      </c>
      <c r="G475" s="5" t="str">
        <f>IFERROR(ROUND(COUNTIFS(Tasks!$A:$A,$A475,Tasks!$B:$B,$B475,Tasks!$H:$H,"&lt;="&amp;INDEX(Weeks!$D:$D,MATCH($C475,Weeks!$A:$A,0)))/COUNTIFS(Tasks!$A:$A,$A475,Tasks!$B:$B,$B475)*100,0),"")</f>
        <v/>
      </c>
      <c r="H475" t="s">
        <v>92</v>
      </c>
      <c r="I475">
        <f>COUNTIFS(Tasks!$A:$A,$A475,Tasks!$B:$B,$B475,Tasks!$G:$G,"&lt;="&amp;INDEX(Weeks!$D:$D,MATCH($C475,Weeks!$A:$A,0)))-COUNTIFS(Tasks!$A:$A,$A475,Tasks!$B:$B,$B475,Tasks!$I:$I,"&lt;="&amp;INDEX(Weeks!$D:$D,MATCH($C475,Weeks!$A:$A,0)),Tasks!$I:$I,"&lt;&gt;")</f>
        <v>0</v>
      </c>
      <c r="J475">
        <f>COUNTIFS(Tasks!$A:$A,$A475,Tasks!$B:$B,$B475,
Tasks!$I:$I,"&gt;"&amp;IFERROR(INDEX(Weeks!$D:$D,MATCH($C475-1,Weeks!$A:$A,0)),DATE(2000,1,1)),
Tasks!$I:$I,"&lt;="&amp;INDEX(Weeks!$D:$D,MATCH($C475,Weeks!$A:$A,0)),
Tasks!$I:$I,"&lt;&gt;")</f>
        <v>0</v>
      </c>
    </row>
    <row r="476" spans="1:10" ht="15" customHeight="1">
      <c r="A476" t="s">
        <v>97</v>
      </c>
      <c r="B476" t="s">
        <v>98</v>
      </c>
      <c r="C476">
        <v>7</v>
      </c>
      <c r="D476">
        <v>2</v>
      </c>
      <c r="E476">
        <v>2</v>
      </c>
      <c r="F476" s="5" t="str">
        <f>IFERROR(ROUND(COUNTIFS(Tasks!$A:$A,$A476,Tasks!$B:$B,$B476,Tasks!$I:$I,"&lt;="&amp;INDEX(Weeks!$D:$D,MATCH($C476,Weeks!$A:$A,0)),Tasks!$I:$I,"&lt;&gt;")/COUNTIFS(Tasks!$A:$A,$A476,Tasks!$B:$B,$B476)*100,0),"")</f>
        <v/>
      </c>
      <c r="G476" s="5" t="str">
        <f>IFERROR(ROUND(COUNTIFS(Tasks!$A:$A,$A476,Tasks!$B:$B,$B476,Tasks!$H:$H,"&lt;="&amp;INDEX(Weeks!$D:$D,MATCH($C476,Weeks!$A:$A,0)))/COUNTIFS(Tasks!$A:$A,$A476,Tasks!$B:$B,$B476)*100,0),"")</f>
        <v/>
      </c>
      <c r="H476" t="s">
        <v>92</v>
      </c>
      <c r="I476">
        <f>COUNTIFS(Tasks!$A:$A,$A476,Tasks!$B:$B,$B476,Tasks!$G:$G,"&lt;="&amp;INDEX(Weeks!$D:$D,MATCH($C476,Weeks!$A:$A,0)))-COUNTIFS(Tasks!$A:$A,$A476,Tasks!$B:$B,$B476,Tasks!$I:$I,"&lt;="&amp;INDEX(Weeks!$D:$D,MATCH($C476,Weeks!$A:$A,0)),Tasks!$I:$I,"&lt;&gt;")</f>
        <v>0</v>
      </c>
      <c r="J476">
        <f>COUNTIFS(Tasks!$A:$A,$A476,Tasks!$B:$B,$B476,
Tasks!$I:$I,"&gt;"&amp;IFERROR(INDEX(Weeks!$D:$D,MATCH($C476-1,Weeks!$A:$A,0)),DATE(2000,1,1)),
Tasks!$I:$I,"&lt;="&amp;INDEX(Weeks!$D:$D,MATCH($C476,Weeks!$A:$A,0)),
Tasks!$I:$I,"&lt;&gt;")</f>
        <v>0</v>
      </c>
    </row>
    <row r="477" spans="1:10" ht="15" customHeight="1">
      <c r="A477" t="s">
        <v>97</v>
      </c>
      <c r="B477" t="s">
        <v>98</v>
      </c>
      <c r="C477">
        <v>8</v>
      </c>
      <c r="D477">
        <v>2</v>
      </c>
      <c r="E477">
        <v>3</v>
      </c>
      <c r="F477" s="5" t="str">
        <f>IFERROR(ROUND(COUNTIFS(Tasks!$A:$A,$A477,Tasks!$B:$B,$B477,Tasks!$I:$I,"&lt;="&amp;INDEX(Weeks!$D:$D,MATCH($C477,Weeks!$A:$A,0)),Tasks!$I:$I,"&lt;&gt;")/COUNTIFS(Tasks!$A:$A,$A477,Tasks!$B:$B,$B477)*100,0),"")</f>
        <v/>
      </c>
      <c r="G477" s="5" t="str">
        <f>IFERROR(ROUND(COUNTIFS(Tasks!$A:$A,$A477,Tasks!$B:$B,$B477,Tasks!$H:$H,"&lt;="&amp;INDEX(Weeks!$D:$D,MATCH($C477,Weeks!$A:$A,0)))/COUNTIFS(Tasks!$A:$A,$A477,Tasks!$B:$B,$B477)*100,0),"")</f>
        <v/>
      </c>
      <c r="H477" t="s">
        <v>92</v>
      </c>
      <c r="I477">
        <f>COUNTIFS(Tasks!$A:$A,$A477,Tasks!$B:$B,$B477,Tasks!$G:$G,"&lt;="&amp;INDEX(Weeks!$D:$D,MATCH($C477,Weeks!$A:$A,0)))-COUNTIFS(Tasks!$A:$A,$A477,Tasks!$B:$B,$B477,Tasks!$I:$I,"&lt;="&amp;INDEX(Weeks!$D:$D,MATCH($C477,Weeks!$A:$A,0)),Tasks!$I:$I,"&lt;&gt;")</f>
        <v>0</v>
      </c>
      <c r="J477">
        <f>COUNTIFS(Tasks!$A:$A,$A477,Tasks!$B:$B,$B477,
Tasks!$I:$I,"&gt;"&amp;IFERROR(INDEX(Weeks!$D:$D,MATCH($C477-1,Weeks!$A:$A,0)),DATE(2000,1,1)),
Tasks!$I:$I,"&lt;="&amp;INDEX(Weeks!$D:$D,MATCH($C477,Weeks!$A:$A,0)),
Tasks!$I:$I,"&lt;&gt;")</f>
        <v>0</v>
      </c>
    </row>
    <row r="478" spans="1:10" ht="15" customHeight="1">
      <c r="A478" t="s">
        <v>97</v>
      </c>
      <c r="B478" t="s">
        <v>98</v>
      </c>
      <c r="C478">
        <v>9</v>
      </c>
      <c r="D478">
        <v>2</v>
      </c>
      <c r="E478">
        <v>4</v>
      </c>
      <c r="F478" s="5" t="str">
        <f>IFERROR(ROUND(COUNTIFS(Tasks!$A:$A,$A478,Tasks!$B:$B,$B478,Tasks!$I:$I,"&lt;="&amp;INDEX(Weeks!$D:$D,MATCH($C478,Weeks!$A:$A,0)),Tasks!$I:$I,"&lt;&gt;")/COUNTIFS(Tasks!$A:$A,$A478,Tasks!$B:$B,$B478)*100,0),"")</f>
        <v/>
      </c>
      <c r="G478" s="5" t="str">
        <f>IFERROR(ROUND(COUNTIFS(Tasks!$A:$A,$A478,Tasks!$B:$B,$B478,Tasks!$H:$H,"&lt;="&amp;INDEX(Weeks!$D:$D,MATCH($C478,Weeks!$A:$A,0)))/COUNTIFS(Tasks!$A:$A,$A478,Tasks!$B:$B,$B478)*100,0),"")</f>
        <v/>
      </c>
      <c r="H478" t="s">
        <v>92</v>
      </c>
      <c r="I478">
        <f>COUNTIFS(Tasks!$A:$A,$A478,Tasks!$B:$B,$B478,Tasks!$G:$G,"&lt;="&amp;INDEX(Weeks!$D:$D,MATCH($C478,Weeks!$A:$A,0)))-COUNTIFS(Tasks!$A:$A,$A478,Tasks!$B:$B,$B478,Tasks!$I:$I,"&lt;="&amp;INDEX(Weeks!$D:$D,MATCH($C478,Weeks!$A:$A,0)),Tasks!$I:$I,"&lt;&gt;")</f>
        <v>0</v>
      </c>
      <c r="J478">
        <f>COUNTIFS(Tasks!$A:$A,$A478,Tasks!$B:$B,$B478,
Tasks!$I:$I,"&gt;"&amp;IFERROR(INDEX(Weeks!$D:$D,MATCH($C478-1,Weeks!$A:$A,0)),DATE(2000,1,1)),
Tasks!$I:$I,"&lt;="&amp;INDEX(Weeks!$D:$D,MATCH($C478,Weeks!$A:$A,0)),
Tasks!$I:$I,"&lt;&gt;")</f>
        <v>0</v>
      </c>
    </row>
    <row r="479" spans="1:10" ht="15" customHeight="1">
      <c r="A479" t="s">
        <v>97</v>
      </c>
      <c r="B479" t="s">
        <v>98</v>
      </c>
      <c r="C479">
        <v>10</v>
      </c>
      <c r="D479">
        <v>3</v>
      </c>
      <c r="E479">
        <v>1</v>
      </c>
      <c r="F479" s="5" t="str">
        <f>IFERROR(ROUND(COUNTIFS(Tasks!$A:$A,$A479,Tasks!$B:$B,$B479,Tasks!$I:$I,"&lt;="&amp;INDEX(Weeks!$D:$D,MATCH($C479,Weeks!$A:$A,0)),Tasks!$I:$I,"&lt;&gt;")/COUNTIFS(Tasks!$A:$A,$A479,Tasks!$B:$B,$B479)*100,0),"")</f>
        <v/>
      </c>
      <c r="G479" s="5" t="str">
        <f>IFERROR(ROUND(COUNTIFS(Tasks!$A:$A,$A479,Tasks!$B:$B,$B479,Tasks!$H:$H,"&lt;="&amp;INDEX(Weeks!$D:$D,MATCH($C479,Weeks!$A:$A,0)))/COUNTIFS(Tasks!$A:$A,$A479,Tasks!$B:$B,$B479)*100,0),"")</f>
        <v/>
      </c>
      <c r="H479" t="s">
        <v>92</v>
      </c>
      <c r="I479">
        <f>COUNTIFS(Tasks!$A:$A,$A479,Tasks!$B:$B,$B479,Tasks!$G:$G,"&lt;="&amp;INDEX(Weeks!$D:$D,MATCH($C479,Weeks!$A:$A,0)))-COUNTIFS(Tasks!$A:$A,$A479,Tasks!$B:$B,$B479,Tasks!$I:$I,"&lt;="&amp;INDEX(Weeks!$D:$D,MATCH($C479,Weeks!$A:$A,0)),Tasks!$I:$I,"&lt;&gt;")</f>
        <v>0</v>
      </c>
      <c r="J479">
        <f>COUNTIFS(Tasks!$A:$A,$A479,Tasks!$B:$B,$B479,
Tasks!$I:$I,"&gt;"&amp;IFERROR(INDEX(Weeks!$D:$D,MATCH($C479-1,Weeks!$A:$A,0)),DATE(2000,1,1)),
Tasks!$I:$I,"&lt;="&amp;INDEX(Weeks!$D:$D,MATCH($C479,Weeks!$A:$A,0)),
Tasks!$I:$I,"&lt;&gt;")</f>
        <v>0</v>
      </c>
    </row>
    <row r="480" spans="1:10" ht="15" customHeight="1">
      <c r="A480" t="s">
        <v>97</v>
      </c>
      <c r="B480" t="s">
        <v>98</v>
      </c>
      <c r="C480">
        <v>11</v>
      </c>
      <c r="D480">
        <v>3</v>
      </c>
      <c r="E480">
        <v>2</v>
      </c>
      <c r="F480" s="5" t="str">
        <f>IFERROR(ROUND(COUNTIFS(Tasks!$A:$A,$A480,Tasks!$B:$B,$B480,Tasks!$I:$I,"&lt;="&amp;INDEX(Weeks!$D:$D,MATCH($C480,Weeks!$A:$A,0)),Tasks!$I:$I,"&lt;&gt;")/COUNTIFS(Tasks!$A:$A,$A480,Tasks!$B:$B,$B480)*100,0),"")</f>
        <v/>
      </c>
      <c r="G480" s="5" t="str">
        <f>IFERROR(ROUND(COUNTIFS(Tasks!$A:$A,$A480,Tasks!$B:$B,$B480,Tasks!$H:$H,"&lt;="&amp;INDEX(Weeks!$D:$D,MATCH($C480,Weeks!$A:$A,0)))/COUNTIFS(Tasks!$A:$A,$A480,Tasks!$B:$B,$B480)*100,0),"")</f>
        <v/>
      </c>
      <c r="H480" t="s">
        <v>92</v>
      </c>
      <c r="I480">
        <f>COUNTIFS(Tasks!$A:$A,$A480,Tasks!$B:$B,$B480,Tasks!$G:$G,"&lt;="&amp;INDEX(Weeks!$D:$D,MATCH($C480,Weeks!$A:$A,0)))-COUNTIFS(Tasks!$A:$A,$A480,Tasks!$B:$B,$B480,Tasks!$I:$I,"&lt;="&amp;INDEX(Weeks!$D:$D,MATCH($C480,Weeks!$A:$A,0)),Tasks!$I:$I,"&lt;&gt;")</f>
        <v>0</v>
      </c>
      <c r="J480">
        <f>COUNTIFS(Tasks!$A:$A,$A480,Tasks!$B:$B,$B480,
Tasks!$I:$I,"&gt;"&amp;IFERROR(INDEX(Weeks!$D:$D,MATCH($C480-1,Weeks!$A:$A,0)),DATE(2000,1,1)),
Tasks!$I:$I,"&lt;="&amp;INDEX(Weeks!$D:$D,MATCH($C480,Weeks!$A:$A,0)),
Tasks!$I:$I,"&lt;&gt;")</f>
        <v>0</v>
      </c>
    </row>
    <row r="481" spans="1:10" ht="15" customHeight="1">
      <c r="A481" t="s">
        <v>97</v>
      </c>
      <c r="B481" t="s">
        <v>98</v>
      </c>
      <c r="C481">
        <v>12</v>
      </c>
      <c r="D481">
        <v>3</v>
      </c>
      <c r="E481">
        <v>3</v>
      </c>
      <c r="F481" s="5" t="str">
        <f>IFERROR(ROUND(COUNTIFS(Tasks!$A:$A,$A481,Tasks!$B:$B,$B481,Tasks!$I:$I,"&lt;="&amp;INDEX(Weeks!$D:$D,MATCH($C481,Weeks!$A:$A,0)),Tasks!$I:$I,"&lt;&gt;")/COUNTIFS(Tasks!$A:$A,$A481,Tasks!$B:$B,$B481)*100,0),"")</f>
        <v/>
      </c>
      <c r="G481" s="5" t="str">
        <f>IFERROR(ROUND(COUNTIFS(Tasks!$A:$A,$A481,Tasks!$B:$B,$B481,Tasks!$H:$H,"&lt;="&amp;INDEX(Weeks!$D:$D,MATCH($C481,Weeks!$A:$A,0)))/COUNTIFS(Tasks!$A:$A,$A481,Tasks!$B:$B,$B481)*100,0),"")</f>
        <v/>
      </c>
      <c r="H481" t="s">
        <v>92</v>
      </c>
      <c r="I481">
        <f>COUNTIFS(Tasks!$A:$A,$A481,Tasks!$B:$B,$B481,Tasks!$G:$G,"&lt;="&amp;INDEX(Weeks!$D:$D,MATCH($C481,Weeks!$A:$A,0)))-COUNTIFS(Tasks!$A:$A,$A481,Tasks!$B:$B,$B481,Tasks!$I:$I,"&lt;="&amp;INDEX(Weeks!$D:$D,MATCH($C481,Weeks!$A:$A,0)),Tasks!$I:$I,"&lt;&gt;")</f>
        <v>0</v>
      </c>
      <c r="J481">
        <f>COUNTIFS(Tasks!$A:$A,$A481,Tasks!$B:$B,$B481,
Tasks!$I:$I,"&gt;"&amp;IFERROR(INDEX(Weeks!$D:$D,MATCH($C481-1,Weeks!$A:$A,0)),DATE(2000,1,1)),
Tasks!$I:$I,"&lt;="&amp;INDEX(Weeks!$D:$D,MATCH($C481,Weeks!$A:$A,0)),
Tasks!$I:$I,"&lt;&gt;")</f>
        <v>0</v>
      </c>
    </row>
    <row r="482" spans="1:10" ht="15" customHeight="1">
      <c r="A482" t="s">
        <v>97</v>
      </c>
      <c r="B482" t="s">
        <v>98</v>
      </c>
      <c r="C482">
        <v>13</v>
      </c>
      <c r="D482">
        <v>3</v>
      </c>
      <c r="E482">
        <v>4</v>
      </c>
      <c r="F482" s="5" t="str">
        <f>IFERROR(ROUND(COUNTIFS(Tasks!$A:$A,$A482,Tasks!$B:$B,$B482,Tasks!$I:$I,"&lt;="&amp;INDEX(Weeks!$D:$D,MATCH($C482,Weeks!$A:$A,0)),Tasks!$I:$I,"&lt;&gt;")/COUNTIFS(Tasks!$A:$A,$A482,Tasks!$B:$B,$B482)*100,0),"")</f>
        <v/>
      </c>
      <c r="G482" s="5" t="str">
        <f>IFERROR(ROUND(COUNTIFS(Tasks!$A:$A,$A482,Tasks!$B:$B,$B482,Tasks!$H:$H,"&lt;="&amp;INDEX(Weeks!$D:$D,MATCH($C482,Weeks!$A:$A,0)))/COUNTIFS(Tasks!$A:$A,$A482,Tasks!$B:$B,$B482)*100,0),"")</f>
        <v/>
      </c>
      <c r="H482" t="s">
        <v>92</v>
      </c>
      <c r="I482">
        <f>COUNTIFS(Tasks!$A:$A,$A482,Tasks!$B:$B,$B482,Tasks!$G:$G,"&lt;="&amp;INDEX(Weeks!$D:$D,MATCH($C482,Weeks!$A:$A,0)))-COUNTIFS(Tasks!$A:$A,$A482,Tasks!$B:$B,$B482,Tasks!$I:$I,"&lt;="&amp;INDEX(Weeks!$D:$D,MATCH($C482,Weeks!$A:$A,0)),Tasks!$I:$I,"&lt;&gt;")</f>
        <v>0</v>
      </c>
      <c r="J482">
        <f>COUNTIFS(Tasks!$A:$A,$A482,Tasks!$B:$B,$B482,
Tasks!$I:$I,"&gt;"&amp;IFERROR(INDEX(Weeks!$D:$D,MATCH($C482-1,Weeks!$A:$A,0)),DATE(2000,1,1)),
Tasks!$I:$I,"&lt;="&amp;INDEX(Weeks!$D:$D,MATCH($C482,Weeks!$A:$A,0)),
Tasks!$I:$I,"&lt;&gt;")</f>
        <v>0</v>
      </c>
    </row>
    <row r="483" spans="1:10" ht="15" customHeight="1">
      <c r="A483" t="s">
        <v>97</v>
      </c>
      <c r="B483" t="s">
        <v>98</v>
      </c>
      <c r="C483">
        <v>14</v>
      </c>
      <c r="D483">
        <v>4</v>
      </c>
      <c r="E483">
        <v>1</v>
      </c>
      <c r="F483" s="5" t="str">
        <f>IFERROR(ROUND(COUNTIFS(Tasks!$A:$A,$A483,Tasks!$B:$B,$B483,Tasks!$I:$I,"&lt;="&amp;INDEX(Weeks!$D:$D,MATCH($C483,Weeks!$A:$A,0)),Tasks!$I:$I,"&lt;&gt;")/COUNTIFS(Tasks!$A:$A,$A483,Tasks!$B:$B,$B483)*100,0),"")</f>
        <v/>
      </c>
      <c r="G483" s="5" t="str">
        <f>IFERROR(ROUND(COUNTIFS(Tasks!$A:$A,$A483,Tasks!$B:$B,$B483,Tasks!$H:$H,"&lt;="&amp;INDEX(Weeks!$D:$D,MATCH($C483,Weeks!$A:$A,0)))/COUNTIFS(Tasks!$A:$A,$A483,Tasks!$B:$B,$B483)*100,0),"")</f>
        <v/>
      </c>
      <c r="H483" t="s">
        <v>92</v>
      </c>
      <c r="I483">
        <f>COUNTIFS(Tasks!$A:$A,$A483,Tasks!$B:$B,$B483,Tasks!$G:$G,"&lt;="&amp;INDEX(Weeks!$D:$D,MATCH($C483,Weeks!$A:$A,0)))-COUNTIFS(Tasks!$A:$A,$A483,Tasks!$B:$B,$B483,Tasks!$I:$I,"&lt;="&amp;INDEX(Weeks!$D:$D,MATCH($C483,Weeks!$A:$A,0)),Tasks!$I:$I,"&lt;&gt;")</f>
        <v>0</v>
      </c>
      <c r="J483">
        <f>COUNTIFS(Tasks!$A:$A,$A483,Tasks!$B:$B,$B483,
Tasks!$I:$I,"&gt;"&amp;IFERROR(INDEX(Weeks!$D:$D,MATCH($C483-1,Weeks!$A:$A,0)),DATE(2000,1,1)),
Tasks!$I:$I,"&lt;="&amp;INDEX(Weeks!$D:$D,MATCH($C483,Weeks!$A:$A,0)),
Tasks!$I:$I,"&lt;&gt;")</f>
        <v>0</v>
      </c>
    </row>
    <row r="484" spans="1:10" ht="15" customHeight="1">
      <c r="A484" t="s">
        <v>97</v>
      </c>
      <c r="B484" t="s">
        <v>98</v>
      </c>
      <c r="C484">
        <v>15</v>
      </c>
      <c r="D484">
        <v>4</v>
      </c>
      <c r="E484">
        <v>2</v>
      </c>
      <c r="F484" s="5" t="str">
        <f>IFERROR(ROUND(COUNTIFS(Tasks!$A:$A,$A484,Tasks!$B:$B,$B484,Tasks!$I:$I,"&lt;="&amp;INDEX(Weeks!$D:$D,MATCH($C484,Weeks!$A:$A,0)),Tasks!$I:$I,"&lt;&gt;")/COUNTIFS(Tasks!$A:$A,$A484,Tasks!$B:$B,$B484)*100,0),"")</f>
        <v/>
      </c>
      <c r="G484" s="5" t="str">
        <f>IFERROR(ROUND(COUNTIFS(Tasks!$A:$A,$A484,Tasks!$B:$B,$B484,Tasks!$H:$H,"&lt;="&amp;INDEX(Weeks!$D:$D,MATCH($C484,Weeks!$A:$A,0)))/COUNTIFS(Tasks!$A:$A,$A484,Tasks!$B:$B,$B484)*100,0),"")</f>
        <v/>
      </c>
      <c r="H484" t="s">
        <v>92</v>
      </c>
      <c r="I484">
        <f>COUNTIFS(Tasks!$A:$A,$A484,Tasks!$B:$B,$B484,Tasks!$G:$G,"&lt;="&amp;INDEX(Weeks!$D:$D,MATCH($C484,Weeks!$A:$A,0)))-COUNTIFS(Tasks!$A:$A,$A484,Tasks!$B:$B,$B484,Tasks!$I:$I,"&lt;="&amp;INDEX(Weeks!$D:$D,MATCH($C484,Weeks!$A:$A,0)),Tasks!$I:$I,"&lt;&gt;")</f>
        <v>0</v>
      </c>
      <c r="J484">
        <f>COUNTIFS(Tasks!$A:$A,$A484,Tasks!$B:$B,$B484,
Tasks!$I:$I,"&gt;"&amp;IFERROR(INDEX(Weeks!$D:$D,MATCH($C484-1,Weeks!$A:$A,0)),DATE(2000,1,1)),
Tasks!$I:$I,"&lt;="&amp;INDEX(Weeks!$D:$D,MATCH($C484,Weeks!$A:$A,0)),
Tasks!$I:$I,"&lt;&gt;")</f>
        <v>0</v>
      </c>
    </row>
    <row r="485" spans="1:10" ht="15" customHeight="1">
      <c r="A485" t="s">
        <v>97</v>
      </c>
      <c r="B485" t="s">
        <v>98</v>
      </c>
      <c r="C485">
        <v>16</v>
      </c>
      <c r="D485">
        <v>4</v>
      </c>
      <c r="E485">
        <v>3</v>
      </c>
      <c r="F485" s="5" t="str">
        <f>IFERROR(ROUND(COUNTIFS(Tasks!$A:$A,$A485,Tasks!$B:$B,$B485,Tasks!$I:$I,"&lt;="&amp;INDEX(Weeks!$D:$D,MATCH($C485,Weeks!$A:$A,0)),Tasks!$I:$I,"&lt;&gt;")/COUNTIFS(Tasks!$A:$A,$A485,Tasks!$B:$B,$B485)*100,0),"")</f>
        <v/>
      </c>
      <c r="G485" s="5" t="str">
        <f>IFERROR(ROUND(COUNTIFS(Tasks!$A:$A,$A485,Tasks!$B:$B,$B485,Tasks!$H:$H,"&lt;="&amp;INDEX(Weeks!$D:$D,MATCH($C485,Weeks!$A:$A,0)))/COUNTIFS(Tasks!$A:$A,$A485,Tasks!$B:$B,$B485)*100,0),"")</f>
        <v/>
      </c>
      <c r="H485" t="s">
        <v>92</v>
      </c>
      <c r="I485">
        <f>COUNTIFS(Tasks!$A:$A,$A485,Tasks!$B:$B,$B485,Tasks!$G:$G,"&lt;="&amp;INDEX(Weeks!$D:$D,MATCH($C485,Weeks!$A:$A,0)))-COUNTIFS(Tasks!$A:$A,$A485,Tasks!$B:$B,$B485,Tasks!$I:$I,"&lt;="&amp;INDEX(Weeks!$D:$D,MATCH($C485,Weeks!$A:$A,0)),Tasks!$I:$I,"&lt;&gt;")</f>
        <v>0</v>
      </c>
      <c r="J485">
        <f>COUNTIFS(Tasks!$A:$A,$A485,Tasks!$B:$B,$B485,
Tasks!$I:$I,"&gt;"&amp;IFERROR(INDEX(Weeks!$D:$D,MATCH($C485-1,Weeks!$A:$A,0)),DATE(2000,1,1)),
Tasks!$I:$I,"&lt;="&amp;INDEX(Weeks!$D:$D,MATCH($C485,Weeks!$A:$A,0)),
Tasks!$I:$I,"&lt;&gt;")</f>
        <v>0</v>
      </c>
    </row>
    <row r="486" spans="1:10" ht="15" customHeight="1">
      <c r="A486" t="s">
        <v>97</v>
      </c>
      <c r="B486" t="s">
        <v>98</v>
      </c>
      <c r="C486">
        <v>17</v>
      </c>
      <c r="D486">
        <v>4</v>
      </c>
      <c r="E486">
        <v>4</v>
      </c>
      <c r="F486" s="5" t="str">
        <f>IFERROR(ROUND(COUNTIFS(Tasks!$A:$A,$A486,Tasks!$B:$B,$B486,Tasks!$I:$I,"&lt;="&amp;INDEX(Weeks!$D:$D,MATCH($C486,Weeks!$A:$A,0)),Tasks!$I:$I,"&lt;&gt;")/COUNTIFS(Tasks!$A:$A,$A486,Tasks!$B:$B,$B486)*100,0),"")</f>
        <v/>
      </c>
      <c r="G486" s="5" t="str">
        <f>IFERROR(ROUND(COUNTIFS(Tasks!$A:$A,$A486,Tasks!$B:$B,$B486,Tasks!$H:$H,"&lt;="&amp;INDEX(Weeks!$D:$D,MATCH($C486,Weeks!$A:$A,0)))/COUNTIFS(Tasks!$A:$A,$A486,Tasks!$B:$B,$B486)*100,0),"")</f>
        <v/>
      </c>
      <c r="H486" t="s">
        <v>92</v>
      </c>
      <c r="I486">
        <f>COUNTIFS(Tasks!$A:$A,$A486,Tasks!$B:$B,$B486,Tasks!$G:$G,"&lt;="&amp;INDEX(Weeks!$D:$D,MATCH($C486,Weeks!$A:$A,0)))-COUNTIFS(Tasks!$A:$A,$A486,Tasks!$B:$B,$B486,Tasks!$I:$I,"&lt;="&amp;INDEX(Weeks!$D:$D,MATCH($C486,Weeks!$A:$A,0)),Tasks!$I:$I,"&lt;&gt;")</f>
        <v>0</v>
      </c>
      <c r="J486">
        <f>COUNTIFS(Tasks!$A:$A,$A486,Tasks!$B:$B,$B486,
Tasks!$I:$I,"&gt;"&amp;IFERROR(INDEX(Weeks!$D:$D,MATCH($C486-1,Weeks!$A:$A,0)),DATE(2000,1,1)),
Tasks!$I:$I,"&lt;="&amp;INDEX(Weeks!$D:$D,MATCH($C486,Weeks!$A:$A,0)),
Tasks!$I:$I,"&lt;&gt;")</f>
        <v>0</v>
      </c>
    </row>
    <row r="487" spans="1:10" ht="15" customHeight="1">
      <c r="A487" t="s">
        <v>97</v>
      </c>
      <c r="B487" t="s">
        <v>98</v>
      </c>
      <c r="C487">
        <v>18</v>
      </c>
      <c r="D487">
        <v>5</v>
      </c>
      <c r="E487">
        <v>1</v>
      </c>
      <c r="F487" s="5" t="str">
        <f>IFERROR(ROUND(COUNTIFS(Tasks!$A:$A,$A487,Tasks!$B:$B,$B487,Tasks!$I:$I,"&lt;="&amp;INDEX(Weeks!$D:$D,MATCH($C487,Weeks!$A:$A,0)),Tasks!$I:$I,"&lt;&gt;")/COUNTIFS(Tasks!$A:$A,$A487,Tasks!$B:$B,$B487)*100,0),"")</f>
        <v/>
      </c>
      <c r="G487" s="5" t="str">
        <f>IFERROR(ROUND(COUNTIFS(Tasks!$A:$A,$A487,Tasks!$B:$B,$B487,Tasks!$H:$H,"&lt;="&amp;INDEX(Weeks!$D:$D,MATCH($C487,Weeks!$A:$A,0)))/COUNTIFS(Tasks!$A:$A,$A487,Tasks!$B:$B,$B487)*100,0),"")</f>
        <v/>
      </c>
      <c r="H487" t="s">
        <v>92</v>
      </c>
      <c r="I487">
        <f>COUNTIFS(Tasks!$A:$A,$A487,Tasks!$B:$B,$B487,Tasks!$G:$G,"&lt;="&amp;INDEX(Weeks!$D:$D,MATCH($C487,Weeks!$A:$A,0)))-COUNTIFS(Tasks!$A:$A,$A487,Tasks!$B:$B,$B487,Tasks!$I:$I,"&lt;="&amp;INDEX(Weeks!$D:$D,MATCH($C487,Weeks!$A:$A,0)),Tasks!$I:$I,"&lt;&gt;")</f>
        <v>0</v>
      </c>
      <c r="J487">
        <f>COUNTIFS(Tasks!$A:$A,$A487,Tasks!$B:$B,$B487,
Tasks!$I:$I,"&gt;"&amp;IFERROR(INDEX(Weeks!$D:$D,MATCH($C487-1,Weeks!$A:$A,0)),DATE(2000,1,1)),
Tasks!$I:$I,"&lt;="&amp;INDEX(Weeks!$D:$D,MATCH($C487,Weeks!$A:$A,0)),
Tasks!$I:$I,"&lt;&gt;")</f>
        <v>0</v>
      </c>
    </row>
    <row r="488" spans="1:10" ht="15" customHeight="1">
      <c r="A488" t="s">
        <v>97</v>
      </c>
      <c r="B488" t="s">
        <v>98</v>
      </c>
      <c r="C488">
        <v>19</v>
      </c>
      <c r="D488">
        <v>5</v>
      </c>
      <c r="E488">
        <v>2</v>
      </c>
      <c r="F488" s="5" t="str">
        <f>IFERROR(ROUND(COUNTIFS(Tasks!$A:$A,$A488,Tasks!$B:$B,$B488,Tasks!$I:$I,"&lt;="&amp;INDEX(Weeks!$D:$D,MATCH($C488,Weeks!$A:$A,0)),Tasks!$I:$I,"&lt;&gt;")/COUNTIFS(Tasks!$A:$A,$A488,Tasks!$B:$B,$B488)*100,0),"")</f>
        <v/>
      </c>
      <c r="G488" s="5" t="str">
        <f>IFERROR(ROUND(COUNTIFS(Tasks!$A:$A,$A488,Tasks!$B:$B,$B488,Tasks!$H:$H,"&lt;="&amp;INDEX(Weeks!$D:$D,MATCH($C488,Weeks!$A:$A,0)))/COUNTIFS(Tasks!$A:$A,$A488,Tasks!$B:$B,$B488)*100,0),"")</f>
        <v/>
      </c>
      <c r="H488" t="s">
        <v>92</v>
      </c>
      <c r="I488">
        <f>COUNTIFS(Tasks!$A:$A,$A488,Tasks!$B:$B,$B488,Tasks!$G:$G,"&lt;="&amp;INDEX(Weeks!$D:$D,MATCH($C488,Weeks!$A:$A,0)))-COUNTIFS(Tasks!$A:$A,$A488,Tasks!$B:$B,$B488,Tasks!$I:$I,"&lt;="&amp;INDEX(Weeks!$D:$D,MATCH($C488,Weeks!$A:$A,0)),Tasks!$I:$I,"&lt;&gt;")</f>
        <v>0</v>
      </c>
      <c r="J488">
        <f>COUNTIFS(Tasks!$A:$A,$A488,Tasks!$B:$B,$B488,
Tasks!$I:$I,"&gt;"&amp;IFERROR(INDEX(Weeks!$D:$D,MATCH($C488-1,Weeks!$A:$A,0)),DATE(2000,1,1)),
Tasks!$I:$I,"&lt;="&amp;INDEX(Weeks!$D:$D,MATCH($C488,Weeks!$A:$A,0)),
Tasks!$I:$I,"&lt;&gt;")</f>
        <v>0</v>
      </c>
    </row>
    <row r="489" spans="1:10" ht="15" customHeight="1">
      <c r="A489" t="s">
        <v>97</v>
      </c>
      <c r="B489" t="s">
        <v>98</v>
      </c>
      <c r="C489">
        <v>20</v>
      </c>
      <c r="D489">
        <v>5</v>
      </c>
      <c r="E489">
        <v>3</v>
      </c>
      <c r="F489" s="5" t="str">
        <f>IFERROR(ROUND(COUNTIFS(Tasks!$A:$A,$A489,Tasks!$B:$B,$B489,Tasks!$I:$I,"&lt;="&amp;INDEX(Weeks!$D:$D,MATCH($C489,Weeks!$A:$A,0)),Tasks!$I:$I,"&lt;&gt;")/COUNTIFS(Tasks!$A:$A,$A489,Tasks!$B:$B,$B489)*100,0),"")</f>
        <v/>
      </c>
      <c r="G489" s="5" t="str">
        <f>IFERROR(ROUND(COUNTIFS(Tasks!$A:$A,$A489,Tasks!$B:$B,$B489,Tasks!$H:$H,"&lt;="&amp;INDEX(Weeks!$D:$D,MATCH($C489,Weeks!$A:$A,0)))/COUNTIFS(Tasks!$A:$A,$A489,Tasks!$B:$B,$B489)*100,0),"")</f>
        <v/>
      </c>
      <c r="H489" t="s">
        <v>92</v>
      </c>
      <c r="I489">
        <f>COUNTIFS(Tasks!$A:$A,$A489,Tasks!$B:$B,$B489,Tasks!$G:$G,"&lt;="&amp;INDEX(Weeks!$D:$D,MATCH($C489,Weeks!$A:$A,0)))-COUNTIFS(Tasks!$A:$A,$A489,Tasks!$B:$B,$B489,Tasks!$I:$I,"&lt;="&amp;INDEX(Weeks!$D:$D,MATCH($C489,Weeks!$A:$A,0)),Tasks!$I:$I,"&lt;&gt;")</f>
        <v>0</v>
      </c>
      <c r="J489">
        <f>COUNTIFS(Tasks!$A:$A,$A489,Tasks!$B:$B,$B489,
Tasks!$I:$I,"&gt;"&amp;IFERROR(INDEX(Weeks!$D:$D,MATCH($C489-1,Weeks!$A:$A,0)),DATE(2000,1,1)),
Tasks!$I:$I,"&lt;="&amp;INDEX(Weeks!$D:$D,MATCH($C489,Weeks!$A:$A,0)),
Tasks!$I:$I,"&lt;&gt;")</f>
        <v>0</v>
      </c>
    </row>
    <row r="490" spans="1:10" ht="15" customHeight="1">
      <c r="A490" t="s">
        <v>97</v>
      </c>
      <c r="B490" t="s">
        <v>98</v>
      </c>
      <c r="C490">
        <v>21</v>
      </c>
      <c r="D490">
        <v>5</v>
      </c>
      <c r="E490">
        <v>4</v>
      </c>
      <c r="F490" s="5" t="str">
        <f>IFERROR(ROUND(COUNTIFS(Tasks!$A:$A,$A490,Tasks!$B:$B,$B490,Tasks!$I:$I,"&lt;="&amp;INDEX(Weeks!$D:$D,MATCH($C490,Weeks!$A:$A,0)),Tasks!$I:$I,"&lt;&gt;")/COUNTIFS(Tasks!$A:$A,$A490,Tasks!$B:$B,$B490)*100,0),"")</f>
        <v/>
      </c>
      <c r="G490" s="5" t="str">
        <f>IFERROR(ROUND(COUNTIFS(Tasks!$A:$A,$A490,Tasks!$B:$B,$B490,Tasks!$H:$H,"&lt;="&amp;INDEX(Weeks!$D:$D,MATCH($C490,Weeks!$A:$A,0)))/COUNTIFS(Tasks!$A:$A,$A490,Tasks!$B:$B,$B490)*100,0),"")</f>
        <v/>
      </c>
      <c r="H490" t="s">
        <v>92</v>
      </c>
      <c r="I490">
        <f>COUNTIFS(Tasks!$A:$A,$A490,Tasks!$B:$B,$B490,Tasks!$G:$G,"&lt;="&amp;INDEX(Weeks!$D:$D,MATCH($C490,Weeks!$A:$A,0)))-COUNTIFS(Tasks!$A:$A,$A490,Tasks!$B:$B,$B490,Tasks!$I:$I,"&lt;="&amp;INDEX(Weeks!$D:$D,MATCH($C490,Weeks!$A:$A,0)),Tasks!$I:$I,"&lt;&gt;")</f>
        <v>0</v>
      </c>
      <c r="J490">
        <f>COUNTIFS(Tasks!$A:$A,$A490,Tasks!$B:$B,$B490,
Tasks!$I:$I,"&gt;"&amp;IFERROR(INDEX(Weeks!$D:$D,MATCH($C490-1,Weeks!$A:$A,0)),DATE(2000,1,1)),
Tasks!$I:$I,"&lt;="&amp;INDEX(Weeks!$D:$D,MATCH($C490,Weeks!$A:$A,0)),
Tasks!$I:$I,"&lt;&gt;")</f>
        <v>0</v>
      </c>
    </row>
    <row r="491" spans="1:10" ht="15" customHeight="1">
      <c r="A491" t="s">
        <v>97</v>
      </c>
      <c r="B491" t="s">
        <v>98</v>
      </c>
      <c r="C491">
        <v>22</v>
      </c>
      <c r="D491">
        <v>5</v>
      </c>
      <c r="E491">
        <v>5</v>
      </c>
      <c r="F491" s="5" t="str">
        <f>IFERROR(ROUND(COUNTIFS(Tasks!$A:$A,$A491,Tasks!$B:$B,$B491,Tasks!$I:$I,"&lt;="&amp;INDEX(Weeks!$D:$D,MATCH($C491,Weeks!$A:$A,0)),Tasks!$I:$I,"&lt;&gt;")/COUNTIFS(Tasks!$A:$A,$A491,Tasks!$B:$B,$B491)*100,0),"")</f>
        <v/>
      </c>
      <c r="G491" s="5" t="str">
        <f>IFERROR(ROUND(COUNTIFS(Tasks!$A:$A,$A491,Tasks!$B:$B,$B491,Tasks!$H:$H,"&lt;="&amp;INDEX(Weeks!$D:$D,MATCH($C491,Weeks!$A:$A,0)))/COUNTIFS(Tasks!$A:$A,$A491,Tasks!$B:$B,$B491)*100,0),"")</f>
        <v/>
      </c>
      <c r="H491" t="s">
        <v>92</v>
      </c>
      <c r="I491">
        <f>COUNTIFS(Tasks!$A:$A,$A491,Tasks!$B:$B,$B491,Tasks!$G:$G,"&lt;="&amp;INDEX(Weeks!$D:$D,MATCH($C491,Weeks!$A:$A,0)))-COUNTIFS(Tasks!$A:$A,$A491,Tasks!$B:$B,$B491,Tasks!$I:$I,"&lt;="&amp;INDEX(Weeks!$D:$D,MATCH($C491,Weeks!$A:$A,0)),Tasks!$I:$I,"&lt;&gt;")</f>
        <v>0</v>
      </c>
      <c r="J491">
        <f>COUNTIFS(Tasks!$A:$A,$A491,Tasks!$B:$B,$B491,
Tasks!$I:$I,"&gt;"&amp;IFERROR(INDEX(Weeks!$D:$D,MATCH($C491-1,Weeks!$A:$A,0)),DATE(2000,1,1)),
Tasks!$I:$I,"&lt;="&amp;INDEX(Weeks!$D:$D,MATCH($C491,Weeks!$A:$A,0)),
Tasks!$I:$I,"&lt;&gt;")</f>
        <v>0</v>
      </c>
    </row>
    <row r="492" spans="1:10" ht="15" customHeight="1">
      <c r="A492" t="s">
        <v>97</v>
      </c>
      <c r="B492" t="s">
        <v>98</v>
      </c>
      <c r="C492">
        <v>23</v>
      </c>
      <c r="D492">
        <v>6</v>
      </c>
      <c r="E492">
        <v>1</v>
      </c>
      <c r="F492" s="5" t="str">
        <f>IFERROR(ROUND(COUNTIFS(Tasks!$A:$A,$A492,Tasks!$B:$B,$B492,Tasks!$I:$I,"&lt;="&amp;INDEX(Weeks!$D:$D,MATCH($C492,Weeks!$A:$A,0)),Tasks!$I:$I,"&lt;&gt;")/COUNTIFS(Tasks!$A:$A,$A492,Tasks!$B:$B,$B492)*100,0),"")</f>
        <v/>
      </c>
      <c r="G492" s="5" t="str">
        <f>IFERROR(ROUND(COUNTIFS(Tasks!$A:$A,$A492,Tasks!$B:$B,$B492,Tasks!$H:$H,"&lt;="&amp;INDEX(Weeks!$D:$D,MATCH($C492,Weeks!$A:$A,0)))/COUNTIFS(Tasks!$A:$A,$A492,Tasks!$B:$B,$B492)*100,0),"")</f>
        <v/>
      </c>
      <c r="H492" t="s">
        <v>92</v>
      </c>
      <c r="I492">
        <f>COUNTIFS(Tasks!$A:$A,$A492,Tasks!$B:$B,$B492,Tasks!$G:$G,"&lt;="&amp;INDEX(Weeks!$D:$D,MATCH($C492,Weeks!$A:$A,0)))-COUNTIFS(Tasks!$A:$A,$A492,Tasks!$B:$B,$B492,Tasks!$I:$I,"&lt;="&amp;INDEX(Weeks!$D:$D,MATCH($C492,Weeks!$A:$A,0)),Tasks!$I:$I,"&lt;&gt;")</f>
        <v>0</v>
      </c>
      <c r="J492">
        <f>COUNTIFS(Tasks!$A:$A,$A492,Tasks!$B:$B,$B492,
Tasks!$I:$I,"&gt;"&amp;IFERROR(INDEX(Weeks!$D:$D,MATCH($C492-1,Weeks!$A:$A,0)),DATE(2000,1,1)),
Tasks!$I:$I,"&lt;="&amp;INDEX(Weeks!$D:$D,MATCH($C492,Weeks!$A:$A,0)),
Tasks!$I:$I,"&lt;&gt;")</f>
        <v>0</v>
      </c>
    </row>
    <row r="493" spans="1:10" ht="15" customHeight="1">
      <c r="A493" t="s">
        <v>97</v>
      </c>
      <c r="B493" t="s">
        <v>98</v>
      </c>
      <c r="C493">
        <v>24</v>
      </c>
      <c r="D493">
        <v>6</v>
      </c>
      <c r="E493">
        <v>2</v>
      </c>
      <c r="F493" s="5" t="str">
        <f>IFERROR(ROUND(COUNTIFS(Tasks!$A:$A,$A493,Tasks!$B:$B,$B493,Tasks!$I:$I,"&lt;="&amp;INDEX(Weeks!$D:$D,MATCH($C493,Weeks!$A:$A,0)),Tasks!$I:$I,"&lt;&gt;")/COUNTIFS(Tasks!$A:$A,$A493,Tasks!$B:$B,$B493)*100,0),"")</f>
        <v/>
      </c>
      <c r="G493" s="5" t="str">
        <f>IFERROR(ROUND(COUNTIFS(Tasks!$A:$A,$A493,Tasks!$B:$B,$B493,Tasks!$H:$H,"&lt;="&amp;INDEX(Weeks!$D:$D,MATCH($C493,Weeks!$A:$A,0)))/COUNTIFS(Tasks!$A:$A,$A493,Tasks!$B:$B,$B493)*100,0),"")</f>
        <v/>
      </c>
      <c r="H493" t="s">
        <v>92</v>
      </c>
      <c r="I493">
        <f>COUNTIFS(Tasks!$A:$A,$A493,Tasks!$B:$B,$B493,Tasks!$G:$G,"&lt;="&amp;INDEX(Weeks!$D:$D,MATCH($C493,Weeks!$A:$A,0)))-COUNTIFS(Tasks!$A:$A,$A493,Tasks!$B:$B,$B493,Tasks!$I:$I,"&lt;="&amp;INDEX(Weeks!$D:$D,MATCH($C493,Weeks!$A:$A,0)),Tasks!$I:$I,"&lt;&gt;")</f>
        <v>0</v>
      </c>
      <c r="J493">
        <f>COUNTIFS(Tasks!$A:$A,$A493,Tasks!$B:$B,$B493,
Tasks!$I:$I,"&gt;"&amp;IFERROR(INDEX(Weeks!$D:$D,MATCH($C493-1,Weeks!$A:$A,0)),DATE(2000,1,1)),
Tasks!$I:$I,"&lt;="&amp;INDEX(Weeks!$D:$D,MATCH($C493,Weeks!$A:$A,0)),
Tasks!$I:$I,"&lt;&gt;")</f>
        <v>0</v>
      </c>
    </row>
    <row r="494" spans="1:10" ht="15" customHeight="1">
      <c r="A494" t="s">
        <v>97</v>
      </c>
      <c r="B494" t="s">
        <v>98</v>
      </c>
      <c r="C494">
        <v>25</v>
      </c>
      <c r="D494">
        <v>6</v>
      </c>
      <c r="E494">
        <v>3</v>
      </c>
      <c r="F494" s="5" t="str">
        <f>IFERROR(ROUND(COUNTIFS(Tasks!$A:$A,$A494,Tasks!$B:$B,$B494,Tasks!$I:$I,"&lt;="&amp;INDEX(Weeks!$D:$D,MATCH($C494,Weeks!$A:$A,0)),Tasks!$I:$I,"&lt;&gt;")/COUNTIFS(Tasks!$A:$A,$A494,Tasks!$B:$B,$B494)*100,0),"")</f>
        <v/>
      </c>
      <c r="G494" s="5" t="str">
        <f>IFERROR(ROUND(COUNTIFS(Tasks!$A:$A,$A494,Tasks!$B:$B,$B494,Tasks!$H:$H,"&lt;="&amp;INDEX(Weeks!$D:$D,MATCH($C494,Weeks!$A:$A,0)))/COUNTIFS(Tasks!$A:$A,$A494,Tasks!$B:$B,$B494)*100,0),"")</f>
        <v/>
      </c>
      <c r="I494">
        <f>COUNTIFS(Tasks!$A:$A,$A494,Tasks!$B:$B,$B494,Tasks!$G:$G,"&lt;="&amp;INDEX(Weeks!$D:$D,MATCH($C494,Weeks!$A:$A,0)))-COUNTIFS(Tasks!$A:$A,$A494,Tasks!$B:$B,$B494,Tasks!$I:$I,"&lt;="&amp;INDEX(Weeks!$D:$D,MATCH($C494,Weeks!$A:$A,0)),Tasks!$I:$I,"&lt;&gt;")</f>
        <v>0</v>
      </c>
      <c r="J494">
        <f>COUNTIFS(Tasks!$A:$A,$A494,Tasks!$B:$B,$B494,
Tasks!$I:$I,"&gt;"&amp;IFERROR(INDEX(Weeks!$D:$D,MATCH($C494-1,Weeks!$A:$A,0)),DATE(2000,1,1)),
Tasks!$I:$I,"&lt;="&amp;INDEX(Weeks!$D:$D,MATCH($C494,Weeks!$A:$A,0)),
Tasks!$I:$I,"&lt;&gt;")</f>
        <v>0</v>
      </c>
    </row>
    <row r="495" spans="1:10" ht="15" customHeight="1">
      <c r="A495" t="s">
        <v>97</v>
      </c>
      <c r="B495" t="s">
        <v>98</v>
      </c>
      <c r="C495">
        <v>26</v>
      </c>
      <c r="D495">
        <v>6</v>
      </c>
      <c r="E495">
        <v>4</v>
      </c>
      <c r="F495" s="5" t="str">
        <f>IFERROR(ROUND(COUNTIFS(Tasks!$A:$A,$A495,Tasks!$B:$B,$B495,Tasks!$I:$I,"&lt;="&amp;INDEX(Weeks!$D:$D,MATCH($C495,Weeks!$A:$A,0)),Tasks!$I:$I,"&lt;&gt;")/COUNTIFS(Tasks!$A:$A,$A495,Tasks!$B:$B,$B495)*100,0),"")</f>
        <v/>
      </c>
      <c r="G495" s="5" t="str">
        <f>IFERROR(ROUND(COUNTIFS(Tasks!$A:$A,$A495,Tasks!$B:$B,$B495,Tasks!$H:$H,"&lt;="&amp;INDEX(Weeks!$D:$D,MATCH($C495,Weeks!$A:$A,0)))/COUNTIFS(Tasks!$A:$A,$A495,Tasks!$B:$B,$B495)*100,0),"")</f>
        <v/>
      </c>
      <c r="I495">
        <f>COUNTIFS(Tasks!$A:$A,$A495,Tasks!$B:$B,$B495,Tasks!$G:$G,"&lt;="&amp;INDEX(Weeks!$D:$D,MATCH($C495,Weeks!$A:$A,0)))-COUNTIFS(Tasks!$A:$A,$A495,Tasks!$B:$B,$B495,Tasks!$I:$I,"&lt;="&amp;INDEX(Weeks!$D:$D,MATCH($C495,Weeks!$A:$A,0)),Tasks!$I:$I,"&lt;&gt;")</f>
        <v>0</v>
      </c>
      <c r="J495">
        <f>COUNTIFS(Tasks!$A:$A,$A495,Tasks!$B:$B,$B495,
Tasks!$I:$I,"&gt;"&amp;IFERROR(INDEX(Weeks!$D:$D,MATCH($C495-1,Weeks!$A:$A,0)),DATE(2000,1,1)),
Tasks!$I:$I,"&lt;="&amp;INDEX(Weeks!$D:$D,MATCH($C495,Weeks!$A:$A,0)),
Tasks!$I:$I,"&lt;&gt;")</f>
        <v>0</v>
      </c>
    </row>
    <row r="496" spans="1:10" ht="15" customHeight="1">
      <c r="A496" t="s">
        <v>97</v>
      </c>
      <c r="B496" t="s">
        <v>98</v>
      </c>
      <c r="C496">
        <v>27</v>
      </c>
      <c r="D496">
        <v>7</v>
      </c>
      <c r="E496">
        <v>1</v>
      </c>
      <c r="F496" s="5" t="str">
        <f>IFERROR(ROUND(COUNTIFS(Tasks!$A:$A,$A496,Tasks!$B:$B,$B496,Tasks!$I:$I,"&lt;="&amp;INDEX(Weeks!$D:$D,MATCH($C496,Weeks!$A:$A,0)),Tasks!$I:$I,"&lt;&gt;")/COUNTIFS(Tasks!$A:$A,$A496,Tasks!$B:$B,$B496)*100,0),"")</f>
        <v/>
      </c>
      <c r="G496" s="5" t="str">
        <f>IFERROR(ROUND(COUNTIFS(Tasks!$A:$A,$A496,Tasks!$B:$B,$B496,Tasks!$H:$H,"&lt;="&amp;INDEX(Weeks!$D:$D,MATCH($C496,Weeks!$A:$A,0)))/COUNTIFS(Tasks!$A:$A,$A496,Tasks!$B:$B,$B496)*100,0),"")</f>
        <v/>
      </c>
      <c r="I496">
        <f>COUNTIFS(Tasks!$A:$A,$A496,Tasks!$B:$B,$B496,Tasks!$G:$G,"&lt;="&amp;INDEX(Weeks!$D:$D,MATCH($C496,Weeks!$A:$A,0)))-COUNTIFS(Tasks!$A:$A,$A496,Tasks!$B:$B,$B496,Tasks!$I:$I,"&lt;="&amp;INDEX(Weeks!$D:$D,MATCH($C496,Weeks!$A:$A,0)),Tasks!$I:$I,"&lt;&gt;")</f>
        <v>0</v>
      </c>
      <c r="J496">
        <f>COUNTIFS(Tasks!$A:$A,$A496,Tasks!$B:$B,$B496,
Tasks!$I:$I,"&gt;"&amp;IFERROR(INDEX(Weeks!$D:$D,MATCH($C496-1,Weeks!$A:$A,0)),DATE(2000,1,1)),
Tasks!$I:$I,"&lt;="&amp;INDEX(Weeks!$D:$D,MATCH($C496,Weeks!$A:$A,0)),
Tasks!$I:$I,"&lt;&gt;")</f>
        <v>0</v>
      </c>
    </row>
    <row r="497" spans="1:10" ht="15" customHeight="1">
      <c r="A497" t="s">
        <v>97</v>
      </c>
      <c r="B497" t="s">
        <v>98</v>
      </c>
      <c r="C497">
        <v>28</v>
      </c>
      <c r="D497">
        <v>7</v>
      </c>
      <c r="E497">
        <v>2</v>
      </c>
      <c r="F497" s="5" t="str">
        <f>IFERROR(ROUND(COUNTIFS(Tasks!$A:$A,$A497,Tasks!$B:$B,$B497,Tasks!$I:$I,"&lt;="&amp;INDEX(Weeks!$D:$D,MATCH($C497,Weeks!$A:$A,0)),Tasks!$I:$I,"&lt;&gt;")/COUNTIFS(Tasks!$A:$A,$A497,Tasks!$B:$B,$B497)*100,0),"")</f>
        <v/>
      </c>
      <c r="G497" s="5" t="str">
        <f>IFERROR(ROUND(COUNTIFS(Tasks!$A:$A,$A497,Tasks!$B:$B,$B497,Tasks!$H:$H,"&lt;="&amp;INDEX(Weeks!$D:$D,MATCH($C497,Weeks!$A:$A,0)))/COUNTIFS(Tasks!$A:$A,$A497,Tasks!$B:$B,$B497)*100,0),"")</f>
        <v/>
      </c>
      <c r="I497">
        <f>COUNTIFS(Tasks!$A:$A,$A497,Tasks!$B:$B,$B497,Tasks!$G:$G,"&lt;="&amp;INDEX(Weeks!$D:$D,MATCH($C497,Weeks!$A:$A,0)))-COUNTIFS(Tasks!$A:$A,$A497,Tasks!$B:$B,$B497,Tasks!$I:$I,"&lt;="&amp;INDEX(Weeks!$D:$D,MATCH($C497,Weeks!$A:$A,0)),Tasks!$I:$I,"&lt;&gt;")</f>
        <v>0</v>
      </c>
      <c r="J497">
        <f>COUNTIFS(Tasks!$A:$A,$A497,Tasks!$B:$B,$B497,
Tasks!$I:$I,"&gt;"&amp;IFERROR(INDEX(Weeks!$D:$D,MATCH($C497-1,Weeks!$A:$A,0)),DATE(2000,1,1)),
Tasks!$I:$I,"&lt;="&amp;INDEX(Weeks!$D:$D,MATCH($C497,Weeks!$A:$A,0)),
Tasks!$I:$I,"&lt;&gt;")</f>
        <v>0</v>
      </c>
    </row>
    <row r="498" spans="1:10" ht="15" customHeight="1">
      <c r="A498" t="s">
        <v>97</v>
      </c>
      <c r="B498" t="s">
        <v>98</v>
      </c>
      <c r="C498">
        <v>29</v>
      </c>
      <c r="D498">
        <v>7</v>
      </c>
      <c r="E498">
        <v>3</v>
      </c>
      <c r="F498" s="5" t="str">
        <f>IFERROR(ROUND(COUNTIFS(Tasks!$A:$A,$A498,Tasks!$B:$B,$B498,Tasks!$I:$I,"&lt;="&amp;INDEX(Weeks!$D:$D,MATCH($C498,Weeks!$A:$A,0)),Tasks!$I:$I,"&lt;&gt;")/COUNTIFS(Tasks!$A:$A,$A498,Tasks!$B:$B,$B498)*100,0),"")</f>
        <v/>
      </c>
      <c r="G498" s="5" t="str">
        <f>IFERROR(ROUND(COUNTIFS(Tasks!$A:$A,$A498,Tasks!$B:$B,$B498,Tasks!$H:$H,"&lt;="&amp;INDEX(Weeks!$D:$D,MATCH($C498,Weeks!$A:$A,0)))/COUNTIFS(Tasks!$A:$A,$A498,Tasks!$B:$B,$B498)*100,0),"")</f>
        <v/>
      </c>
      <c r="I498">
        <f>COUNTIFS(Tasks!$A:$A,$A498,Tasks!$B:$B,$B498,Tasks!$G:$G,"&lt;="&amp;INDEX(Weeks!$D:$D,MATCH($C498,Weeks!$A:$A,0)))-COUNTIFS(Tasks!$A:$A,$A498,Tasks!$B:$B,$B498,Tasks!$I:$I,"&lt;="&amp;INDEX(Weeks!$D:$D,MATCH($C498,Weeks!$A:$A,0)),Tasks!$I:$I,"&lt;&gt;")</f>
        <v>0</v>
      </c>
      <c r="J498">
        <f>COUNTIFS(Tasks!$A:$A,$A498,Tasks!$B:$B,$B498,
Tasks!$I:$I,"&gt;"&amp;IFERROR(INDEX(Weeks!$D:$D,MATCH($C498-1,Weeks!$A:$A,0)),DATE(2000,1,1)),
Tasks!$I:$I,"&lt;="&amp;INDEX(Weeks!$D:$D,MATCH($C498,Weeks!$A:$A,0)),
Tasks!$I:$I,"&lt;&gt;")</f>
        <v>0</v>
      </c>
    </row>
    <row r="499" spans="1:10" ht="15" customHeight="1">
      <c r="A499" t="s">
        <v>97</v>
      </c>
      <c r="B499" t="s">
        <v>98</v>
      </c>
      <c r="C499">
        <v>30</v>
      </c>
      <c r="D499">
        <v>7</v>
      </c>
      <c r="E499">
        <v>4</v>
      </c>
      <c r="F499" s="5" t="str">
        <f>IFERROR(ROUND(COUNTIFS(Tasks!$A:$A,$A499,Tasks!$B:$B,$B499,Tasks!$I:$I,"&lt;="&amp;INDEX(Weeks!$D:$D,MATCH($C499,Weeks!$A:$A,0)),Tasks!$I:$I,"&lt;&gt;")/COUNTIFS(Tasks!$A:$A,$A499,Tasks!$B:$B,$B499)*100,0),"")</f>
        <v/>
      </c>
      <c r="G499" s="5" t="str">
        <f>IFERROR(ROUND(COUNTIFS(Tasks!$A:$A,$A499,Tasks!$B:$B,$B499,Tasks!$H:$H,"&lt;="&amp;INDEX(Weeks!$D:$D,MATCH($C499,Weeks!$A:$A,0)))/COUNTIFS(Tasks!$A:$A,$A499,Tasks!$B:$B,$B499)*100,0),"")</f>
        <v/>
      </c>
      <c r="I499">
        <f>COUNTIFS(Tasks!$A:$A,$A499,Tasks!$B:$B,$B499,Tasks!$G:$G,"&lt;="&amp;INDEX(Weeks!$D:$D,MATCH($C499,Weeks!$A:$A,0)))-COUNTIFS(Tasks!$A:$A,$A499,Tasks!$B:$B,$B499,Tasks!$I:$I,"&lt;="&amp;INDEX(Weeks!$D:$D,MATCH($C499,Weeks!$A:$A,0)),Tasks!$I:$I,"&lt;&gt;")</f>
        <v>0</v>
      </c>
      <c r="J499">
        <f>COUNTIFS(Tasks!$A:$A,$A499,Tasks!$B:$B,$B499,
Tasks!$I:$I,"&gt;"&amp;IFERROR(INDEX(Weeks!$D:$D,MATCH($C499-1,Weeks!$A:$A,0)),DATE(2000,1,1)),
Tasks!$I:$I,"&lt;="&amp;INDEX(Weeks!$D:$D,MATCH($C499,Weeks!$A:$A,0)),
Tasks!$I:$I,"&lt;&gt;")</f>
        <v>0</v>
      </c>
    </row>
    <row r="500" spans="1:10" ht="15" customHeight="1">
      <c r="A500" t="s">
        <v>97</v>
      </c>
      <c r="B500" t="s">
        <v>98</v>
      </c>
      <c r="C500">
        <v>31</v>
      </c>
      <c r="D500">
        <v>8</v>
      </c>
      <c r="E500">
        <v>1</v>
      </c>
      <c r="F500" s="5" t="str">
        <f>IFERROR(ROUND(COUNTIFS(Tasks!$A:$A,$A500,Tasks!$B:$B,$B500,Tasks!$I:$I,"&lt;="&amp;INDEX(Weeks!$D:$D,MATCH($C500,Weeks!$A:$A,0)),Tasks!$I:$I,"&lt;&gt;")/COUNTIFS(Tasks!$A:$A,$A500,Tasks!$B:$B,$B500)*100,0),"")</f>
        <v/>
      </c>
      <c r="G500" s="5" t="str">
        <f>IFERROR(ROUND(COUNTIFS(Tasks!$A:$A,$A500,Tasks!$B:$B,$B500,Tasks!$H:$H,"&lt;="&amp;INDEX(Weeks!$D:$D,MATCH($C500,Weeks!$A:$A,0)))/COUNTIFS(Tasks!$A:$A,$A500,Tasks!$B:$B,$B500)*100,0),"")</f>
        <v/>
      </c>
      <c r="I500">
        <f>COUNTIFS(Tasks!$A:$A,$A500,Tasks!$B:$B,$B500,Tasks!$G:$G,"&lt;="&amp;INDEX(Weeks!$D:$D,MATCH($C500,Weeks!$A:$A,0)))-COUNTIFS(Tasks!$A:$A,$A500,Tasks!$B:$B,$B500,Tasks!$I:$I,"&lt;="&amp;INDEX(Weeks!$D:$D,MATCH($C500,Weeks!$A:$A,0)),Tasks!$I:$I,"&lt;&gt;")</f>
        <v>0</v>
      </c>
      <c r="J500">
        <f>COUNTIFS(Tasks!$A:$A,$A500,Tasks!$B:$B,$B500,
Tasks!$I:$I,"&gt;"&amp;IFERROR(INDEX(Weeks!$D:$D,MATCH($C500-1,Weeks!$A:$A,0)),DATE(2000,1,1)),
Tasks!$I:$I,"&lt;="&amp;INDEX(Weeks!$D:$D,MATCH($C500,Weeks!$A:$A,0)),
Tasks!$I:$I,"&lt;&gt;")</f>
        <v>0</v>
      </c>
    </row>
    <row r="501" spans="1:10" ht="15" customHeight="1">
      <c r="A501" t="s">
        <v>97</v>
      </c>
      <c r="B501" t="s">
        <v>98</v>
      </c>
      <c r="C501">
        <v>32</v>
      </c>
      <c r="D501">
        <v>8</v>
      </c>
      <c r="E501">
        <v>2</v>
      </c>
      <c r="F501" s="5" t="str">
        <f>IFERROR(ROUND(COUNTIFS(Tasks!$A:$A,$A501,Tasks!$B:$B,$B501,Tasks!$I:$I,"&lt;="&amp;INDEX(Weeks!$D:$D,MATCH($C501,Weeks!$A:$A,0)),Tasks!$I:$I,"&lt;&gt;")/COUNTIFS(Tasks!$A:$A,$A501,Tasks!$B:$B,$B501)*100,0),"")</f>
        <v/>
      </c>
      <c r="G501" s="5" t="str">
        <f>IFERROR(ROUND(COUNTIFS(Tasks!$A:$A,$A501,Tasks!$B:$B,$B501,Tasks!$H:$H,"&lt;="&amp;INDEX(Weeks!$D:$D,MATCH($C501,Weeks!$A:$A,0)))/COUNTIFS(Tasks!$A:$A,$A501,Tasks!$B:$B,$B501)*100,0),"")</f>
        <v/>
      </c>
      <c r="I501">
        <f>COUNTIFS(Tasks!$A:$A,$A501,Tasks!$B:$B,$B501,Tasks!$G:$G,"&lt;="&amp;INDEX(Weeks!$D:$D,MATCH($C501,Weeks!$A:$A,0)))-COUNTIFS(Tasks!$A:$A,$A501,Tasks!$B:$B,$B501,Tasks!$I:$I,"&lt;="&amp;INDEX(Weeks!$D:$D,MATCH($C501,Weeks!$A:$A,0)),Tasks!$I:$I,"&lt;&gt;")</f>
        <v>0</v>
      </c>
      <c r="J501">
        <f>COUNTIFS(Tasks!$A:$A,$A501,Tasks!$B:$B,$B501,
Tasks!$I:$I,"&gt;"&amp;IFERROR(INDEX(Weeks!$D:$D,MATCH($C501-1,Weeks!$A:$A,0)),DATE(2000,1,1)),
Tasks!$I:$I,"&lt;="&amp;INDEX(Weeks!$D:$D,MATCH($C501,Weeks!$A:$A,0)),
Tasks!$I:$I,"&lt;&gt;")</f>
        <v>0</v>
      </c>
    </row>
    <row r="502" spans="1:10" ht="15" customHeight="1">
      <c r="A502" t="s">
        <v>97</v>
      </c>
      <c r="B502" t="s">
        <v>98</v>
      </c>
      <c r="C502">
        <v>33</v>
      </c>
      <c r="D502">
        <v>8</v>
      </c>
      <c r="E502">
        <v>3</v>
      </c>
      <c r="F502" s="5" t="str">
        <f>IFERROR(ROUND(COUNTIFS(Tasks!$A:$A,$A502,Tasks!$B:$B,$B502,Tasks!$I:$I,"&lt;="&amp;INDEX(Weeks!$D:$D,MATCH($C502,Weeks!$A:$A,0)),Tasks!$I:$I,"&lt;&gt;")/COUNTIFS(Tasks!$A:$A,$A502,Tasks!$B:$B,$B502)*100,0),"")</f>
        <v/>
      </c>
      <c r="G502" s="5" t="str">
        <f>IFERROR(ROUND(COUNTIFS(Tasks!$A:$A,$A502,Tasks!$B:$B,$B502,Tasks!$H:$H,"&lt;="&amp;INDEX(Weeks!$D:$D,MATCH($C502,Weeks!$A:$A,0)))/COUNTIFS(Tasks!$A:$A,$A502,Tasks!$B:$B,$B502)*100,0),"")</f>
        <v/>
      </c>
      <c r="I502">
        <f>COUNTIFS(Tasks!$A:$A,$A502,Tasks!$B:$B,$B502,Tasks!$G:$G,"&lt;="&amp;INDEX(Weeks!$D:$D,MATCH($C502,Weeks!$A:$A,0)))-COUNTIFS(Tasks!$A:$A,$A502,Tasks!$B:$B,$B502,Tasks!$I:$I,"&lt;="&amp;INDEX(Weeks!$D:$D,MATCH($C502,Weeks!$A:$A,0)),Tasks!$I:$I,"&lt;&gt;")</f>
        <v>0</v>
      </c>
      <c r="J502">
        <f>COUNTIFS(Tasks!$A:$A,$A502,Tasks!$B:$B,$B502,
Tasks!$I:$I,"&gt;"&amp;IFERROR(INDEX(Weeks!$D:$D,MATCH($C502-1,Weeks!$A:$A,0)),DATE(2000,1,1)),
Tasks!$I:$I,"&lt;="&amp;INDEX(Weeks!$D:$D,MATCH($C502,Weeks!$A:$A,0)),
Tasks!$I:$I,"&lt;&gt;")</f>
        <v>0</v>
      </c>
    </row>
    <row r="503" spans="1:10" ht="15" customHeight="1">
      <c r="A503" t="s">
        <v>97</v>
      </c>
      <c r="B503" t="s">
        <v>98</v>
      </c>
      <c r="C503">
        <v>34</v>
      </c>
      <c r="D503">
        <v>8</v>
      </c>
      <c r="E503">
        <v>4</v>
      </c>
      <c r="F503" s="5" t="str">
        <f>IFERROR(ROUND(COUNTIFS(Tasks!$A:$A,$A503,Tasks!$B:$B,$B503,Tasks!$I:$I,"&lt;="&amp;INDEX(Weeks!$D:$D,MATCH($C503,Weeks!$A:$A,0)),Tasks!$I:$I,"&lt;&gt;")/COUNTIFS(Tasks!$A:$A,$A503,Tasks!$B:$B,$B503)*100,0),"")</f>
        <v/>
      </c>
      <c r="G503" s="5" t="str">
        <f>IFERROR(ROUND(COUNTIFS(Tasks!$A:$A,$A503,Tasks!$B:$B,$B503,Tasks!$H:$H,"&lt;="&amp;INDEX(Weeks!$D:$D,MATCH($C503,Weeks!$A:$A,0)))/COUNTIFS(Tasks!$A:$A,$A503,Tasks!$B:$B,$B503)*100,0),"")</f>
        <v/>
      </c>
      <c r="I503">
        <f>COUNTIFS(Tasks!$A:$A,$A503,Tasks!$B:$B,$B503,Tasks!$G:$G,"&lt;="&amp;INDEX(Weeks!$D:$D,MATCH($C503,Weeks!$A:$A,0)))-COUNTIFS(Tasks!$A:$A,$A503,Tasks!$B:$B,$B503,Tasks!$I:$I,"&lt;="&amp;INDEX(Weeks!$D:$D,MATCH($C503,Weeks!$A:$A,0)),Tasks!$I:$I,"&lt;&gt;")</f>
        <v>0</v>
      </c>
      <c r="J503">
        <f>COUNTIFS(Tasks!$A:$A,$A503,Tasks!$B:$B,$B503,
Tasks!$I:$I,"&gt;"&amp;IFERROR(INDEX(Weeks!$D:$D,MATCH($C503-1,Weeks!$A:$A,0)),DATE(2000,1,1)),
Tasks!$I:$I,"&lt;="&amp;INDEX(Weeks!$D:$D,MATCH($C503,Weeks!$A:$A,0)),
Tasks!$I:$I,"&lt;&gt;")</f>
        <v>0</v>
      </c>
    </row>
    <row r="504" spans="1:10" ht="15" customHeight="1">
      <c r="A504" t="s">
        <v>97</v>
      </c>
      <c r="B504" t="s">
        <v>98</v>
      </c>
      <c r="C504">
        <v>35</v>
      </c>
      <c r="D504">
        <v>8</v>
      </c>
      <c r="E504">
        <v>5</v>
      </c>
      <c r="F504" s="5" t="str">
        <f>IFERROR(ROUND(COUNTIFS(Tasks!$A:$A,$A504,Tasks!$B:$B,$B504,Tasks!$I:$I,"&lt;="&amp;INDEX(Weeks!$D:$D,MATCH($C504,Weeks!$A:$A,0)),Tasks!$I:$I,"&lt;&gt;")/COUNTIFS(Tasks!$A:$A,$A504,Tasks!$B:$B,$B504)*100,0),"")</f>
        <v/>
      </c>
      <c r="G504" s="5" t="str">
        <f>IFERROR(ROUND(COUNTIFS(Tasks!$A:$A,$A504,Tasks!$B:$B,$B504,Tasks!$H:$H,"&lt;="&amp;INDEX(Weeks!$D:$D,MATCH($C504,Weeks!$A:$A,0)))/COUNTIFS(Tasks!$A:$A,$A504,Tasks!$B:$B,$B504)*100,0),"")</f>
        <v/>
      </c>
      <c r="I504">
        <f>COUNTIFS(Tasks!$A:$A,$A504,Tasks!$B:$B,$B504,Tasks!$G:$G,"&lt;="&amp;INDEX(Weeks!$D:$D,MATCH($C504,Weeks!$A:$A,0)))-COUNTIFS(Tasks!$A:$A,$A504,Tasks!$B:$B,$B504,Tasks!$I:$I,"&lt;="&amp;INDEX(Weeks!$D:$D,MATCH($C504,Weeks!$A:$A,0)),Tasks!$I:$I,"&lt;&gt;")</f>
        <v>0</v>
      </c>
      <c r="J504">
        <f>COUNTIFS(Tasks!$A:$A,$A504,Tasks!$B:$B,$B504,
Tasks!$I:$I,"&gt;"&amp;IFERROR(INDEX(Weeks!$D:$D,MATCH($C504-1,Weeks!$A:$A,0)),DATE(2000,1,1)),
Tasks!$I:$I,"&lt;="&amp;INDEX(Weeks!$D:$D,MATCH($C504,Weeks!$A:$A,0)),
Tasks!$I:$I,"&lt;&gt;")</f>
        <v>0</v>
      </c>
    </row>
    <row r="505" spans="1:10" ht="15" customHeight="1">
      <c r="A505" t="s">
        <v>97</v>
      </c>
      <c r="B505" t="s">
        <v>98</v>
      </c>
      <c r="C505">
        <v>36</v>
      </c>
      <c r="D505">
        <v>9</v>
      </c>
      <c r="E505">
        <v>1</v>
      </c>
      <c r="F505" s="5" t="str">
        <f>IFERROR(ROUND(COUNTIFS(Tasks!$A:$A,$A505,Tasks!$B:$B,$B505,Tasks!$I:$I,"&lt;="&amp;INDEX(Weeks!$D:$D,MATCH($C505,Weeks!$A:$A,0)),Tasks!$I:$I,"&lt;&gt;")/COUNTIFS(Tasks!$A:$A,$A505,Tasks!$B:$B,$B505)*100,0),"")</f>
        <v/>
      </c>
      <c r="G505" s="5" t="str">
        <f>IFERROR(ROUND(COUNTIFS(Tasks!$A:$A,$A505,Tasks!$B:$B,$B505,Tasks!$H:$H,"&lt;="&amp;INDEX(Weeks!$D:$D,MATCH($C505,Weeks!$A:$A,0)))/COUNTIFS(Tasks!$A:$A,$A505,Tasks!$B:$B,$B505)*100,0),"")</f>
        <v/>
      </c>
      <c r="I505">
        <f>COUNTIFS(Tasks!$A:$A,$A505,Tasks!$B:$B,$B505,Tasks!$G:$G,"&lt;="&amp;INDEX(Weeks!$D:$D,MATCH($C505,Weeks!$A:$A,0)))-COUNTIFS(Tasks!$A:$A,$A505,Tasks!$B:$B,$B505,Tasks!$I:$I,"&lt;="&amp;INDEX(Weeks!$D:$D,MATCH($C505,Weeks!$A:$A,0)),Tasks!$I:$I,"&lt;&gt;")</f>
        <v>0</v>
      </c>
      <c r="J505">
        <f>COUNTIFS(Tasks!$A:$A,$A505,Tasks!$B:$B,$B505,
Tasks!$I:$I,"&gt;"&amp;IFERROR(INDEX(Weeks!$D:$D,MATCH($C505-1,Weeks!$A:$A,0)),DATE(2000,1,1)),
Tasks!$I:$I,"&lt;="&amp;INDEX(Weeks!$D:$D,MATCH($C505,Weeks!$A:$A,0)),
Tasks!$I:$I,"&lt;&gt;")</f>
        <v>0</v>
      </c>
    </row>
    <row r="506" spans="1:10" ht="15" customHeight="1">
      <c r="A506" t="s">
        <v>97</v>
      </c>
      <c r="B506" t="s">
        <v>98</v>
      </c>
      <c r="C506">
        <v>37</v>
      </c>
      <c r="D506">
        <v>9</v>
      </c>
      <c r="E506">
        <v>2</v>
      </c>
      <c r="F506" s="5" t="str">
        <f>IFERROR(ROUND(COUNTIFS(Tasks!$A:$A,$A506,Tasks!$B:$B,$B506,Tasks!$I:$I,"&lt;="&amp;INDEX(Weeks!$D:$D,MATCH($C506,Weeks!$A:$A,0)),Tasks!$I:$I,"&lt;&gt;")/COUNTIFS(Tasks!$A:$A,$A506,Tasks!$B:$B,$B506)*100,0),"")</f>
        <v/>
      </c>
      <c r="G506" s="5" t="str">
        <f>IFERROR(ROUND(COUNTIFS(Tasks!$A:$A,$A506,Tasks!$B:$B,$B506,Tasks!$H:$H,"&lt;="&amp;INDEX(Weeks!$D:$D,MATCH($C506,Weeks!$A:$A,0)))/COUNTIFS(Tasks!$A:$A,$A506,Tasks!$B:$B,$B506)*100,0),"")</f>
        <v/>
      </c>
      <c r="I506">
        <f>COUNTIFS(Tasks!$A:$A,$A506,Tasks!$B:$B,$B506,Tasks!$G:$G,"&lt;="&amp;INDEX(Weeks!$D:$D,MATCH($C506,Weeks!$A:$A,0)))-COUNTIFS(Tasks!$A:$A,$A506,Tasks!$B:$B,$B506,Tasks!$I:$I,"&lt;="&amp;INDEX(Weeks!$D:$D,MATCH($C506,Weeks!$A:$A,0)),Tasks!$I:$I,"&lt;&gt;")</f>
        <v>0</v>
      </c>
      <c r="J506">
        <f>COUNTIFS(Tasks!$A:$A,$A506,Tasks!$B:$B,$B506,
Tasks!$I:$I,"&gt;"&amp;IFERROR(INDEX(Weeks!$D:$D,MATCH($C506-1,Weeks!$A:$A,0)),DATE(2000,1,1)),
Tasks!$I:$I,"&lt;="&amp;INDEX(Weeks!$D:$D,MATCH($C506,Weeks!$A:$A,0)),
Tasks!$I:$I,"&lt;&gt;")</f>
        <v>0</v>
      </c>
    </row>
    <row r="507" spans="1:10" ht="15" customHeight="1">
      <c r="A507" t="s">
        <v>97</v>
      </c>
      <c r="B507" t="s">
        <v>98</v>
      </c>
      <c r="C507">
        <v>38</v>
      </c>
      <c r="D507">
        <v>9</v>
      </c>
      <c r="E507">
        <v>3</v>
      </c>
      <c r="F507" s="5" t="str">
        <f>IFERROR(ROUND(COUNTIFS(Tasks!$A:$A,$A507,Tasks!$B:$B,$B507,Tasks!$I:$I,"&lt;="&amp;INDEX(Weeks!$D:$D,MATCH($C507,Weeks!$A:$A,0)),Tasks!$I:$I,"&lt;&gt;")/COUNTIFS(Tasks!$A:$A,$A507,Tasks!$B:$B,$B507)*100,0),"")</f>
        <v/>
      </c>
      <c r="G507" s="5" t="str">
        <f>IFERROR(ROUND(COUNTIFS(Tasks!$A:$A,$A507,Tasks!$B:$B,$B507,Tasks!$H:$H,"&lt;="&amp;INDEX(Weeks!$D:$D,MATCH($C507,Weeks!$A:$A,0)))/COUNTIFS(Tasks!$A:$A,$A507,Tasks!$B:$B,$B507)*100,0),"")</f>
        <v/>
      </c>
      <c r="I507">
        <f>COUNTIFS(Tasks!$A:$A,$A507,Tasks!$B:$B,$B507,Tasks!$G:$G,"&lt;="&amp;INDEX(Weeks!$D:$D,MATCH($C507,Weeks!$A:$A,0)))-COUNTIFS(Tasks!$A:$A,$A507,Tasks!$B:$B,$B507,Tasks!$I:$I,"&lt;="&amp;INDEX(Weeks!$D:$D,MATCH($C507,Weeks!$A:$A,0)),Tasks!$I:$I,"&lt;&gt;")</f>
        <v>0</v>
      </c>
      <c r="J507">
        <f>COUNTIFS(Tasks!$A:$A,$A507,Tasks!$B:$B,$B507,
Tasks!$I:$I,"&gt;"&amp;IFERROR(INDEX(Weeks!$D:$D,MATCH($C507-1,Weeks!$A:$A,0)),DATE(2000,1,1)),
Tasks!$I:$I,"&lt;="&amp;INDEX(Weeks!$D:$D,MATCH($C507,Weeks!$A:$A,0)),
Tasks!$I:$I,"&lt;&gt;")</f>
        <v>0</v>
      </c>
    </row>
    <row r="508" spans="1:10" ht="15" customHeight="1">
      <c r="A508" t="s">
        <v>97</v>
      </c>
      <c r="B508" t="s">
        <v>98</v>
      </c>
      <c r="C508">
        <v>39</v>
      </c>
      <c r="D508">
        <v>9</v>
      </c>
      <c r="E508">
        <v>4</v>
      </c>
      <c r="F508" s="5" t="str">
        <f>IFERROR(ROUND(COUNTIFS(Tasks!$A:$A,$A508,Tasks!$B:$B,$B508,Tasks!$I:$I,"&lt;="&amp;INDEX(Weeks!$D:$D,MATCH($C508,Weeks!$A:$A,0)),Tasks!$I:$I,"&lt;&gt;")/COUNTIFS(Tasks!$A:$A,$A508,Tasks!$B:$B,$B508)*100,0),"")</f>
        <v/>
      </c>
      <c r="G508" s="5" t="str">
        <f>IFERROR(ROUND(COUNTIFS(Tasks!$A:$A,$A508,Tasks!$B:$B,$B508,Tasks!$H:$H,"&lt;="&amp;INDEX(Weeks!$D:$D,MATCH($C508,Weeks!$A:$A,0)))/COUNTIFS(Tasks!$A:$A,$A508,Tasks!$B:$B,$B508)*100,0),"")</f>
        <v/>
      </c>
      <c r="I508">
        <f>COUNTIFS(Tasks!$A:$A,$A508,Tasks!$B:$B,$B508,Tasks!$G:$G,"&lt;="&amp;INDEX(Weeks!$D:$D,MATCH($C508,Weeks!$A:$A,0)))-COUNTIFS(Tasks!$A:$A,$A508,Tasks!$B:$B,$B508,Tasks!$I:$I,"&lt;="&amp;INDEX(Weeks!$D:$D,MATCH($C508,Weeks!$A:$A,0)),Tasks!$I:$I,"&lt;&gt;")</f>
        <v>0</v>
      </c>
      <c r="J508">
        <f>COUNTIFS(Tasks!$A:$A,$A508,Tasks!$B:$B,$B508,
Tasks!$I:$I,"&gt;"&amp;IFERROR(INDEX(Weeks!$D:$D,MATCH($C508-1,Weeks!$A:$A,0)),DATE(2000,1,1)),
Tasks!$I:$I,"&lt;="&amp;INDEX(Weeks!$D:$D,MATCH($C508,Weeks!$A:$A,0)),
Tasks!$I:$I,"&lt;&gt;")</f>
        <v>0</v>
      </c>
    </row>
    <row r="509" spans="1:10" ht="15" customHeight="1">
      <c r="A509" t="s">
        <v>97</v>
      </c>
      <c r="B509" t="s">
        <v>98</v>
      </c>
      <c r="C509">
        <v>40</v>
      </c>
      <c r="D509">
        <v>10</v>
      </c>
      <c r="E509">
        <v>1</v>
      </c>
      <c r="F509" s="5" t="str">
        <f>IFERROR(ROUND(COUNTIFS(Tasks!$A:$A,$A509,Tasks!$B:$B,$B509,Tasks!$I:$I,"&lt;="&amp;INDEX(Weeks!$D:$D,MATCH($C509,Weeks!$A:$A,0)),Tasks!$I:$I,"&lt;&gt;")/COUNTIFS(Tasks!$A:$A,$A509,Tasks!$B:$B,$B509)*100,0),"")</f>
        <v/>
      </c>
      <c r="G509" s="5" t="str">
        <f>IFERROR(ROUND(COUNTIFS(Tasks!$A:$A,$A509,Tasks!$B:$B,$B509,Tasks!$H:$H,"&lt;="&amp;INDEX(Weeks!$D:$D,MATCH($C509,Weeks!$A:$A,0)))/COUNTIFS(Tasks!$A:$A,$A509,Tasks!$B:$B,$B509)*100,0),"")</f>
        <v/>
      </c>
      <c r="I509">
        <f>COUNTIFS(Tasks!$A:$A,$A509,Tasks!$B:$B,$B509,Tasks!$G:$G,"&lt;="&amp;INDEX(Weeks!$D:$D,MATCH($C509,Weeks!$A:$A,0)))-COUNTIFS(Tasks!$A:$A,$A509,Tasks!$B:$B,$B509,Tasks!$I:$I,"&lt;="&amp;INDEX(Weeks!$D:$D,MATCH($C509,Weeks!$A:$A,0)),Tasks!$I:$I,"&lt;&gt;")</f>
        <v>0</v>
      </c>
      <c r="J509">
        <f>COUNTIFS(Tasks!$A:$A,$A509,Tasks!$B:$B,$B509,
Tasks!$I:$I,"&gt;"&amp;IFERROR(INDEX(Weeks!$D:$D,MATCH($C509-1,Weeks!$A:$A,0)),DATE(2000,1,1)),
Tasks!$I:$I,"&lt;="&amp;INDEX(Weeks!$D:$D,MATCH($C509,Weeks!$A:$A,0)),
Tasks!$I:$I,"&lt;&gt;")</f>
        <v>0</v>
      </c>
    </row>
    <row r="510" spans="1:10" ht="15" customHeight="1">
      <c r="A510" t="s">
        <v>97</v>
      </c>
      <c r="B510" t="s">
        <v>98</v>
      </c>
      <c r="C510">
        <v>41</v>
      </c>
      <c r="D510">
        <v>10</v>
      </c>
      <c r="E510">
        <v>2</v>
      </c>
      <c r="F510" s="5" t="str">
        <f>IFERROR(ROUND(COUNTIFS(Tasks!$A:$A,$A510,Tasks!$B:$B,$B510,Tasks!$I:$I,"&lt;="&amp;INDEX(Weeks!$D:$D,MATCH($C510,Weeks!$A:$A,0)),Tasks!$I:$I,"&lt;&gt;")/COUNTIFS(Tasks!$A:$A,$A510,Tasks!$B:$B,$B510)*100,0),"")</f>
        <v/>
      </c>
      <c r="G510" s="5" t="str">
        <f>IFERROR(ROUND(COUNTIFS(Tasks!$A:$A,$A510,Tasks!$B:$B,$B510,Tasks!$H:$H,"&lt;="&amp;INDEX(Weeks!$D:$D,MATCH($C510,Weeks!$A:$A,0)))/COUNTIFS(Tasks!$A:$A,$A510,Tasks!$B:$B,$B510)*100,0),"")</f>
        <v/>
      </c>
      <c r="I510">
        <f>COUNTIFS(Tasks!$A:$A,$A510,Tasks!$B:$B,$B510,Tasks!$G:$G,"&lt;="&amp;INDEX(Weeks!$D:$D,MATCH($C510,Weeks!$A:$A,0)))-COUNTIFS(Tasks!$A:$A,$A510,Tasks!$B:$B,$B510,Tasks!$I:$I,"&lt;="&amp;INDEX(Weeks!$D:$D,MATCH($C510,Weeks!$A:$A,0)),Tasks!$I:$I,"&lt;&gt;")</f>
        <v>0</v>
      </c>
      <c r="J510">
        <f>COUNTIFS(Tasks!$A:$A,$A510,Tasks!$B:$B,$B510,
Tasks!$I:$I,"&gt;"&amp;IFERROR(INDEX(Weeks!$D:$D,MATCH($C510-1,Weeks!$A:$A,0)),DATE(2000,1,1)),
Tasks!$I:$I,"&lt;="&amp;INDEX(Weeks!$D:$D,MATCH($C510,Weeks!$A:$A,0)),
Tasks!$I:$I,"&lt;&gt;")</f>
        <v>0</v>
      </c>
    </row>
    <row r="511" spans="1:10" ht="15" customHeight="1">
      <c r="A511" t="s">
        <v>97</v>
      </c>
      <c r="B511" t="s">
        <v>98</v>
      </c>
      <c r="C511">
        <v>42</v>
      </c>
      <c r="D511">
        <v>10</v>
      </c>
      <c r="E511">
        <v>3</v>
      </c>
      <c r="F511" s="5" t="str">
        <f>IFERROR(ROUND(COUNTIFS(Tasks!$A:$A,$A511,Tasks!$B:$B,$B511,Tasks!$I:$I,"&lt;="&amp;INDEX(Weeks!$D:$D,MATCH($C511,Weeks!$A:$A,0)),Tasks!$I:$I,"&lt;&gt;")/COUNTIFS(Tasks!$A:$A,$A511,Tasks!$B:$B,$B511)*100,0),"")</f>
        <v/>
      </c>
      <c r="G511" s="5" t="str">
        <f>IFERROR(ROUND(COUNTIFS(Tasks!$A:$A,$A511,Tasks!$B:$B,$B511,Tasks!$H:$H,"&lt;="&amp;INDEX(Weeks!$D:$D,MATCH($C511,Weeks!$A:$A,0)))/COUNTIFS(Tasks!$A:$A,$A511,Tasks!$B:$B,$B511)*100,0),"")</f>
        <v/>
      </c>
      <c r="I511">
        <f>COUNTIFS(Tasks!$A:$A,$A511,Tasks!$B:$B,$B511,Tasks!$G:$G,"&lt;="&amp;INDEX(Weeks!$D:$D,MATCH($C511,Weeks!$A:$A,0)))-COUNTIFS(Tasks!$A:$A,$A511,Tasks!$B:$B,$B511,Tasks!$I:$I,"&lt;="&amp;INDEX(Weeks!$D:$D,MATCH($C511,Weeks!$A:$A,0)),Tasks!$I:$I,"&lt;&gt;")</f>
        <v>0</v>
      </c>
      <c r="J511">
        <f>COUNTIFS(Tasks!$A:$A,$A511,Tasks!$B:$B,$B511,
Tasks!$I:$I,"&gt;"&amp;IFERROR(INDEX(Weeks!$D:$D,MATCH($C511-1,Weeks!$A:$A,0)),DATE(2000,1,1)),
Tasks!$I:$I,"&lt;="&amp;INDEX(Weeks!$D:$D,MATCH($C511,Weeks!$A:$A,0)),
Tasks!$I:$I,"&lt;&gt;")</f>
        <v>0</v>
      </c>
    </row>
    <row r="512" spans="1:10" ht="15" customHeight="1">
      <c r="A512" t="s">
        <v>97</v>
      </c>
      <c r="B512" t="s">
        <v>98</v>
      </c>
      <c r="C512">
        <v>43</v>
      </c>
      <c r="D512">
        <v>10</v>
      </c>
      <c r="E512">
        <v>4</v>
      </c>
      <c r="F512" s="5" t="str">
        <f>IFERROR(ROUND(COUNTIFS(Tasks!$A:$A,$A512,Tasks!$B:$B,$B512,Tasks!$I:$I,"&lt;="&amp;INDEX(Weeks!$D:$D,MATCH($C512,Weeks!$A:$A,0)),Tasks!$I:$I,"&lt;&gt;")/COUNTIFS(Tasks!$A:$A,$A512,Tasks!$B:$B,$B512)*100,0),"")</f>
        <v/>
      </c>
      <c r="G512" s="5" t="str">
        <f>IFERROR(ROUND(COUNTIFS(Tasks!$A:$A,$A512,Tasks!$B:$B,$B512,Tasks!$H:$H,"&lt;="&amp;INDEX(Weeks!$D:$D,MATCH($C512,Weeks!$A:$A,0)))/COUNTIFS(Tasks!$A:$A,$A512,Tasks!$B:$B,$B512)*100,0),"")</f>
        <v/>
      </c>
      <c r="I512">
        <f>COUNTIFS(Tasks!$A:$A,$A512,Tasks!$B:$B,$B512,Tasks!$G:$G,"&lt;="&amp;INDEX(Weeks!$D:$D,MATCH($C512,Weeks!$A:$A,0)))-COUNTIFS(Tasks!$A:$A,$A512,Tasks!$B:$B,$B512,Tasks!$I:$I,"&lt;="&amp;INDEX(Weeks!$D:$D,MATCH($C512,Weeks!$A:$A,0)),Tasks!$I:$I,"&lt;&gt;")</f>
        <v>0</v>
      </c>
      <c r="J512">
        <f>COUNTIFS(Tasks!$A:$A,$A512,Tasks!$B:$B,$B512,
Tasks!$I:$I,"&gt;"&amp;IFERROR(INDEX(Weeks!$D:$D,MATCH($C512-1,Weeks!$A:$A,0)),DATE(2000,1,1)),
Tasks!$I:$I,"&lt;="&amp;INDEX(Weeks!$D:$D,MATCH($C512,Weeks!$A:$A,0)),
Tasks!$I:$I,"&lt;&gt;")</f>
        <v>0</v>
      </c>
    </row>
    <row r="513" spans="1:10" ht="15" customHeight="1">
      <c r="A513" t="s">
        <v>97</v>
      </c>
      <c r="B513" t="s">
        <v>98</v>
      </c>
      <c r="C513">
        <v>44</v>
      </c>
      <c r="D513">
        <v>10</v>
      </c>
      <c r="E513">
        <v>5</v>
      </c>
      <c r="F513" s="5" t="str">
        <f>IFERROR(ROUND(COUNTIFS(Tasks!$A:$A,$A513,Tasks!$B:$B,$B513,Tasks!$I:$I,"&lt;="&amp;INDEX(Weeks!$D:$D,MATCH($C513,Weeks!$A:$A,0)),Tasks!$I:$I,"&lt;&gt;")/COUNTIFS(Tasks!$A:$A,$A513,Tasks!$B:$B,$B513)*100,0),"")</f>
        <v/>
      </c>
      <c r="G513" s="5" t="str">
        <f>IFERROR(ROUND(COUNTIFS(Tasks!$A:$A,$A513,Tasks!$B:$B,$B513,Tasks!$H:$H,"&lt;="&amp;INDEX(Weeks!$D:$D,MATCH($C513,Weeks!$A:$A,0)))/COUNTIFS(Tasks!$A:$A,$A513,Tasks!$B:$B,$B513)*100,0),"")</f>
        <v/>
      </c>
      <c r="I513">
        <f>COUNTIFS(Tasks!$A:$A,$A513,Tasks!$B:$B,$B513,Tasks!$G:$G,"&lt;="&amp;INDEX(Weeks!$D:$D,MATCH($C513,Weeks!$A:$A,0)))-COUNTIFS(Tasks!$A:$A,$A513,Tasks!$B:$B,$B513,Tasks!$I:$I,"&lt;="&amp;INDEX(Weeks!$D:$D,MATCH($C513,Weeks!$A:$A,0)),Tasks!$I:$I,"&lt;&gt;")</f>
        <v>0</v>
      </c>
      <c r="J513">
        <f>COUNTIFS(Tasks!$A:$A,$A513,Tasks!$B:$B,$B513,
Tasks!$I:$I,"&gt;"&amp;IFERROR(INDEX(Weeks!$D:$D,MATCH($C513-1,Weeks!$A:$A,0)),DATE(2000,1,1)),
Tasks!$I:$I,"&lt;="&amp;INDEX(Weeks!$D:$D,MATCH($C513,Weeks!$A:$A,0)),
Tasks!$I:$I,"&lt;&gt;")</f>
        <v>0</v>
      </c>
    </row>
    <row r="514" spans="1:10" ht="15" customHeight="1">
      <c r="A514" t="s">
        <v>97</v>
      </c>
      <c r="B514" t="s">
        <v>98</v>
      </c>
      <c r="C514">
        <v>45</v>
      </c>
      <c r="D514">
        <v>11</v>
      </c>
      <c r="E514">
        <v>1</v>
      </c>
      <c r="F514" s="5" t="str">
        <f>IFERROR(ROUND(COUNTIFS(Tasks!$A:$A,$A514,Tasks!$B:$B,$B514,Tasks!$I:$I,"&lt;="&amp;INDEX(Weeks!$D:$D,MATCH($C514,Weeks!$A:$A,0)),Tasks!$I:$I,"&lt;&gt;")/COUNTIFS(Tasks!$A:$A,$A514,Tasks!$B:$B,$B514)*100,0),"")</f>
        <v/>
      </c>
      <c r="G514" s="5" t="str">
        <f>IFERROR(ROUND(COUNTIFS(Tasks!$A:$A,$A514,Tasks!$B:$B,$B514,Tasks!$H:$H,"&lt;="&amp;INDEX(Weeks!$D:$D,MATCH($C514,Weeks!$A:$A,0)))/COUNTIFS(Tasks!$A:$A,$A514,Tasks!$B:$B,$B514)*100,0),"")</f>
        <v/>
      </c>
      <c r="I514">
        <f>COUNTIFS(Tasks!$A:$A,$A514,Tasks!$B:$B,$B514,Tasks!$G:$G,"&lt;="&amp;INDEX(Weeks!$D:$D,MATCH($C514,Weeks!$A:$A,0)))-COUNTIFS(Tasks!$A:$A,$A514,Tasks!$B:$B,$B514,Tasks!$I:$I,"&lt;="&amp;INDEX(Weeks!$D:$D,MATCH($C514,Weeks!$A:$A,0)),Tasks!$I:$I,"&lt;&gt;")</f>
        <v>0</v>
      </c>
      <c r="J514">
        <f>COUNTIFS(Tasks!$A:$A,$A514,Tasks!$B:$B,$B514,
Tasks!$I:$I,"&gt;"&amp;IFERROR(INDEX(Weeks!$D:$D,MATCH($C514-1,Weeks!$A:$A,0)),DATE(2000,1,1)),
Tasks!$I:$I,"&lt;="&amp;INDEX(Weeks!$D:$D,MATCH($C514,Weeks!$A:$A,0)),
Tasks!$I:$I,"&lt;&gt;")</f>
        <v>0</v>
      </c>
    </row>
    <row r="515" spans="1:10" ht="15" customHeight="1">
      <c r="A515" t="s">
        <v>97</v>
      </c>
      <c r="B515" t="s">
        <v>98</v>
      </c>
      <c r="C515">
        <v>46</v>
      </c>
      <c r="D515">
        <v>11</v>
      </c>
      <c r="E515">
        <v>2</v>
      </c>
      <c r="F515" s="5" t="str">
        <f>IFERROR(ROUND(COUNTIFS(Tasks!$A:$A,$A515,Tasks!$B:$B,$B515,Tasks!$I:$I,"&lt;="&amp;INDEX(Weeks!$D:$D,MATCH($C515,Weeks!$A:$A,0)),Tasks!$I:$I,"&lt;&gt;")/COUNTIFS(Tasks!$A:$A,$A515,Tasks!$B:$B,$B515)*100,0),"")</f>
        <v/>
      </c>
      <c r="G515" s="5" t="str">
        <f>IFERROR(ROUND(COUNTIFS(Tasks!$A:$A,$A515,Tasks!$B:$B,$B515,Tasks!$H:$H,"&lt;="&amp;INDEX(Weeks!$D:$D,MATCH($C515,Weeks!$A:$A,0)))/COUNTIFS(Tasks!$A:$A,$A515,Tasks!$B:$B,$B515)*100,0),"")</f>
        <v/>
      </c>
      <c r="I515">
        <f>COUNTIFS(Tasks!$A:$A,$A515,Tasks!$B:$B,$B515,Tasks!$G:$G,"&lt;="&amp;INDEX(Weeks!$D:$D,MATCH($C515,Weeks!$A:$A,0)))-COUNTIFS(Tasks!$A:$A,$A515,Tasks!$B:$B,$B515,Tasks!$I:$I,"&lt;="&amp;INDEX(Weeks!$D:$D,MATCH($C515,Weeks!$A:$A,0)),Tasks!$I:$I,"&lt;&gt;")</f>
        <v>0</v>
      </c>
      <c r="J515">
        <f>COUNTIFS(Tasks!$A:$A,$A515,Tasks!$B:$B,$B515,
Tasks!$I:$I,"&gt;"&amp;IFERROR(INDEX(Weeks!$D:$D,MATCH($C515-1,Weeks!$A:$A,0)),DATE(2000,1,1)),
Tasks!$I:$I,"&lt;="&amp;INDEX(Weeks!$D:$D,MATCH($C515,Weeks!$A:$A,0)),
Tasks!$I:$I,"&lt;&gt;")</f>
        <v>0</v>
      </c>
    </row>
    <row r="516" spans="1:10" ht="15" customHeight="1">
      <c r="A516" t="s">
        <v>97</v>
      </c>
      <c r="B516" t="s">
        <v>98</v>
      </c>
      <c r="C516">
        <v>47</v>
      </c>
      <c r="D516">
        <v>11</v>
      </c>
      <c r="E516">
        <v>3</v>
      </c>
      <c r="F516" s="5" t="str">
        <f>IFERROR(ROUND(COUNTIFS(Tasks!$A:$A,$A516,Tasks!$B:$B,$B516,Tasks!$I:$I,"&lt;="&amp;INDEX(Weeks!$D:$D,MATCH($C516,Weeks!$A:$A,0)),Tasks!$I:$I,"&lt;&gt;")/COUNTIFS(Tasks!$A:$A,$A516,Tasks!$B:$B,$B516)*100,0),"")</f>
        <v/>
      </c>
      <c r="G516" s="5" t="str">
        <f>IFERROR(ROUND(COUNTIFS(Tasks!$A:$A,$A516,Tasks!$B:$B,$B516,Tasks!$H:$H,"&lt;="&amp;INDEX(Weeks!$D:$D,MATCH($C516,Weeks!$A:$A,0)))/COUNTIFS(Tasks!$A:$A,$A516,Tasks!$B:$B,$B516)*100,0),"")</f>
        <v/>
      </c>
      <c r="I516">
        <f>COUNTIFS(Tasks!$A:$A,$A516,Tasks!$B:$B,$B516,Tasks!$G:$G,"&lt;="&amp;INDEX(Weeks!$D:$D,MATCH($C516,Weeks!$A:$A,0)))-COUNTIFS(Tasks!$A:$A,$A516,Tasks!$B:$B,$B516,Tasks!$I:$I,"&lt;="&amp;INDEX(Weeks!$D:$D,MATCH($C516,Weeks!$A:$A,0)),Tasks!$I:$I,"&lt;&gt;")</f>
        <v>0</v>
      </c>
      <c r="J516">
        <f>COUNTIFS(Tasks!$A:$A,$A516,Tasks!$B:$B,$B516,
Tasks!$I:$I,"&gt;"&amp;IFERROR(INDEX(Weeks!$D:$D,MATCH($C516-1,Weeks!$A:$A,0)),DATE(2000,1,1)),
Tasks!$I:$I,"&lt;="&amp;INDEX(Weeks!$D:$D,MATCH($C516,Weeks!$A:$A,0)),
Tasks!$I:$I,"&lt;&gt;")</f>
        <v>0</v>
      </c>
    </row>
    <row r="517" spans="1:10" ht="15" customHeight="1">
      <c r="A517" t="s">
        <v>97</v>
      </c>
      <c r="B517" t="s">
        <v>98</v>
      </c>
      <c r="C517">
        <v>48</v>
      </c>
      <c r="D517">
        <v>11</v>
      </c>
      <c r="E517">
        <v>4</v>
      </c>
      <c r="F517" s="5" t="str">
        <f>IFERROR(ROUND(COUNTIFS(Tasks!$A:$A,$A517,Tasks!$B:$B,$B517,Tasks!$I:$I,"&lt;="&amp;INDEX(Weeks!$D:$D,MATCH($C517,Weeks!$A:$A,0)),Tasks!$I:$I,"&lt;&gt;")/COUNTIFS(Tasks!$A:$A,$A517,Tasks!$B:$B,$B517)*100,0),"")</f>
        <v/>
      </c>
      <c r="G517" s="5" t="str">
        <f>IFERROR(ROUND(COUNTIFS(Tasks!$A:$A,$A517,Tasks!$B:$B,$B517,Tasks!$H:$H,"&lt;="&amp;INDEX(Weeks!$D:$D,MATCH($C517,Weeks!$A:$A,0)))/COUNTIFS(Tasks!$A:$A,$A517,Tasks!$B:$B,$B517)*100,0),"")</f>
        <v/>
      </c>
      <c r="I517">
        <f>COUNTIFS(Tasks!$A:$A,$A517,Tasks!$B:$B,$B517,Tasks!$G:$G,"&lt;="&amp;INDEX(Weeks!$D:$D,MATCH($C517,Weeks!$A:$A,0)))-COUNTIFS(Tasks!$A:$A,$A517,Tasks!$B:$B,$B517,Tasks!$I:$I,"&lt;="&amp;INDEX(Weeks!$D:$D,MATCH($C517,Weeks!$A:$A,0)),Tasks!$I:$I,"&lt;&gt;")</f>
        <v>0</v>
      </c>
      <c r="J517">
        <f>COUNTIFS(Tasks!$A:$A,$A517,Tasks!$B:$B,$B517,
Tasks!$I:$I,"&gt;"&amp;IFERROR(INDEX(Weeks!$D:$D,MATCH($C517-1,Weeks!$A:$A,0)),DATE(2000,1,1)),
Tasks!$I:$I,"&lt;="&amp;INDEX(Weeks!$D:$D,MATCH($C517,Weeks!$A:$A,0)),
Tasks!$I:$I,"&lt;&gt;")</f>
        <v>0</v>
      </c>
    </row>
    <row r="518" spans="1:10" ht="15" customHeight="1">
      <c r="A518" t="s">
        <v>97</v>
      </c>
      <c r="B518" t="s">
        <v>98</v>
      </c>
      <c r="C518">
        <v>49</v>
      </c>
      <c r="D518">
        <v>12</v>
      </c>
      <c r="E518">
        <v>1</v>
      </c>
      <c r="F518" s="5" t="str">
        <f>IFERROR(ROUND(COUNTIFS(Tasks!$A:$A,$A518,Tasks!$B:$B,$B518,Tasks!$I:$I,"&lt;="&amp;INDEX(Weeks!$D:$D,MATCH($C518,Weeks!$A:$A,0)),Tasks!$I:$I,"&lt;&gt;")/COUNTIFS(Tasks!$A:$A,$A518,Tasks!$B:$B,$B518)*100,0),"")</f>
        <v/>
      </c>
      <c r="G518" s="5" t="str">
        <f>IFERROR(ROUND(COUNTIFS(Tasks!$A:$A,$A518,Tasks!$B:$B,$B518,Tasks!$H:$H,"&lt;="&amp;INDEX(Weeks!$D:$D,MATCH($C518,Weeks!$A:$A,0)))/COUNTIFS(Tasks!$A:$A,$A518,Tasks!$B:$B,$B518)*100,0),"")</f>
        <v/>
      </c>
      <c r="I518">
        <f>COUNTIFS(Tasks!$A:$A,$A518,Tasks!$B:$B,$B518,Tasks!$G:$G,"&lt;="&amp;INDEX(Weeks!$D:$D,MATCH($C518,Weeks!$A:$A,0)))-COUNTIFS(Tasks!$A:$A,$A518,Tasks!$B:$B,$B518,Tasks!$I:$I,"&lt;="&amp;INDEX(Weeks!$D:$D,MATCH($C518,Weeks!$A:$A,0)),Tasks!$I:$I,"&lt;&gt;")</f>
        <v>0</v>
      </c>
      <c r="J518">
        <f>COUNTIFS(Tasks!$A:$A,$A518,Tasks!$B:$B,$B518,
Tasks!$I:$I,"&gt;"&amp;IFERROR(INDEX(Weeks!$D:$D,MATCH($C518-1,Weeks!$A:$A,0)),DATE(2000,1,1)),
Tasks!$I:$I,"&lt;="&amp;INDEX(Weeks!$D:$D,MATCH($C518,Weeks!$A:$A,0)),
Tasks!$I:$I,"&lt;&gt;")</f>
        <v>0</v>
      </c>
    </row>
    <row r="519" spans="1:10" ht="15" customHeight="1">
      <c r="A519" t="s">
        <v>97</v>
      </c>
      <c r="B519" t="s">
        <v>98</v>
      </c>
      <c r="C519">
        <v>50</v>
      </c>
      <c r="D519">
        <v>12</v>
      </c>
      <c r="E519">
        <v>2</v>
      </c>
      <c r="F519" s="5" t="str">
        <f>IFERROR(ROUND(COUNTIFS(Tasks!$A:$A,$A519,Tasks!$B:$B,$B519,Tasks!$I:$I,"&lt;="&amp;INDEX(Weeks!$D:$D,MATCH($C519,Weeks!$A:$A,0)),Tasks!$I:$I,"&lt;&gt;")/COUNTIFS(Tasks!$A:$A,$A519,Tasks!$B:$B,$B519)*100,0),"")</f>
        <v/>
      </c>
      <c r="G519" s="5" t="str">
        <f>IFERROR(ROUND(COUNTIFS(Tasks!$A:$A,$A519,Tasks!$B:$B,$B519,Tasks!$H:$H,"&lt;="&amp;INDEX(Weeks!$D:$D,MATCH($C519,Weeks!$A:$A,0)))/COUNTIFS(Tasks!$A:$A,$A519,Tasks!$B:$B,$B519)*100,0),"")</f>
        <v/>
      </c>
      <c r="I519">
        <f>COUNTIFS(Tasks!$A:$A,$A519,Tasks!$B:$B,$B519,Tasks!$G:$G,"&lt;="&amp;INDEX(Weeks!$D:$D,MATCH($C519,Weeks!$A:$A,0)))-COUNTIFS(Tasks!$A:$A,$A519,Tasks!$B:$B,$B519,Tasks!$I:$I,"&lt;="&amp;INDEX(Weeks!$D:$D,MATCH($C519,Weeks!$A:$A,0)),Tasks!$I:$I,"&lt;&gt;")</f>
        <v>0</v>
      </c>
      <c r="J519">
        <f>COUNTIFS(Tasks!$A:$A,$A519,Tasks!$B:$B,$B519,
Tasks!$I:$I,"&gt;"&amp;IFERROR(INDEX(Weeks!$D:$D,MATCH($C519-1,Weeks!$A:$A,0)),DATE(2000,1,1)),
Tasks!$I:$I,"&lt;="&amp;INDEX(Weeks!$D:$D,MATCH($C519,Weeks!$A:$A,0)),
Tasks!$I:$I,"&lt;&gt;")</f>
        <v>0</v>
      </c>
    </row>
    <row r="520" spans="1:10" ht="15" customHeight="1">
      <c r="A520" t="s">
        <v>97</v>
      </c>
      <c r="B520" t="s">
        <v>98</v>
      </c>
      <c r="C520">
        <v>51</v>
      </c>
      <c r="D520">
        <v>12</v>
      </c>
      <c r="E520">
        <v>3</v>
      </c>
      <c r="F520" s="5" t="str">
        <f>IFERROR(ROUND(COUNTIFS(Tasks!$A:$A,$A520,Tasks!$B:$B,$B520,Tasks!$I:$I,"&lt;="&amp;INDEX(Weeks!$D:$D,MATCH($C520,Weeks!$A:$A,0)),Tasks!$I:$I,"&lt;&gt;")/COUNTIFS(Tasks!$A:$A,$A520,Tasks!$B:$B,$B520)*100,0),"")</f>
        <v/>
      </c>
      <c r="G520" s="5" t="str">
        <f>IFERROR(ROUND(COUNTIFS(Tasks!$A:$A,$A520,Tasks!$B:$B,$B520,Tasks!$H:$H,"&lt;="&amp;INDEX(Weeks!$D:$D,MATCH($C520,Weeks!$A:$A,0)))/COUNTIFS(Tasks!$A:$A,$A520,Tasks!$B:$B,$B520)*100,0),"")</f>
        <v/>
      </c>
      <c r="I520">
        <f>COUNTIFS(Tasks!$A:$A,$A520,Tasks!$B:$B,$B520,Tasks!$G:$G,"&lt;="&amp;INDEX(Weeks!$D:$D,MATCH($C520,Weeks!$A:$A,0)))-COUNTIFS(Tasks!$A:$A,$A520,Tasks!$B:$B,$B520,Tasks!$I:$I,"&lt;="&amp;INDEX(Weeks!$D:$D,MATCH($C520,Weeks!$A:$A,0)),Tasks!$I:$I,"&lt;&gt;")</f>
        <v>0</v>
      </c>
      <c r="J520">
        <f>COUNTIFS(Tasks!$A:$A,$A520,Tasks!$B:$B,$B520,
Tasks!$I:$I,"&gt;"&amp;IFERROR(INDEX(Weeks!$D:$D,MATCH($C520-1,Weeks!$A:$A,0)),DATE(2000,1,1)),
Tasks!$I:$I,"&lt;="&amp;INDEX(Weeks!$D:$D,MATCH($C520,Weeks!$A:$A,0)),
Tasks!$I:$I,"&lt;&gt;")</f>
        <v>0</v>
      </c>
    </row>
    <row r="521" spans="1:10" ht="15" customHeight="1">
      <c r="A521" t="s">
        <v>97</v>
      </c>
      <c r="B521" t="s">
        <v>98</v>
      </c>
      <c r="C521">
        <v>52</v>
      </c>
      <c r="D521">
        <v>12</v>
      </c>
      <c r="E521">
        <v>4</v>
      </c>
      <c r="F521" s="5" t="str">
        <f>IFERROR(ROUND(COUNTIFS(Tasks!$A:$A,$A521,Tasks!$B:$B,$B521,Tasks!$I:$I,"&lt;="&amp;INDEX(Weeks!$D:$D,MATCH($C521,Weeks!$A:$A,0)),Tasks!$I:$I,"&lt;&gt;")/COUNTIFS(Tasks!$A:$A,$A521,Tasks!$B:$B,$B521)*100,0),"")</f>
        <v/>
      </c>
      <c r="G521" s="5" t="str">
        <f>IFERROR(ROUND(COUNTIFS(Tasks!$A:$A,$A521,Tasks!$B:$B,$B521,Tasks!$H:$H,"&lt;="&amp;INDEX(Weeks!$D:$D,MATCH($C521,Weeks!$A:$A,0)))/COUNTIFS(Tasks!$A:$A,$A521,Tasks!$B:$B,$B521)*100,0),"")</f>
        <v/>
      </c>
      <c r="I521">
        <f>COUNTIFS(Tasks!$A:$A,$A521,Tasks!$B:$B,$B521,Tasks!$G:$G,"&lt;="&amp;INDEX(Weeks!$D:$D,MATCH($C521,Weeks!$A:$A,0)))-COUNTIFS(Tasks!$A:$A,$A521,Tasks!$B:$B,$B521,Tasks!$I:$I,"&lt;="&amp;INDEX(Weeks!$D:$D,MATCH($C521,Weeks!$A:$A,0)),Tasks!$I:$I,"&lt;&gt;")</f>
        <v>0</v>
      </c>
      <c r="J521">
        <f>COUNTIFS(Tasks!$A:$A,$A521,Tasks!$B:$B,$B521,
Tasks!$I:$I,"&gt;"&amp;IFERROR(INDEX(Weeks!$D:$D,MATCH($C521-1,Weeks!$A:$A,0)),DATE(2000,1,1)),
Tasks!$I:$I,"&lt;="&amp;INDEX(Weeks!$D:$D,MATCH($C521,Weeks!$A:$A,0)),
Tasks!$I:$I,"&lt;&gt;")</f>
        <v>0</v>
      </c>
    </row>
    <row r="522" spans="1:10" ht="15" customHeight="1">
      <c r="A522" t="s">
        <v>97</v>
      </c>
      <c r="B522" t="s">
        <v>99</v>
      </c>
      <c r="C522">
        <v>1</v>
      </c>
      <c r="D522">
        <v>1</v>
      </c>
      <c r="E522">
        <v>1</v>
      </c>
      <c r="F522" s="5" t="str">
        <f>IFERROR(ROUND(COUNTIFS(Tasks!$A:$A,$A522,Tasks!$B:$B,$B522,Tasks!$I:$I,"&lt;="&amp;INDEX(Weeks!$D:$D,MATCH($C522,Weeks!$A:$A,0)),Tasks!$I:$I,"&lt;&gt;")/COUNTIFS(Tasks!$A:$A,$A522,Tasks!$B:$B,$B522)*100,0),"")</f>
        <v/>
      </c>
      <c r="G522" s="5" t="str">
        <f>IFERROR(ROUND(COUNTIFS(Tasks!$A:$A,$A522,Tasks!$B:$B,$B522,Tasks!$H:$H,"&lt;="&amp;INDEX(Weeks!$D:$D,MATCH($C522,Weeks!$A:$A,0)))/COUNTIFS(Tasks!$A:$A,$A522,Tasks!$B:$B,$B522)*100,0),"")</f>
        <v/>
      </c>
      <c r="H522" t="s">
        <v>92</v>
      </c>
      <c r="I522">
        <f>COUNTIFS(Tasks!$A:$A,$A522,Tasks!$B:$B,$B522,Tasks!$G:$G,"&lt;="&amp;INDEX(Weeks!$D:$D,MATCH($C522,Weeks!$A:$A,0)))-COUNTIFS(Tasks!$A:$A,$A522,Tasks!$B:$B,$B522,Tasks!$I:$I,"&lt;="&amp;INDEX(Weeks!$D:$D,MATCH($C522,Weeks!$A:$A,0)),Tasks!$I:$I,"&lt;&gt;")</f>
        <v>0</v>
      </c>
      <c r="J522">
        <f>COUNTIFS(Tasks!$A:$A,$A522,Tasks!$B:$B,$B522,
Tasks!$I:$I,"&gt;"&amp;IFERROR(INDEX(Weeks!$D:$D,MATCH($C522-1,Weeks!$A:$A,0)),DATE(2000,1,1)),
Tasks!$I:$I,"&lt;="&amp;INDEX(Weeks!$D:$D,MATCH($C522,Weeks!$A:$A,0)),
Tasks!$I:$I,"&lt;&gt;")</f>
        <v>0</v>
      </c>
    </row>
    <row r="523" spans="1:10" ht="15" customHeight="1">
      <c r="A523" t="s">
        <v>97</v>
      </c>
      <c r="B523" t="s">
        <v>99</v>
      </c>
      <c r="C523">
        <v>2</v>
      </c>
      <c r="D523">
        <v>1</v>
      </c>
      <c r="E523">
        <v>2</v>
      </c>
      <c r="F523" s="5" t="str">
        <f>IFERROR(ROUND(COUNTIFS(Tasks!$A:$A,$A523,Tasks!$B:$B,$B523,Tasks!$I:$I,"&lt;="&amp;INDEX(Weeks!$D:$D,MATCH($C523,Weeks!$A:$A,0)),Tasks!$I:$I,"&lt;&gt;")/COUNTIFS(Tasks!$A:$A,$A523,Tasks!$B:$B,$B523)*100,0),"")</f>
        <v/>
      </c>
      <c r="G523" s="5" t="str">
        <f>IFERROR(ROUND(COUNTIFS(Tasks!$A:$A,$A523,Tasks!$B:$B,$B523,Tasks!$H:$H,"&lt;="&amp;INDEX(Weeks!$D:$D,MATCH($C523,Weeks!$A:$A,0)))/COUNTIFS(Tasks!$A:$A,$A523,Tasks!$B:$B,$B523)*100,0),"")</f>
        <v/>
      </c>
      <c r="H523" t="s">
        <v>92</v>
      </c>
      <c r="I523">
        <f>COUNTIFS(Tasks!$A:$A,$A523,Tasks!$B:$B,$B523,Tasks!$G:$G,"&lt;="&amp;INDEX(Weeks!$D:$D,MATCH($C523,Weeks!$A:$A,0)))-COUNTIFS(Tasks!$A:$A,$A523,Tasks!$B:$B,$B523,Tasks!$I:$I,"&lt;="&amp;INDEX(Weeks!$D:$D,MATCH($C523,Weeks!$A:$A,0)),Tasks!$I:$I,"&lt;&gt;")</f>
        <v>0</v>
      </c>
      <c r="J523">
        <f>COUNTIFS(Tasks!$A:$A,$A523,Tasks!$B:$B,$B523,
Tasks!$I:$I,"&gt;"&amp;IFERROR(INDEX(Weeks!$D:$D,MATCH($C523-1,Weeks!$A:$A,0)),DATE(2000,1,1)),
Tasks!$I:$I,"&lt;="&amp;INDEX(Weeks!$D:$D,MATCH($C523,Weeks!$A:$A,0)),
Tasks!$I:$I,"&lt;&gt;")</f>
        <v>0</v>
      </c>
    </row>
    <row r="524" spans="1:10" ht="15" customHeight="1">
      <c r="A524" t="s">
        <v>97</v>
      </c>
      <c r="B524" t="s">
        <v>99</v>
      </c>
      <c r="C524">
        <v>3</v>
      </c>
      <c r="D524">
        <v>1</v>
      </c>
      <c r="E524">
        <v>3</v>
      </c>
      <c r="F524" s="5" t="str">
        <f>IFERROR(ROUND(COUNTIFS(Tasks!$A:$A,$A524,Tasks!$B:$B,$B524,Tasks!$I:$I,"&lt;="&amp;INDEX(Weeks!$D:$D,MATCH($C524,Weeks!$A:$A,0)),Tasks!$I:$I,"&lt;&gt;")/COUNTIFS(Tasks!$A:$A,$A524,Tasks!$B:$B,$B524)*100,0),"")</f>
        <v/>
      </c>
      <c r="G524" s="5" t="str">
        <f>IFERROR(ROUND(COUNTIFS(Tasks!$A:$A,$A524,Tasks!$B:$B,$B524,Tasks!$H:$H,"&lt;="&amp;INDEX(Weeks!$D:$D,MATCH($C524,Weeks!$A:$A,0)))/COUNTIFS(Tasks!$A:$A,$A524,Tasks!$B:$B,$B524)*100,0),"")</f>
        <v/>
      </c>
      <c r="H524" t="s">
        <v>92</v>
      </c>
      <c r="I524">
        <f>COUNTIFS(Tasks!$A:$A,$A524,Tasks!$B:$B,$B524,Tasks!$G:$G,"&lt;="&amp;INDEX(Weeks!$D:$D,MATCH($C524,Weeks!$A:$A,0)))-COUNTIFS(Tasks!$A:$A,$A524,Tasks!$B:$B,$B524,Tasks!$I:$I,"&lt;="&amp;INDEX(Weeks!$D:$D,MATCH($C524,Weeks!$A:$A,0)),Tasks!$I:$I,"&lt;&gt;")</f>
        <v>0</v>
      </c>
      <c r="J524">
        <f>COUNTIFS(Tasks!$A:$A,$A524,Tasks!$B:$B,$B524,
Tasks!$I:$I,"&gt;"&amp;IFERROR(INDEX(Weeks!$D:$D,MATCH($C524-1,Weeks!$A:$A,0)),DATE(2000,1,1)),
Tasks!$I:$I,"&lt;="&amp;INDEX(Weeks!$D:$D,MATCH($C524,Weeks!$A:$A,0)),
Tasks!$I:$I,"&lt;&gt;")</f>
        <v>0</v>
      </c>
    </row>
    <row r="525" spans="1:10" ht="15" customHeight="1">
      <c r="A525" t="s">
        <v>97</v>
      </c>
      <c r="B525" t="s">
        <v>99</v>
      </c>
      <c r="C525">
        <v>4</v>
      </c>
      <c r="D525">
        <v>1</v>
      </c>
      <c r="E525">
        <v>4</v>
      </c>
      <c r="F525" s="5" t="str">
        <f>IFERROR(ROUND(COUNTIFS(Tasks!$A:$A,$A525,Tasks!$B:$B,$B525,Tasks!$I:$I,"&lt;="&amp;INDEX(Weeks!$D:$D,MATCH($C525,Weeks!$A:$A,0)),Tasks!$I:$I,"&lt;&gt;")/COUNTIFS(Tasks!$A:$A,$A525,Tasks!$B:$B,$B525)*100,0),"")</f>
        <v/>
      </c>
      <c r="G525" s="5" t="str">
        <f>IFERROR(ROUND(COUNTIFS(Tasks!$A:$A,$A525,Tasks!$B:$B,$B525,Tasks!$H:$H,"&lt;="&amp;INDEX(Weeks!$D:$D,MATCH($C525,Weeks!$A:$A,0)))/COUNTIFS(Tasks!$A:$A,$A525,Tasks!$B:$B,$B525)*100,0),"")</f>
        <v/>
      </c>
      <c r="H525" t="s">
        <v>92</v>
      </c>
      <c r="I525">
        <f>COUNTIFS(Tasks!$A:$A,$A525,Tasks!$B:$B,$B525,Tasks!$G:$G,"&lt;="&amp;INDEX(Weeks!$D:$D,MATCH($C525,Weeks!$A:$A,0)))-COUNTIFS(Tasks!$A:$A,$A525,Tasks!$B:$B,$B525,Tasks!$I:$I,"&lt;="&amp;INDEX(Weeks!$D:$D,MATCH($C525,Weeks!$A:$A,0)),Tasks!$I:$I,"&lt;&gt;")</f>
        <v>0</v>
      </c>
      <c r="J525">
        <f>COUNTIFS(Tasks!$A:$A,$A525,Tasks!$B:$B,$B525,
Tasks!$I:$I,"&gt;"&amp;IFERROR(INDEX(Weeks!$D:$D,MATCH($C525-1,Weeks!$A:$A,0)),DATE(2000,1,1)),
Tasks!$I:$I,"&lt;="&amp;INDEX(Weeks!$D:$D,MATCH($C525,Weeks!$A:$A,0)),
Tasks!$I:$I,"&lt;&gt;")</f>
        <v>0</v>
      </c>
    </row>
    <row r="526" spans="1:10" ht="15" customHeight="1">
      <c r="A526" t="s">
        <v>97</v>
      </c>
      <c r="B526" t="s">
        <v>99</v>
      </c>
      <c r="C526">
        <v>5</v>
      </c>
      <c r="D526">
        <v>1</v>
      </c>
      <c r="E526">
        <v>5</v>
      </c>
      <c r="F526" s="5" t="str">
        <f>IFERROR(ROUND(COUNTIFS(Tasks!$A:$A,$A526,Tasks!$B:$B,$B526,Tasks!$I:$I,"&lt;="&amp;INDEX(Weeks!$D:$D,MATCH($C526,Weeks!$A:$A,0)),Tasks!$I:$I,"&lt;&gt;")/COUNTIFS(Tasks!$A:$A,$A526,Tasks!$B:$B,$B526)*100,0),"")</f>
        <v/>
      </c>
      <c r="G526" s="5" t="str">
        <f>IFERROR(ROUND(COUNTIFS(Tasks!$A:$A,$A526,Tasks!$B:$B,$B526,Tasks!$H:$H,"&lt;="&amp;INDEX(Weeks!$D:$D,MATCH($C526,Weeks!$A:$A,0)))/COUNTIFS(Tasks!$A:$A,$A526,Tasks!$B:$B,$B526)*100,0),"")</f>
        <v/>
      </c>
      <c r="H526" t="s">
        <v>92</v>
      </c>
      <c r="I526">
        <f>COUNTIFS(Tasks!$A:$A,$A526,Tasks!$B:$B,$B526,Tasks!$G:$G,"&lt;="&amp;INDEX(Weeks!$D:$D,MATCH($C526,Weeks!$A:$A,0)))-COUNTIFS(Tasks!$A:$A,$A526,Tasks!$B:$B,$B526,Tasks!$I:$I,"&lt;="&amp;INDEX(Weeks!$D:$D,MATCH($C526,Weeks!$A:$A,0)),Tasks!$I:$I,"&lt;&gt;")</f>
        <v>0</v>
      </c>
      <c r="J526">
        <f>COUNTIFS(Tasks!$A:$A,$A526,Tasks!$B:$B,$B526,
Tasks!$I:$I,"&gt;"&amp;IFERROR(INDEX(Weeks!$D:$D,MATCH($C526-1,Weeks!$A:$A,0)),DATE(2000,1,1)),
Tasks!$I:$I,"&lt;="&amp;INDEX(Weeks!$D:$D,MATCH($C526,Weeks!$A:$A,0)),
Tasks!$I:$I,"&lt;&gt;")</f>
        <v>0</v>
      </c>
    </row>
    <row r="527" spans="1:10" ht="15" customHeight="1">
      <c r="A527" t="s">
        <v>97</v>
      </c>
      <c r="B527" t="s">
        <v>99</v>
      </c>
      <c r="C527">
        <v>6</v>
      </c>
      <c r="D527">
        <v>2</v>
      </c>
      <c r="E527">
        <v>1</v>
      </c>
      <c r="F527" s="5" t="str">
        <f>IFERROR(ROUND(COUNTIFS(Tasks!$A:$A,$A527,Tasks!$B:$B,$B527,Tasks!$I:$I,"&lt;="&amp;INDEX(Weeks!$D:$D,MATCH($C527,Weeks!$A:$A,0)),Tasks!$I:$I,"&lt;&gt;")/COUNTIFS(Tasks!$A:$A,$A527,Tasks!$B:$B,$B527)*100,0),"")</f>
        <v/>
      </c>
      <c r="G527" s="5" t="str">
        <f>IFERROR(ROUND(COUNTIFS(Tasks!$A:$A,$A527,Tasks!$B:$B,$B527,Tasks!$H:$H,"&lt;="&amp;INDEX(Weeks!$D:$D,MATCH($C527,Weeks!$A:$A,0)))/COUNTIFS(Tasks!$A:$A,$A527,Tasks!$B:$B,$B527)*100,0),"")</f>
        <v/>
      </c>
      <c r="H527" t="s">
        <v>92</v>
      </c>
      <c r="I527">
        <f>COUNTIFS(Tasks!$A:$A,$A527,Tasks!$B:$B,$B527,Tasks!$G:$G,"&lt;="&amp;INDEX(Weeks!$D:$D,MATCH($C527,Weeks!$A:$A,0)))-COUNTIFS(Tasks!$A:$A,$A527,Tasks!$B:$B,$B527,Tasks!$I:$I,"&lt;="&amp;INDEX(Weeks!$D:$D,MATCH($C527,Weeks!$A:$A,0)),Tasks!$I:$I,"&lt;&gt;")</f>
        <v>0</v>
      </c>
      <c r="J527">
        <f>COUNTIFS(Tasks!$A:$A,$A527,Tasks!$B:$B,$B527,
Tasks!$I:$I,"&gt;"&amp;IFERROR(INDEX(Weeks!$D:$D,MATCH($C527-1,Weeks!$A:$A,0)),DATE(2000,1,1)),
Tasks!$I:$I,"&lt;="&amp;INDEX(Weeks!$D:$D,MATCH($C527,Weeks!$A:$A,0)),
Tasks!$I:$I,"&lt;&gt;")</f>
        <v>0</v>
      </c>
    </row>
    <row r="528" spans="1:10" ht="15" customHeight="1">
      <c r="A528" t="s">
        <v>97</v>
      </c>
      <c r="B528" t="s">
        <v>99</v>
      </c>
      <c r="C528">
        <v>7</v>
      </c>
      <c r="D528">
        <v>2</v>
      </c>
      <c r="E528">
        <v>2</v>
      </c>
      <c r="F528" s="5" t="str">
        <f>IFERROR(ROUND(COUNTIFS(Tasks!$A:$A,$A528,Tasks!$B:$B,$B528,Tasks!$I:$I,"&lt;="&amp;INDEX(Weeks!$D:$D,MATCH($C528,Weeks!$A:$A,0)),Tasks!$I:$I,"&lt;&gt;")/COUNTIFS(Tasks!$A:$A,$A528,Tasks!$B:$B,$B528)*100,0),"")</f>
        <v/>
      </c>
      <c r="G528" s="5" t="str">
        <f>IFERROR(ROUND(COUNTIFS(Tasks!$A:$A,$A528,Tasks!$B:$B,$B528,Tasks!$H:$H,"&lt;="&amp;INDEX(Weeks!$D:$D,MATCH($C528,Weeks!$A:$A,0)))/COUNTIFS(Tasks!$A:$A,$A528,Tasks!$B:$B,$B528)*100,0),"")</f>
        <v/>
      </c>
      <c r="H528" t="s">
        <v>92</v>
      </c>
      <c r="I528">
        <f>COUNTIFS(Tasks!$A:$A,$A528,Tasks!$B:$B,$B528,Tasks!$G:$G,"&lt;="&amp;INDEX(Weeks!$D:$D,MATCH($C528,Weeks!$A:$A,0)))-COUNTIFS(Tasks!$A:$A,$A528,Tasks!$B:$B,$B528,Tasks!$I:$I,"&lt;="&amp;INDEX(Weeks!$D:$D,MATCH($C528,Weeks!$A:$A,0)),Tasks!$I:$I,"&lt;&gt;")</f>
        <v>0</v>
      </c>
      <c r="J528">
        <f>COUNTIFS(Tasks!$A:$A,$A528,Tasks!$B:$B,$B528,
Tasks!$I:$I,"&gt;"&amp;IFERROR(INDEX(Weeks!$D:$D,MATCH($C528-1,Weeks!$A:$A,0)),DATE(2000,1,1)),
Tasks!$I:$I,"&lt;="&amp;INDEX(Weeks!$D:$D,MATCH($C528,Weeks!$A:$A,0)),
Tasks!$I:$I,"&lt;&gt;")</f>
        <v>0</v>
      </c>
    </row>
    <row r="529" spans="1:10" ht="15" customHeight="1">
      <c r="A529" t="s">
        <v>97</v>
      </c>
      <c r="B529" t="s">
        <v>99</v>
      </c>
      <c r="C529">
        <v>8</v>
      </c>
      <c r="D529">
        <v>2</v>
      </c>
      <c r="E529">
        <v>3</v>
      </c>
      <c r="F529" s="5" t="str">
        <f>IFERROR(ROUND(COUNTIFS(Tasks!$A:$A,$A529,Tasks!$B:$B,$B529,Tasks!$I:$I,"&lt;="&amp;INDEX(Weeks!$D:$D,MATCH($C529,Weeks!$A:$A,0)),Tasks!$I:$I,"&lt;&gt;")/COUNTIFS(Tasks!$A:$A,$A529,Tasks!$B:$B,$B529)*100,0),"")</f>
        <v/>
      </c>
      <c r="G529" s="5" t="str">
        <f>IFERROR(ROUND(COUNTIFS(Tasks!$A:$A,$A529,Tasks!$B:$B,$B529,Tasks!$H:$H,"&lt;="&amp;INDEX(Weeks!$D:$D,MATCH($C529,Weeks!$A:$A,0)))/COUNTIFS(Tasks!$A:$A,$A529,Tasks!$B:$B,$B529)*100,0),"")</f>
        <v/>
      </c>
      <c r="H529" t="s">
        <v>92</v>
      </c>
      <c r="I529">
        <f>COUNTIFS(Tasks!$A:$A,$A529,Tasks!$B:$B,$B529,Tasks!$G:$G,"&lt;="&amp;INDEX(Weeks!$D:$D,MATCH($C529,Weeks!$A:$A,0)))-COUNTIFS(Tasks!$A:$A,$A529,Tasks!$B:$B,$B529,Tasks!$I:$I,"&lt;="&amp;INDEX(Weeks!$D:$D,MATCH($C529,Weeks!$A:$A,0)),Tasks!$I:$I,"&lt;&gt;")</f>
        <v>0</v>
      </c>
      <c r="J529">
        <f>COUNTIFS(Tasks!$A:$A,$A529,Tasks!$B:$B,$B529,
Tasks!$I:$I,"&gt;"&amp;IFERROR(INDEX(Weeks!$D:$D,MATCH($C529-1,Weeks!$A:$A,0)),DATE(2000,1,1)),
Tasks!$I:$I,"&lt;="&amp;INDEX(Weeks!$D:$D,MATCH($C529,Weeks!$A:$A,0)),
Tasks!$I:$I,"&lt;&gt;")</f>
        <v>0</v>
      </c>
    </row>
    <row r="530" spans="1:10" ht="15" customHeight="1">
      <c r="A530" t="s">
        <v>97</v>
      </c>
      <c r="B530" t="s">
        <v>99</v>
      </c>
      <c r="C530">
        <v>9</v>
      </c>
      <c r="D530">
        <v>2</v>
      </c>
      <c r="E530">
        <v>4</v>
      </c>
      <c r="F530" s="5" t="str">
        <f>IFERROR(ROUND(COUNTIFS(Tasks!$A:$A,$A530,Tasks!$B:$B,$B530,Tasks!$I:$I,"&lt;="&amp;INDEX(Weeks!$D:$D,MATCH($C530,Weeks!$A:$A,0)),Tasks!$I:$I,"&lt;&gt;")/COUNTIFS(Tasks!$A:$A,$A530,Tasks!$B:$B,$B530)*100,0),"")</f>
        <v/>
      </c>
      <c r="G530" s="5" t="str">
        <f>IFERROR(ROUND(COUNTIFS(Tasks!$A:$A,$A530,Tasks!$B:$B,$B530,Tasks!$H:$H,"&lt;="&amp;INDEX(Weeks!$D:$D,MATCH($C530,Weeks!$A:$A,0)))/COUNTIFS(Tasks!$A:$A,$A530,Tasks!$B:$B,$B530)*100,0),"")</f>
        <v/>
      </c>
      <c r="H530" t="s">
        <v>92</v>
      </c>
      <c r="I530">
        <f>COUNTIFS(Tasks!$A:$A,$A530,Tasks!$B:$B,$B530,Tasks!$G:$G,"&lt;="&amp;INDEX(Weeks!$D:$D,MATCH($C530,Weeks!$A:$A,0)))-COUNTIFS(Tasks!$A:$A,$A530,Tasks!$B:$B,$B530,Tasks!$I:$I,"&lt;="&amp;INDEX(Weeks!$D:$D,MATCH($C530,Weeks!$A:$A,0)),Tasks!$I:$I,"&lt;&gt;")</f>
        <v>0</v>
      </c>
      <c r="J530">
        <f>COUNTIFS(Tasks!$A:$A,$A530,Tasks!$B:$B,$B530,
Tasks!$I:$I,"&gt;"&amp;IFERROR(INDEX(Weeks!$D:$D,MATCH($C530-1,Weeks!$A:$A,0)),DATE(2000,1,1)),
Tasks!$I:$I,"&lt;="&amp;INDEX(Weeks!$D:$D,MATCH($C530,Weeks!$A:$A,0)),
Tasks!$I:$I,"&lt;&gt;")</f>
        <v>0</v>
      </c>
    </row>
    <row r="531" spans="1:10" ht="15" customHeight="1">
      <c r="A531" t="s">
        <v>97</v>
      </c>
      <c r="B531" t="s">
        <v>99</v>
      </c>
      <c r="C531">
        <v>10</v>
      </c>
      <c r="D531">
        <v>3</v>
      </c>
      <c r="E531">
        <v>1</v>
      </c>
      <c r="F531" s="5" t="str">
        <f>IFERROR(ROUND(COUNTIFS(Tasks!$A:$A,$A531,Tasks!$B:$B,$B531,Tasks!$I:$I,"&lt;="&amp;INDEX(Weeks!$D:$D,MATCH($C531,Weeks!$A:$A,0)),Tasks!$I:$I,"&lt;&gt;")/COUNTIFS(Tasks!$A:$A,$A531,Tasks!$B:$B,$B531)*100,0),"")</f>
        <v/>
      </c>
      <c r="G531" s="5" t="str">
        <f>IFERROR(ROUND(COUNTIFS(Tasks!$A:$A,$A531,Tasks!$B:$B,$B531,Tasks!$H:$H,"&lt;="&amp;INDEX(Weeks!$D:$D,MATCH($C531,Weeks!$A:$A,0)))/COUNTIFS(Tasks!$A:$A,$A531,Tasks!$B:$B,$B531)*100,0),"")</f>
        <v/>
      </c>
      <c r="H531" t="s">
        <v>92</v>
      </c>
      <c r="I531">
        <f>COUNTIFS(Tasks!$A:$A,$A531,Tasks!$B:$B,$B531,Tasks!$G:$G,"&lt;="&amp;INDEX(Weeks!$D:$D,MATCH($C531,Weeks!$A:$A,0)))-COUNTIFS(Tasks!$A:$A,$A531,Tasks!$B:$B,$B531,Tasks!$I:$I,"&lt;="&amp;INDEX(Weeks!$D:$D,MATCH($C531,Weeks!$A:$A,0)),Tasks!$I:$I,"&lt;&gt;")</f>
        <v>0</v>
      </c>
      <c r="J531">
        <f>COUNTIFS(Tasks!$A:$A,$A531,Tasks!$B:$B,$B531,
Tasks!$I:$I,"&gt;"&amp;IFERROR(INDEX(Weeks!$D:$D,MATCH($C531-1,Weeks!$A:$A,0)),DATE(2000,1,1)),
Tasks!$I:$I,"&lt;="&amp;INDEX(Weeks!$D:$D,MATCH($C531,Weeks!$A:$A,0)),
Tasks!$I:$I,"&lt;&gt;")</f>
        <v>0</v>
      </c>
    </row>
    <row r="532" spans="1:10" ht="15" customHeight="1">
      <c r="A532" t="s">
        <v>97</v>
      </c>
      <c r="B532" t="s">
        <v>99</v>
      </c>
      <c r="C532">
        <v>11</v>
      </c>
      <c r="D532">
        <v>3</v>
      </c>
      <c r="E532">
        <v>2</v>
      </c>
      <c r="F532" s="5" t="str">
        <f>IFERROR(ROUND(COUNTIFS(Tasks!$A:$A,$A532,Tasks!$B:$B,$B532,Tasks!$I:$I,"&lt;="&amp;INDEX(Weeks!$D:$D,MATCH($C532,Weeks!$A:$A,0)),Tasks!$I:$I,"&lt;&gt;")/COUNTIFS(Tasks!$A:$A,$A532,Tasks!$B:$B,$B532)*100,0),"")</f>
        <v/>
      </c>
      <c r="G532" s="5" t="str">
        <f>IFERROR(ROUND(COUNTIFS(Tasks!$A:$A,$A532,Tasks!$B:$B,$B532,Tasks!$H:$H,"&lt;="&amp;INDEX(Weeks!$D:$D,MATCH($C532,Weeks!$A:$A,0)))/COUNTIFS(Tasks!$A:$A,$A532,Tasks!$B:$B,$B532)*100,0),"")</f>
        <v/>
      </c>
      <c r="H532" t="s">
        <v>92</v>
      </c>
      <c r="I532">
        <f>COUNTIFS(Tasks!$A:$A,$A532,Tasks!$B:$B,$B532,Tasks!$G:$G,"&lt;="&amp;INDEX(Weeks!$D:$D,MATCH($C532,Weeks!$A:$A,0)))-COUNTIFS(Tasks!$A:$A,$A532,Tasks!$B:$B,$B532,Tasks!$I:$I,"&lt;="&amp;INDEX(Weeks!$D:$D,MATCH($C532,Weeks!$A:$A,0)),Tasks!$I:$I,"&lt;&gt;")</f>
        <v>0</v>
      </c>
      <c r="J532">
        <f>COUNTIFS(Tasks!$A:$A,$A532,Tasks!$B:$B,$B532,
Tasks!$I:$I,"&gt;"&amp;IFERROR(INDEX(Weeks!$D:$D,MATCH($C532-1,Weeks!$A:$A,0)),DATE(2000,1,1)),
Tasks!$I:$I,"&lt;="&amp;INDEX(Weeks!$D:$D,MATCH($C532,Weeks!$A:$A,0)),
Tasks!$I:$I,"&lt;&gt;")</f>
        <v>0</v>
      </c>
    </row>
    <row r="533" spans="1:10" ht="15" customHeight="1">
      <c r="A533" t="s">
        <v>97</v>
      </c>
      <c r="B533" t="s">
        <v>99</v>
      </c>
      <c r="C533">
        <v>12</v>
      </c>
      <c r="D533">
        <v>3</v>
      </c>
      <c r="E533">
        <v>3</v>
      </c>
      <c r="F533" s="5" t="str">
        <f>IFERROR(ROUND(COUNTIFS(Tasks!$A:$A,$A533,Tasks!$B:$B,$B533,Tasks!$I:$I,"&lt;="&amp;INDEX(Weeks!$D:$D,MATCH($C533,Weeks!$A:$A,0)),Tasks!$I:$I,"&lt;&gt;")/COUNTIFS(Tasks!$A:$A,$A533,Tasks!$B:$B,$B533)*100,0),"")</f>
        <v/>
      </c>
      <c r="G533" s="5" t="str">
        <f>IFERROR(ROUND(COUNTIFS(Tasks!$A:$A,$A533,Tasks!$B:$B,$B533,Tasks!$H:$H,"&lt;="&amp;INDEX(Weeks!$D:$D,MATCH($C533,Weeks!$A:$A,0)))/COUNTIFS(Tasks!$A:$A,$A533,Tasks!$B:$B,$B533)*100,0),"")</f>
        <v/>
      </c>
      <c r="H533" t="s">
        <v>92</v>
      </c>
      <c r="I533">
        <f>COUNTIFS(Tasks!$A:$A,$A533,Tasks!$B:$B,$B533,Tasks!$G:$G,"&lt;="&amp;INDEX(Weeks!$D:$D,MATCH($C533,Weeks!$A:$A,0)))-COUNTIFS(Tasks!$A:$A,$A533,Tasks!$B:$B,$B533,Tasks!$I:$I,"&lt;="&amp;INDEX(Weeks!$D:$D,MATCH($C533,Weeks!$A:$A,0)),Tasks!$I:$I,"&lt;&gt;")</f>
        <v>0</v>
      </c>
      <c r="J533">
        <f>COUNTIFS(Tasks!$A:$A,$A533,Tasks!$B:$B,$B533,
Tasks!$I:$I,"&gt;"&amp;IFERROR(INDEX(Weeks!$D:$D,MATCH($C533-1,Weeks!$A:$A,0)),DATE(2000,1,1)),
Tasks!$I:$I,"&lt;="&amp;INDEX(Weeks!$D:$D,MATCH($C533,Weeks!$A:$A,0)),
Tasks!$I:$I,"&lt;&gt;")</f>
        <v>0</v>
      </c>
    </row>
    <row r="534" spans="1:10" ht="15" customHeight="1">
      <c r="A534" t="s">
        <v>97</v>
      </c>
      <c r="B534" t="s">
        <v>99</v>
      </c>
      <c r="C534">
        <v>13</v>
      </c>
      <c r="D534">
        <v>3</v>
      </c>
      <c r="E534">
        <v>4</v>
      </c>
      <c r="F534" s="5" t="str">
        <f>IFERROR(ROUND(COUNTIFS(Tasks!$A:$A,$A534,Tasks!$B:$B,$B534,Tasks!$I:$I,"&lt;="&amp;INDEX(Weeks!$D:$D,MATCH($C534,Weeks!$A:$A,0)),Tasks!$I:$I,"&lt;&gt;")/COUNTIFS(Tasks!$A:$A,$A534,Tasks!$B:$B,$B534)*100,0),"")</f>
        <v/>
      </c>
      <c r="G534" s="5" t="str">
        <f>IFERROR(ROUND(COUNTIFS(Tasks!$A:$A,$A534,Tasks!$B:$B,$B534,Tasks!$H:$H,"&lt;="&amp;INDEX(Weeks!$D:$D,MATCH($C534,Weeks!$A:$A,0)))/COUNTIFS(Tasks!$A:$A,$A534,Tasks!$B:$B,$B534)*100,0),"")</f>
        <v/>
      </c>
      <c r="H534" t="s">
        <v>92</v>
      </c>
      <c r="I534">
        <f>COUNTIFS(Tasks!$A:$A,$A534,Tasks!$B:$B,$B534,Tasks!$G:$G,"&lt;="&amp;INDEX(Weeks!$D:$D,MATCH($C534,Weeks!$A:$A,0)))-COUNTIFS(Tasks!$A:$A,$A534,Tasks!$B:$B,$B534,Tasks!$I:$I,"&lt;="&amp;INDEX(Weeks!$D:$D,MATCH($C534,Weeks!$A:$A,0)),Tasks!$I:$I,"&lt;&gt;")</f>
        <v>0</v>
      </c>
      <c r="J534">
        <f>COUNTIFS(Tasks!$A:$A,$A534,Tasks!$B:$B,$B534,
Tasks!$I:$I,"&gt;"&amp;IFERROR(INDEX(Weeks!$D:$D,MATCH($C534-1,Weeks!$A:$A,0)),DATE(2000,1,1)),
Tasks!$I:$I,"&lt;="&amp;INDEX(Weeks!$D:$D,MATCH($C534,Weeks!$A:$A,0)),
Tasks!$I:$I,"&lt;&gt;")</f>
        <v>0</v>
      </c>
    </row>
    <row r="535" spans="1:10" ht="15" customHeight="1">
      <c r="A535" t="s">
        <v>97</v>
      </c>
      <c r="B535" t="s">
        <v>99</v>
      </c>
      <c r="C535">
        <v>14</v>
      </c>
      <c r="D535">
        <v>4</v>
      </c>
      <c r="E535">
        <v>1</v>
      </c>
      <c r="F535" s="5" t="str">
        <f>IFERROR(ROUND(COUNTIFS(Tasks!$A:$A,$A535,Tasks!$B:$B,$B535,Tasks!$I:$I,"&lt;="&amp;INDEX(Weeks!$D:$D,MATCH($C535,Weeks!$A:$A,0)),Tasks!$I:$I,"&lt;&gt;")/COUNTIFS(Tasks!$A:$A,$A535,Tasks!$B:$B,$B535)*100,0),"")</f>
        <v/>
      </c>
      <c r="G535" s="5" t="str">
        <f>IFERROR(ROUND(COUNTIFS(Tasks!$A:$A,$A535,Tasks!$B:$B,$B535,Tasks!$H:$H,"&lt;="&amp;INDEX(Weeks!$D:$D,MATCH($C535,Weeks!$A:$A,0)))/COUNTIFS(Tasks!$A:$A,$A535,Tasks!$B:$B,$B535)*100,0),"")</f>
        <v/>
      </c>
      <c r="H535" t="s">
        <v>92</v>
      </c>
      <c r="I535">
        <f>COUNTIFS(Tasks!$A:$A,$A535,Tasks!$B:$B,$B535,Tasks!$G:$G,"&lt;="&amp;INDEX(Weeks!$D:$D,MATCH($C535,Weeks!$A:$A,0)))-COUNTIFS(Tasks!$A:$A,$A535,Tasks!$B:$B,$B535,Tasks!$I:$I,"&lt;="&amp;INDEX(Weeks!$D:$D,MATCH($C535,Weeks!$A:$A,0)),Tasks!$I:$I,"&lt;&gt;")</f>
        <v>0</v>
      </c>
      <c r="J535">
        <f>COUNTIFS(Tasks!$A:$A,$A535,Tasks!$B:$B,$B535,
Tasks!$I:$I,"&gt;"&amp;IFERROR(INDEX(Weeks!$D:$D,MATCH($C535-1,Weeks!$A:$A,0)),DATE(2000,1,1)),
Tasks!$I:$I,"&lt;="&amp;INDEX(Weeks!$D:$D,MATCH($C535,Weeks!$A:$A,0)),
Tasks!$I:$I,"&lt;&gt;")</f>
        <v>0</v>
      </c>
    </row>
    <row r="536" spans="1:10" ht="15" customHeight="1">
      <c r="A536" t="s">
        <v>97</v>
      </c>
      <c r="B536" t="s">
        <v>99</v>
      </c>
      <c r="C536">
        <v>15</v>
      </c>
      <c r="D536">
        <v>4</v>
      </c>
      <c r="E536">
        <v>2</v>
      </c>
      <c r="F536" s="5" t="str">
        <f>IFERROR(ROUND(COUNTIFS(Tasks!$A:$A,$A536,Tasks!$B:$B,$B536,Tasks!$I:$I,"&lt;="&amp;INDEX(Weeks!$D:$D,MATCH($C536,Weeks!$A:$A,0)),Tasks!$I:$I,"&lt;&gt;")/COUNTIFS(Tasks!$A:$A,$A536,Tasks!$B:$B,$B536)*100,0),"")</f>
        <v/>
      </c>
      <c r="G536" s="5" t="str">
        <f>IFERROR(ROUND(COUNTIFS(Tasks!$A:$A,$A536,Tasks!$B:$B,$B536,Tasks!$H:$H,"&lt;="&amp;INDEX(Weeks!$D:$D,MATCH($C536,Weeks!$A:$A,0)))/COUNTIFS(Tasks!$A:$A,$A536,Tasks!$B:$B,$B536)*100,0),"")</f>
        <v/>
      </c>
      <c r="H536" t="s">
        <v>92</v>
      </c>
      <c r="I536">
        <f>COUNTIFS(Tasks!$A:$A,$A536,Tasks!$B:$B,$B536,Tasks!$G:$G,"&lt;="&amp;INDEX(Weeks!$D:$D,MATCH($C536,Weeks!$A:$A,0)))-COUNTIFS(Tasks!$A:$A,$A536,Tasks!$B:$B,$B536,Tasks!$I:$I,"&lt;="&amp;INDEX(Weeks!$D:$D,MATCH($C536,Weeks!$A:$A,0)),Tasks!$I:$I,"&lt;&gt;")</f>
        <v>0</v>
      </c>
      <c r="J536">
        <f>COUNTIFS(Tasks!$A:$A,$A536,Tasks!$B:$B,$B536,
Tasks!$I:$I,"&gt;"&amp;IFERROR(INDEX(Weeks!$D:$D,MATCH($C536-1,Weeks!$A:$A,0)),DATE(2000,1,1)),
Tasks!$I:$I,"&lt;="&amp;INDEX(Weeks!$D:$D,MATCH($C536,Weeks!$A:$A,0)),
Tasks!$I:$I,"&lt;&gt;")</f>
        <v>0</v>
      </c>
    </row>
    <row r="537" spans="1:10" ht="15" customHeight="1">
      <c r="A537" t="s">
        <v>97</v>
      </c>
      <c r="B537" t="s">
        <v>99</v>
      </c>
      <c r="C537">
        <v>16</v>
      </c>
      <c r="D537">
        <v>4</v>
      </c>
      <c r="E537">
        <v>3</v>
      </c>
      <c r="F537" s="5" t="str">
        <f>IFERROR(ROUND(COUNTIFS(Tasks!$A:$A,$A537,Tasks!$B:$B,$B537,Tasks!$I:$I,"&lt;="&amp;INDEX(Weeks!$D:$D,MATCH($C537,Weeks!$A:$A,0)),Tasks!$I:$I,"&lt;&gt;")/COUNTIFS(Tasks!$A:$A,$A537,Tasks!$B:$B,$B537)*100,0),"")</f>
        <v/>
      </c>
      <c r="G537" s="5" t="str">
        <f>IFERROR(ROUND(COUNTIFS(Tasks!$A:$A,$A537,Tasks!$B:$B,$B537,Tasks!$H:$H,"&lt;="&amp;INDEX(Weeks!$D:$D,MATCH($C537,Weeks!$A:$A,0)))/COUNTIFS(Tasks!$A:$A,$A537,Tasks!$B:$B,$B537)*100,0),"")</f>
        <v/>
      </c>
      <c r="H537" t="s">
        <v>92</v>
      </c>
      <c r="I537">
        <f>COUNTIFS(Tasks!$A:$A,$A537,Tasks!$B:$B,$B537,Tasks!$G:$G,"&lt;="&amp;INDEX(Weeks!$D:$D,MATCH($C537,Weeks!$A:$A,0)))-COUNTIFS(Tasks!$A:$A,$A537,Tasks!$B:$B,$B537,Tasks!$I:$I,"&lt;="&amp;INDEX(Weeks!$D:$D,MATCH($C537,Weeks!$A:$A,0)),Tasks!$I:$I,"&lt;&gt;")</f>
        <v>0</v>
      </c>
      <c r="J537">
        <f>COUNTIFS(Tasks!$A:$A,$A537,Tasks!$B:$B,$B537,
Tasks!$I:$I,"&gt;"&amp;IFERROR(INDEX(Weeks!$D:$D,MATCH($C537-1,Weeks!$A:$A,0)),DATE(2000,1,1)),
Tasks!$I:$I,"&lt;="&amp;INDEX(Weeks!$D:$D,MATCH($C537,Weeks!$A:$A,0)),
Tasks!$I:$I,"&lt;&gt;")</f>
        <v>0</v>
      </c>
    </row>
    <row r="538" spans="1:10" ht="15" customHeight="1">
      <c r="A538" t="s">
        <v>97</v>
      </c>
      <c r="B538" t="s">
        <v>99</v>
      </c>
      <c r="C538">
        <v>17</v>
      </c>
      <c r="D538">
        <v>4</v>
      </c>
      <c r="E538">
        <v>4</v>
      </c>
      <c r="F538" s="5" t="str">
        <f>IFERROR(ROUND(COUNTIFS(Tasks!$A:$A,$A538,Tasks!$B:$B,$B538,Tasks!$I:$I,"&lt;="&amp;INDEX(Weeks!$D:$D,MATCH($C538,Weeks!$A:$A,0)),Tasks!$I:$I,"&lt;&gt;")/COUNTIFS(Tasks!$A:$A,$A538,Tasks!$B:$B,$B538)*100,0),"")</f>
        <v/>
      </c>
      <c r="G538" s="5" t="str">
        <f>IFERROR(ROUND(COUNTIFS(Tasks!$A:$A,$A538,Tasks!$B:$B,$B538,Tasks!$H:$H,"&lt;="&amp;INDEX(Weeks!$D:$D,MATCH($C538,Weeks!$A:$A,0)))/COUNTIFS(Tasks!$A:$A,$A538,Tasks!$B:$B,$B538)*100,0),"")</f>
        <v/>
      </c>
      <c r="H538" t="s">
        <v>92</v>
      </c>
      <c r="I538">
        <f>COUNTIFS(Tasks!$A:$A,$A538,Tasks!$B:$B,$B538,Tasks!$G:$G,"&lt;="&amp;INDEX(Weeks!$D:$D,MATCH($C538,Weeks!$A:$A,0)))-COUNTIFS(Tasks!$A:$A,$A538,Tasks!$B:$B,$B538,Tasks!$I:$I,"&lt;="&amp;INDEX(Weeks!$D:$D,MATCH($C538,Weeks!$A:$A,0)),Tasks!$I:$I,"&lt;&gt;")</f>
        <v>0</v>
      </c>
      <c r="J538">
        <f>COUNTIFS(Tasks!$A:$A,$A538,Tasks!$B:$B,$B538,
Tasks!$I:$I,"&gt;"&amp;IFERROR(INDEX(Weeks!$D:$D,MATCH($C538-1,Weeks!$A:$A,0)),DATE(2000,1,1)),
Tasks!$I:$I,"&lt;="&amp;INDEX(Weeks!$D:$D,MATCH($C538,Weeks!$A:$A,0)),
Tasks!$I:$I,"&lt;&gt;")</f>
        <v>0</v>
      </c>
    </row>
    <row r="539" spans="1:10" ht="15" customHeight="1">
      <c r="A539" t="s">
        <v>97</v>
      </c>
      <c r="B539" t="s">
        <v>99</v>
      </c>
      <c r="C539">
        <v>18</v>
      </c>
      <c r="D539">
        <v>5</v>
      </c>
      <c r="E539">
        <v>1</v>
      </c>
      <c r="F539" s="5" t="str">
        <f>IFERROR(ROUND(COUNTIFS(Tasks!$A:$A,$A539,Tasks!$B:$B,$B539,Tasks!$I:$I,"&lt;="&amp;INDEX(Weeks!$D:$D,MATCH($C539,Weeks!$A:$A,0)),Tasks!$I:$I,"&lt;&gt;")/COUNTIFS(Tasks!$A:$A,$A539,Tasks!$B:$B,$B539)*100,0),"")</f>
        <v/>
      </c>
      <c r="G539" s="5" t="str">
        <f>IFERROR(ROUND(COUNTIFS(Tasks!$A:$A,$A539,Tasks!$B:$B,$B539,Tasks!$H:$H,"&lt;="&amp;INDEX(Weeks!$D:$D,MATCH($C539,Weeks!$A:$A,0)))/COUNTIFS(Tasks!$A:$A,$A539,Tasks!$B:$B,$B539)*100,0),"")</f>
        <v/>
      </c>
      <c r="H539" t="s">
        <v>92</v>
      </c>
      <c r="I539">
        <f>COUNTIFS(Tasks!$A:$A,$A539,Tasks!$B:$B,$B539,Tasks!$G:$G,"&lt;="&amp;INDEX(Weeks!$D:$D,MATCH($C539,Weeks!$A:$A,0)))-COUNTIFS(Tasks!$A:$A,$A539,Tasks!$B:$B,$B539,Tasks!$I:$I,"&lt;="&amp;INDEX(Weeks!$D:$D,MATCH($C539,Weeks!$A:$A,0)),Tasks!$I:$I,"&lt;&gt;")</f>
        <v>0</v>
      </c>
      <c r="J539">
        <f>COUNTIFS(Tasks!$A:$A,$A539,Tasks!$B:$B,$B539,
Tasks!$I:$I,"&gt;"&amp;IFERROR(INDEX(Weeks!$D:$D,MATCH($C539-1,Weeks!$A:$A,0)),DATE(2000,1,1)),
Tasks!$I:$I,"&lt;="&amp;INDEX(Weeks!$D:$D,MATCH($C539,Weeks!$A:$A,0)),
Tasks!$I:$I,"&lt;&gt;")</f>
        <v>0</v>
      </c>
    </row>
    <row r="540" spans="1:10" ht="15" customHeight="1">
      <c r="A540" t="s">
        <v>97</v>
      </c>
      <c r="B540" t="s">
        <v>99</v>
      </c>
      <c r="C540">
        <v>19</v>
      </c>
      <c r="D540">
        <v>5</v>
      </c>
      <c r="E540">
        <v>2</v>
      </c>
      <c r="F540" s="5" t="str">
        <f>IFERROR(ROUND(COUNTIFS(Tasks!$A:$A,$A540,Tasks!$B:$B,$B540,Tasks!$I:$I,"&lt;="&amp;INDEX(Weeks!$D:$D,MATCH($C540,Weeks!$A:$A,0)),Tasks!$I:$I,"&lt;&gt;")/COUNTIFS(Tasks!$A:$A,$A540,Tasks!$B:$B,$B540)*100,0),"")</f>
        <v/>
      </c>
      <c r="G540" s="5" t="str">
        <f>IFERROR(ROUND(COUNTIFS(Tasks!$A:$A,$A540,Tasks!$B:$B,$B540,Tasks!$H:$H,"&lt;="&amp;INDEX(Weeks!$D:$D,MATCH($C540,Weeks!$A:$A,0)))/COUNTIFS(Tasks!$A:$A,$A540,Tasks!$B:$B,$B540)*100,0),"")</f>
        <v/>
      </c>
      <c r="H540" t="s">
        <v>92</v>
      </c>
      <c r="I540">
        <f>COUNTIFS(Tasks!$A:$A,$A540,Tasks!$B:$B,$B540,Tasks!$G:$G,"&lt;="&amp;INDEX(Weeks!$D:$D,MATCH($C540,Weeks!$A:$A,0)))-COUNTIFS(Tasks!$A:$A,$A540,Tasks!$B:$B,$B540,Tasks!$I:$I,"&lt;="&amp;INDEX(Weeks!$D:$D,MATCH($C540,Weeks!$A:$A,0)),Tasks!$I:$I,"&lt;&gt;")</f>
        <v>0</v>
      </c>
      <c r="J540">
        <f>COUNTIFS(Tasks!$A:$A,$A540,Tasks!$B:$B,$B540,
Tasks!$I:$I,"&gt;"&amp;IFERROR(INDEX(Weeks!$D:$D,MATCH($C540-1,Weeks!$A:$A,0)),DATE(2000,1,1)),
Tasks!$I:$I,"&lt;="&amp;INDEX(Weeks!$D:$D,MATCH($C540,Weeks!$A:$A,0)),
Tasks!$I:$I,"&lt;&gt;")</f>
        <v>0</v>
      </c>
    </row>
    <row r="541" spans="1:10" ht="15" customHeight="1">
      <c r="A541" t="s">
        <v>97</v>
      </c>
      <c r="B541" t="s">
        <v>99</v>
      </c>
      <c r="C541">
        <v>20</v>
      </c>
      <c r="D541">
        <v>5</v>
      </c>
      <c r="E541">
        <v>3</v>
      </c>
      <c r="F541" s="5" t="str">
        <f>IFERROR(ROUND(COUNTIFS(Tasks!$A:$A,$A541,Tasks!$B:$B,$B541,Tasks!$I:$I,"&lt;="&amp;INDEX(Weeks!$D:$D,MATCH($C541,Weeks!$A:$A,0)),Tasks!$I:$I,"&lt;&gt;")/COUNTIFS(Tasks!$A:$A,$A541,Tasks!$B:$B,$B541)*100,0),"")</f>
        <v/>
      </c>
      <c r="G541" s="5" t="str">
        <f>IFERROR(ROUND(COUNTIFS(Tasks!$A:$A,$A541,Tasks!$B:$B,$B541,Tasks!$H:$H,"&lt;="&amp;INDEX(Weeks!$D:$D,MATCH($C541,Weeks!$A:$A,0)))/COUNTIFS(Tasks!$A:$A,$A541,Tasks!$B:$B,$B541)*100,0),"")</f>
        <v/>
      </c>
      <c r="H541" t="s">
        <v>92</v>
      </c>
      <c r="I541">
        <f>COUNTIFS(Tasks!$A:$A,$A541,Tasks!$B:$B,$B541,Tasks!$G:$G,"&lt;="&amp;INDEX(Weeks!$D:$D,MATCH($C541,Weeks!$A:$A,0)))-COUNTIFS(Tasks!$A:$A,$A541,Tasks!$B:$B,$B541,Tasks!$I:$I,"&lt;="&amp;INDEX(Weeks!$D:$D,MATCH($C541,Weeks!$A:$A,0)),Tasks!$I:$I,"&lt;&gt;")</f>
        <v>0</v>
      </c>
      <c r="J541">
        <f>COUNTIFS(Tasks!$A:$A,$A541,Tasks!$B:$B,$B541,
Tasks!$I:$I,"&gt;"&amp;IFERROR(INDEX(Weeks!$D:$D,MATCH($C541-1,Weeks!$A:$A,0)),DATE(2000,1,1)),
Tasks!$I:$I,"&lt;="&amp;INDEX(Weeks!$D:$D,MATCH($C541,Weeks!$A:$A,0)),
Tasks!$I:$I,"&lt;&gt;")</f>
        <v>0</v>
      </c>
    </row>
    <row r="542" spans="1:10" ht="15" customHeight="1">
      <c r="A542" t="s">
        <v>97</v>
      </c>
      <c r="B542" t="s">
        <v>99</v>
      </c>
      <c r="C542">
        <v>21</v>
      </c>
      <c r="D542">
        <v>5</v>
      </c>
      <c r="E542">
        <v>4</v>
      </c>
      <c r="F542" s="5" t="str">
        <f>IFERROR(ROUND(COUNTIFS(Tasks!$A:$A,$A542,Tasks!$B:$B,$B542,Tasks!$I:$I,"&lt;="&amp;INDEX(Weeks!$D:$D,MATCH($C542,Weeks!$A:$A,0)),Tasks!$I:$I,"&lt;&gt;")/COUNTIFS(Tasks!$A:$A,$A542,Tasks!$B:$B,$B542)*100,0),"")</f>
        <v/>
      </c>
      <c r="G542" s="5" t="str">
        <f>IFERROR(ROUND(COUNTIFS(Tasks!$A:$A,$A542,Tasks!$B:$B,$B542,Tasks!$H:$H,"&lt;="&amp;INDEX(Weeks!$D:$D,MATCH($C542,Weeks!$A:$A,0)))/COUNTIFS(Tasks!$A:$A,$A542,Tasks!$B:$B,$B542)*100,0),"")</f>
        <v/>
      </c>
      <c r="H542" t="s">
        <v>92</v>
      </c>
      <c r="I542">
        <f>COUNTIFS(Tasks!$A:$A,$A542,Tasks!$B:$B,$B542,Tasks!$G:$G,"&lt;="&amp;INDEX(Weeks!$D:$D,MATCH($C542,Weeks!$A:$A,0)))-COUNTIFS(Tasks!$A:$A,$A542,Tasks!$B:$B,$B542,Tasks!$I:$I,"&lt;="&amp;INDEX(Weeks!$D:$D,MATCH($C542,Weeks!$A:$A,0)),Tasks!$I:$I,"&lt;&gt;")</f>
        <v>0</v>
      </c>
      <c r="J542">
        <f>COUNTIFS(Tasks!$A:$A,$A542,Tasks!$B:$B,$B542,
Tasks!$I:$I,"&gt;"&amp;IFERROR(INDEX(Weeks!$D:$D,MATCH($C542-1,Weeks!$A:$A,0)),DATE(2000,1,1)),
Tasks!$I:$I,"&lt;="&amp;INDEX(Weeks!$D:$D,MATCH($C542,Weeks!$A:$A,0)),
Tasks!$I:$I,"&lt;&gt;")</f>
        <v>0</v>
      </c>
    </row>
    <row r="543" spans="1:10" ht="15" customHeight="1">
      <c r="A543" t="s">
        <v>97</v>
      </c>
      <c r="B543" t="s">
        <v>99</v>
      </c>
      <c r="C543">
        <v>22</v>
      </c>
      <c r="D543">
        <v>5</v>
      </c>
      <c r="E543">
        <v>5</v>
      </c>
      <c r="F543" s="5" t="str">
        <f>IFERROR(ROUND(COUNTIFS(Tasks!$A:$A,$A543,Tasks!$B:$B,$B543,Tasks!$I:$I,"&lt;="&amp;INDEX(Weeks!$D:$D,MATCH($C543,Weeks!$A:$A,0)),Tasks!$I:$I,"&lt;&gt;")/COUNTIFS(Tasks!$A:$A,$A543,Tasks!$B:$B,$B543)*100,0),"")</f>
        <v/>
      </c>
      <c r="G543" s="5" t="str">
        <f>IFERROR(ROUND(COUNTIFS(Tasks!$A:$A,$A543,Tasks!$B:$B,$B543,Tasks!$H:$H,"&lt;="&amp;INDEX(Weeks!$D:$D,MATCH($C543,Weeks!$A:$A,0)))/COUNTIFS(Tasks!$A:$A,$A543,Tasks!$B:$B,$B543)*100,0),"")</f>
        <v/>
      </c>
      <c r="H543" t="s">
        <v>92</v>
      </c>
      <c r="I543">
        <f>COUNTIFS(Tasks!$A:$A,$A543,Tasks!$B:$B,$B543,Tasks!$G:$G,"&lt;="&amp;INDEX(Weeks!$D:$D,MATCH($C543,Weeks!$A:$A,0)))-COUNTIFS(Tasks!$A:$A,$A543,Tasks!$B:$B,$B543,Tasks!$I:$I,"&lt;="&amp;INDEX(Weeks!$D:$D,MATCH($C543,Weeks!$A:$A,0)),Tasks!$I:$I,"&lt;&gt;")</f>
        <v>0</v>
      </c>
      <c r="J543">
        <f>COUNTIFS(Tasks!$A:$A,$A543,Tasks!$B:$B,$B543,
Tasks!$I:$I,"&gt;"&amp;IFERROR(INDEX(Weeks!$D:$D,MATCH($C543-1,Weeks!$A:$A,0)),DATE(2000,1,1)),
Tasks!$I:$I,"&lt;="&amp;INDEX(Weeks!$D:$D,MATCH($C543,Weeks!$A:$A,0)),
Tasks!$I:$I,"&lt;&gt;")</f>
        <v>0</v>
      </c>
    </row>
    <row r="544" spans="1:10" ht="15" customHeight="1">
      <c r="A544" t="s">
        <v>97</v>
      </c>
      <c r="B544" t="s">
        <v>99</v>
      </c>
      <c r="C544">
        <v>23</v>
      </c>
      <c r="D544">
        <v>6</v>
      </c>
      <c r="E544">
        <v>1</v>
      </c>
      <c r="F544" s="5" t="str">
        <f>IFERROR(ROUND(COUNTIFS(Tasks!$A:$A,$A544,Tasks!$B:$B,$B544,Tasks!$I:$I,"&lt;="&amp;INDEX(Weeks!$D:$D,MATCH($C544,Weeks!$A:$A,0)),Tasks!$I:$I,"&lt;&gt;")/COUNTIFS(Tasks!$A:$A,$A544,Tasks!$B:$B,$B544)*100,0),"")</f>
        <v/>
      </c>
      <c r="G544" s="5" t="str">
        <f>IFERROR(ROUND(COUNTIFS(Tasks!$A:$A,$A544,Tasks!$B:$B,$B544,Tasks!$H:$H,"&lt;="&amp;INDEX(Weeks!$D:$D,MATCH($C544,Weeks!$A:$A,0)))/COUNTIFS(Tasks!$A:$A,$A544,Tasks!$B:$B,$B544)*100,0),"")</f>
        <v/>
      </c>
      <c r="H544" t="s">
        <v>92</v>
      </c>
      <c r="I544">
        <f>COUNTIFS(Tasks!$A:$A,$A544,Tasks!$B:$B,$B544,Tasks!$G:$G,"&lt;="&amp;INDEX(Weeks!$D:$D,MATCH($C544,Weeks!$A:$A,0)))-COUNTIFS(Tasks!$A:$A,$A544,Tasks!$B:$B,$B544,Tasks!$I:$I,"&lt;="&amp;INDEX(Weeks!$D:$D,MATCH($C544,Weeks!$A:$A,0)),Tasks!$I:$I,"&lt;&gt;")</f>
        <v>0</v>
      </c>
      <c r="J544">
        <f>COUNTIFS(Tasks!$A:$A,$A544,Tasks!$B:$B,$B544,
Tasks!$I:$I,"&gt;"&amp;IFERROR(INDEX(Weeks!$D:$D,MATCH($C544-1,Weeks!$A:$A,0)),DATE(2000,1,1)),
Tasks!$I:$I,"&lt;="&amp;INDEX(Weeks!$D:$D,MATCH($C544,Weeks!$A:$A,0)),
Tasks!$I:$I,"&lt;&gt;")</f>
        <v>0</v>
      </c>
    </row>
    <row r="545" spans="1:10" ht="15" customHeight="1">
      <c r="A545" t="s">
        <v>97</v>
      </c>
      <c r="B545" t="s">
        <v>99</v>
      </c>
      <c r="C545">
        <v>24</v>
      </c>
      <c r="D545">
        <v>6</v>
      </c>
      <c r="E545">
        <v>2</v>
      </c>
      <c r="F545" s="5" t="str">
        <f>IFERROR(ROUND(COUNTIFS(Tasks!$A:$A,$A545,Tasks!$B:$B,$B545,Tasks!$I:$I,"&lt;="&amp;INDEX(Weeks!$D:$D,MATCH($C545,Weeks!$A:$A,0)),Tasks!$I:$I,"&lt;&gt;")/COUNTIFS(Tasks!$A:$A,$A545,Tasks!$B:$B,$B545)*100,0),"")</f>
        <v/>
      </c>
      <c r="G545" s="5" t="str">
        <f>IFERROR(ROUND(COUNTIFS(Tasks!$A:$A,$A545,Tasks!$B:$B,$B545,Tasks!$H:$H,"&lt;="&amp;INDEX(Weeks!$D:$D,MATCH($C545,Weeks!$A:$A,0)))/COUNTIFS(Tasks!$A:$A,$A545,Tasks!$B:$B,$B545)*100,0),"")</f>
        <v/>
      </c>
      <c r="H545" t="s">
        <v>92</v>
      </c>
      <c r="I545">
        <f>COUNTIFS(Tasks!$A:$A,$A545,Tasks!$B:$B,$B545,Tasks!$G:$G,"&lt;="&amp;INDEX(Weeks!$D:$D,MATCH($C545,Weeks!$A:$A,0)))-COUNTIFS(Tasks!$A:$A,$A545,Tasks!$B:$B,$B545,Tasks!$I:$I,"&lt;="&amp;INDEX(Weeks!$D:$D,MATCH($C545,Weeks!$A:$A,0)),Tasks!$I:$I,"&lt;&gt;")</f>
        <v>0</v>
      </c>
      <c r="J545">
        <f>COUNTIFS(Tasks!$A:$A,$A545,Tasks!$B:$B,$B545,
Tasks!$I:$I,"&gt;"&amp;IFERROR(INDEX(Weeks!$D:$D,MATCH($C545-1,Weeks!$A:$A,0)),DATE(2000,1,1)),
Tasks!$I:$I,"&lt;="&amp;INDEX(Weeks!$D:$D,MATCH($C545,Weeks!$A:$A,0)),
Tasks!$I:$I,"&lt;&gt;")</f>
        <v>0</v>
      </c>
    </row>
    <row r="546" spans="1:10" ht="15" customHeight="1">
      <c r="A546" t="s">
        <v>97</v>
      </c>
      <c r="B546" t="s">
        <v>99</v>
      </c>
      <c r="C546">
        <v>25</v>
      </c>
      <c r="D546">
        <v>6</v>
      </c>
      <c r="E546">
        <v>3</v>
      </c>
      <c r="F546" s="5" t="str">
        <f>IFERROR(ROUND(COUNTIFS(Tasks!$A:$A,$A546,Tasks!$B:$B,$B546,Tasks!$I:$I,"&lt;="&amp;INDEX(Weeks!$D:$D,MATCH($C546,Weeks!$A:$A,0)),Tasks!$I:$I,"&lt;&gt;")/COUNTIFS(Tasks!$A:$A,$A546,Tasks!$B:$B,$B546)*100,0),"")</f>
        <v/>
      </c>
      <c r="G546" s="5" t="str">
        <f>IFERROR(ROUND(COUNTIFS(Tasks!$A:$A,$A546,Tasks!$B:$B,$B546,Tasks!$H:$H,"&lt;="&amp;INDEX(Weeks!$D:$D,MATCH($C546,Weeks!$A:$A,0)))/COUNTIFS(Tasks!$A:$A,$A546,Tasks!$B:$B,$B546)*100,0),"")</f>
        <v/>
      </c>
      <c r="I546">
        <f>COUNTIFS(Tasks!$A:$A,$A546,Tasks!$B:$B,$B546,Tasks!$G:$G,"&lt;="&amp;INDEX(Weeks!$D:$D,MATCH($C546,Weeks!$A:$A,0)))-COUNTIFS(Tasks!$A:$A,$A546,Tasks!$B:$B,$B546,Tasks!$I:$I,"&lt;="&amp;INDEX(Weeks!$D:$D,MATCH($C546,Weeks!$A:$A,0)),Tasks!$I:$I,"&lt;&gt;")</f>
        <v>0</v>
      </c>
      <c r="J546">
        <f>COUNTIFS(Tasks!$A:$A,$A546,Tasks!$B:$B,$B546,
Tasks!$I:$I,"&gt;"&amp;IFERROR(INDEX(Weeks!$D:$D,MATCH($C546-1,Weeks!$A:$A,0)),DATE(2000,1,1)),
Tasks!$I:$I,"&lt;="&amp;INDEX(Weeks!$D:$D,MATCH($C546,Weeks!$A:$A,0)),
Tasks!$I:$I,"&lt;&gt;")</f>
        <v>0</v>
      </c>
    </row>
    <row r="547" spans="1:10" ht="15" customHeight="1">
      <c r="A547" t="s">
        <v>97</v>
      </c>
      <c r="B547" t="s">
        <v>99</v>
      </c>
      <c r="C547">
        <v>26</v>
      </c>
      <c r="D547">
        <v>6</v>
      </c>
      <c r="E547">
        <v>4</v>
      </c>
      <c r="F547" s="5" t="str">
        <f>IFERROR(ROUND(COUNTIFS(Tasks!$A:$A,$A547,Tasks!$B:$B,$B547,Tasks!$I:$I,"&lt;="&amp;INDEX(Weeks!$D:$D,MATCH($C547,Weeks!$A:$A,0)),Tasks!$I:$I,"&lt;&gt;")/COUNTIFS(Tasks!$A:$A,$A547,Tasks!$B:$B,$B547)*100,0),"")</f>
        <v/>
      </c>
      <c r="G547" s="5" t="str">
        <f>IFERROR(ROUND(COUNTIFS(Tasks!$A:$A,$A547,Tasks!$B:$B,$B547,Tasks!$H:$H,"&lt;="&amp;INDEX(Weeks!$D:$D,MATCH($C547,Weeks!$A:$A,0)))/COUNTIFS(Tasks!$A:$A,$A547,Tasks!$B:$B,$B547)*100,0),"")</f>
        <v/>
      </c>
      <c r="I547">
        <f>COUNTIFS(Tasks!$A:$A,$A547,Tasks!$B:$B,$B547,Tasks!$G:$G,"&lt;="&amp;INDEX(Weeks!$D:$D,MATCH($C547,Weeks!$A:$A,0)))-COUNTIFS(Tasks!$A:$A,$A547,Tasks!$B:$B,$B547,Tasks!$I:$I,"&lt;="&amp;INDEX(Weeks!$D:$D,MATCH($C547,Weeks!$A:$A,0)),Tasks!$I:$I,"&lt;&gt;")</f>
        <v>0</v>
      </c>
      <c r="J547">
        <f>COUNTIFS(Tasks!$A:$A,$A547,Tasks!$B:$B,$B547,
Tasks!$I:$I,"&gt;"&amp;IFERROR(INDEX(Weeks!$D:$D,MATCH($C547-1,Weeks!$A:$A,0)),DATE(2000,1,1)),
Tasks!$I:$I,"&lt;="&amp;INDEX(Weeks!$D:$D,MATCH($C547,Weeks!$A:$A,0)),
Tasks!$I:$I,"&lt;&gt;")</f>
        <v>0</v>
      </c>
    </row>
    <row r="548" spans="1:10" ht="15" customHeight="1">
      <c r="A548" t="s">
        <v>97</v>
      </c>
      <c r="B548" t="s">
        <v>99</v>
      </c>
      <c r="C548">
        <v>27</v>
      </c>
      <c r="D548">
        <v>7</v>
      </c>
      <c r="E548">
        <v>1</v>
      </c>
      <c r="F548" s="5" t="str">
        <f>IFERROR(ROUND(COUNTIFS(Tasks!$A:$A,$A548,Tasks!$B:$B,$B548,Tasks!$I:$I,"&lt;="&amp;INDEX(Weeks!$D:$D,MATCH($C548,Weeks!$A:$A,0)),Tasks!$I:$I,"&lt;&gt;")/COUNTIFS(Tasks!$A:$A,$A548,Tasks!$B:$B,$B548)*100,0),"")</f>
        <v/>
      </c>
      <c r="G548" s="5" t="str">
        <f>IFERROR(ROUND(COUNTIFS(Tasks!$A:$A,$A548,Tasks!$B:$B,$B548,Tasks!$H:$H,"&lt;="&amp;INDEX(Weeks!$D:$D,MATCH($C548,Weeks!$A:$A,0)))/COUNTIFS(Tasks!$A:$A,$A548,Tasks!$B:$B,$B548)*100,0),"")</f>
        <v/>
      </c>
      <c r="I548">
        <f>COUNTIFS(Tasks!$A:$A,$A548,Tasks!$B:$B,$B548,Tasks!$G:$G,"&lt;="&amp;INDEX(Weeks!$D:$D,MATCH($C548,Weeks!$A:$A,0)))-COUNTIFS(Tasks!$A:$A,$A548,Tasks!$B:$B,$B548,Tasks!$I:$I,"&lt;="&amp;INDEX(Weeks!$D:$D,MATCH($C548,Weeks!$A:$A,0)),Tasks!$I:$I,"&lt;&gt;")</f>
        <v>0</v>
      </c>
      <c r="J548">
        <f>COUNTIFS(Tasks!$A:$A,$A548,Tasks!$B:$B,$B548,
Tasks!$I:$I,"&gt;"&amp;IFERROR(INDEX(Weeks!$D:$D,MATCH($C548-1,Weeks!$A:$A,0)),DATE(2000,1,1)),
Tasks!$I:$I,"&lt;="&amp;INDEX(Weeks!$D:$D,MATCH($C548,Weeks!$A:$A,0)),
Tasks!$I:$I,"&lt;&gt;")</f>
        <v>0</v>
      </c>
    </row>
    <row r="549" spans="1:10" ht="15" customHeight="1">
      <c r="A549" t="s">
        <v>97</v>
      </c>
      <c r="B549" t="s">
        <v>99</v>
      </c>
      <c r="C549">
        <v>28</v>
      </c>
      <c r="D549">
        <v>7</v>
      </c>
      <c r="E549">
        <v>2</v>
      </c>
      <c r="F549" s="5" t="str">
        <f>IFERROR(ROUND(COUNTIFS(Tasks!$A:$A,$A549,Tasks!$B:$B,$B549,Tasks!$I:$I,"&lt;="&amp;INDEX(Weeks!$D:$D,MATCH($C549,Weeks!$A:$A,0)),Tasks!$I:$I,"&lt;&gt;")/COUNTIFS(Tasks!$A:$A,$A549,Tasks!$B:$B,$B549)*100,0),"")</f>
        <v/>
      </c>
      <c r="G549" s="5" t="str">
        <f>IFERROR(ROUND(COUNTIFS(Tasks!$A:$A,$A549,Tasks!$B:$B,$B549,Tasks!$H:$H,"&lt;="&amp;INDEX(Weeks!$D:$D,MATCH($C549,Weeks!$A:$A,0)))/COUNTIFS(Tasks!$A:$A,$A549,Tasks!$B:$B,$B549)*100,0),"")</f>
        <v/>
      </c>
      <c r="I549">
        <f>COUNTIFS(Tasks!$A:$A,$A549,Tasks!$B:$B,$B549,Tasks!$G:$G,"&lt;="&amp;INDEX(Weeks!$D:$D,MATCH($C549,Weeks!$A:$A,0)))-COUNTIFS(Tasks!$A:$A,$A549,Tasks!$B:$B,$B549,Tasks!$I:$I,"&lt;="&amp;INDEX(Weeks!$D:$D,MATCH($C549,Weeks!$A:$A,0)),Tasks!$I:$I,"&lt;&gt;")</f>
        <v>0</v>
      </c>
      <c r="J549">
        <f>COUNTIFS(Tasks!$A:$A,$A549,Tasks!$B:$B,$B549,
Tasks!$I:$I,"&gt;"&amp;IFERROR(INDEX(Weeks!$D:$D,MATCH($C549-1,Weeks!$A:$A,0)),DATE(2000,1,1)),
Tasks!$I:$I,"&lt;="&amp;INDEX(Weeks!$D:$D,MATCH($C549,Weeks!$A:$A,0)),
Tasks!$I:$I,"&lt;&gt;")</f>
        <v>0</v>
      </c>
    </row>
    <row r="550" spans="1:10" ht="15" customHeight="1">
      <c r="A550" t="s">
        <v>97</v>
      </c>
      <c r="B550" t="s">
        <v>99</v>
      </c>
      <c r="C550">
        <v>29</v>
      </c>
      <c r="D550">
        <v>7</v>
      </c>
      <c r="E550">
        <v>3</v>
      </c>
      <c r="F550" s="5" t="str">
        <f>IFERROR(ROUND(COUNTIFS(Tasks!$A:$A,$A550,Tasks!$B:$B,$B550,Tasks!$I:$I,"&lt;="&amp;INDEX(Weeks!$D:$D,MATCH($C550,Weeks!$A:$A,0)),Tasks!$I:$I,"&lt;&gt;")/COUNTIFS(Tasks!$A:$A,$A550,Tasks!$B:$B,$B550)*100,0),"")</f>
        <v/>
      </c>
      <c r="G550" s="5" t="str">
        <f>IFERROR(ROUND(COUNTIFS(Tasks!$A:$A,$A550,Tasks!$B:$B,$B550,Tasks!$H:$H,"&lt;="&amp;INDEX(Weeks!$D:$D,MATCH($C550,Weeks!$A:$A,0)))/COUNTIFS(Tasks!$A:$A,$A550,Tasks!$B:$B,$B550)*100,0),"")</f>
        <v/>
      </c>
      <c r="I550">
        <f>COUNTIFS(Tasks!$A:$A,$A550,Tasks!$B:$B,$B550,Tasks!$G:$G,"&lt;="&amp;INDEX(Weeks!$D:$D,MATCH($C550,Weeks!$A:$A,0)))-COUNTIFS(Tasks!$A:$A,$A550,Tasks!$B:$B,$B550,Tasks!$I:$I,"&lt;="&amp;INDEX(Weeks!$D:$D,MATCH($C550,Weeks!$A:$A,0)),Tasks!$I:$I,"&lt;&gt;")</f>
        <v>0</v>
      </c>
      <c r="J550">
        <f>COUNTIFS(Tasks!$A:$A,$A550,Tasks!$B:$B,$B550,
Tasks!$I:$I,"&gt;"&amp;IFERROR(INDEX(Weeks!$D:$D,MATCH($C550-1,Weeks!$A:$A,0)),DATE(2000,1,1)),
Tasks!$I:$I,"&lt;="&amp;INDEX(Weeks!$D:$D,MATCH($C550,Weeks!$A:$A,0)),
Tasks!$I:$I,"&lt;&gt;")</f>
        <v>0</v>
      </c>
    </row>
    <row r="551" spans="1:10" ht="15" customHeight="1">
      <c r="A551" t="s">
        <v>97</v>
      </c>
      <c r="B551" t="s">
        <v>99</v>
      </c>
      <c r="C551">
        <v>30</v>
      </c>
      <c r="D551">
        <v>7</v>
      </c>
      <c r="E551">
        <v>4</v>
      </c>
      <c r="F551" s="5" t="str">
        <f>IFERROR(ROUND(COUNTIFS(Tasks!$A:$A,$A551,Tasks!$B:$B,$B551,Tasks!$I:$I,"&lt;="&amp;INDEX(Weeks!$D:$D,MATCH($C551,Weeks!$A:$A,0)),Tasks!$I:$I,"&lt;&gt;")/COUNTIFS(Tasks!$A:$A,$A551,Tasks!$B:$B,$B551)*100,0),"")</f>
        <v/>
      </c>
      <c r="G551" s="5" t="str">
        <f>IFERROR(ROUND(COUNTIFS(Tasks!$A:$A,$A551,Tasks!$B:$B,$B551,Tasks!$H:$H,"&lt;="&amp;INDEX(Weeks!$D:$D,MATCH($C551,Weeks!$A:$A,0)))/COUNTIFS(Tasks!$A:$A,$A551,Tasks!$B:$B,$B551)*100,0),"")</f>
        <v/>
      </c>
      <c r="I551">
        <f>COUNTIFS(Tasks!$A:$A,$A551,Tasks!$B:$B,$B551,Tasks!$G:$G,"&lt;="&amp;INDEX(Weeks!$D:$D,MATCH($C551,Weeks!$A:$A,0)))-COUNTIFS(Tasks!$A:$A,$A551,Tasks!$B:$B,$B551,Tasks!$I:$I,"&lt;="&amp;INDEX(Weeks!$D:$D,MATCH($C551,Weeks!$A:$A,0)),Tasks!$I:$I,"&lt;&gt;")</f>
        <v>0</v>
      </c>
      <c r="J551">
        <f>COUNTIFS(Tasks!$A:$A,$A551,Tasks!$B:$B,$B551,
Tasks!$I:$I,"&gt;"&amp;IFERROR(INDEX(Weeks!$D:$D,MATCH($C551-1,Weeks!$A:$A,0)),DATE(2000,1,1)),
Tasks!$I:$I,"&lt;="&amp;INDEX(Weeks!$D:$D,MATCH($C551,Weeks!$A:$A,0)),
Tasks!$I:$I,"&lt;&gt;")</f>
        <v>0</v>
      </c>
    </row>
    <row r="552" spans="1:10" ht="15" customHeight="1">
      <c r="A552" t="s">
        <v>97</v>
      </c>
      <c r="B552" t="s">
        <v>99</v>
      </c>
      <c r="C552">
        <v>31</v>
      </c>
      <c r="D552">
        <v>8</v>
      </c>
      <c r="E552">
        <v>1</v>
      </c>
      <c r="F552" s="5" t="str">
        <f>IFERROR(ROUND(COUNTIFS(Tasks!$A:$A,$A552,Tasks!$B:$B,$B552,Tasks!$I:$I,"&lt;="&amp;INDEX(Weeks!$D:$D,MATCH($C552,Weeks!$A:$A,0)),Tasks!$I:$I,"&lt;&gt;")/COUNTIFS(Tasks!$A:$A,$A552,Tasks!$B:$B,$B552)*100,0),"")</f>
        <v/>
      </c>
      <c r="G552" s="5" t="str">
        <f>IFERROR(ROUND(COUNTIFS(Tasks!$A:$A,$A552,Tasks!$B:$B,$B552,Tasks!$H:$H,"&lt;="&amp;INDEX(Weeks!$D:$D,MATCH($C552,Weeks!$A:$A,0)))/COUNTIFS(Tasks!$A:$A,$A552,Tasks!$B:$B,$B552)*100,0),"")</f>
        <v/>
      </c>
      <c r="I552">
        <f>COUNTIFS(Tasks!$A:$A,$A552,Tasks!$B:$B,$B552,Tasks!$G:$G,"&lt;="&amp;INDEX(Weeks!$D:$D,MATCH($C552,Weeks!$A:$A,0)))-COUNTIFS(Tasks!$A:$A,$A552,Tasks!$B:$B,$B552,Tasks!$I:$I,"&lt;="&amp;INDEX(Weeks!$D:$D,MATCH($C552,Weeks!$A:$A,0)),Tasks!$I:$I,"&lt;&gt;")</f>
        <v>0</v>
      </c>
      <c r="J552">
        <f>COUNTIFS(Tasks!$A:$A,$A552,Tasks!$B:$B,$B552,
Tasks!$I:$I,"&gt;"&amp;IFERROR(INDEX(Weeks!$D:$D,MATCH($C552-1,Weeks!$A:$A,0)),DATE(2000,1,1)),
Tasks!$I:$I,"&lt;="&amp;INDEX(Weeks!$D:$D,MATCH($C552,Weeks!$A:$A,0)),
Tasks!$I:$I,"&lt;&gt;")</f>
        <v>0</v>
      </c>
    </row>
    <row r="553" spans="1:10" ht="15" customHeight="1">
      <c r="A553" t="s">
        <v>97</v>
      </c>
      <c r="B553" t="s">
        <v>99</v>
      </c>
      <c r="C553">
        <v>32</v>
      </c>
      <c r="D553">
        <v>8</v>
      </c>
      <c r="E553">
        <v>2</v>
      </c>
      <c r="F553" s="5" t="str">
        <f>IFERROR(ROUND(COUNTIFS(Tasks!$A:$A,$A553,Tasks!$B:$B,$B553,Tasks!$I:$I,"&lt;="&amp;INDEX(Weeks!$D:$D,MATCH($C553,Weeks!$A:$A,0)),Tasks!$I:$I,"&lt;&gt;")/COUNTIFS(Tasks!$A:$A,$A553,Tasks!$B:$B,$B553)*100,0),"")</f>
        <v/>
      </c>
      <c r="G553" s="5" t="str">
        <f>IFERROR(ROUND(COUNTIFS(Tasks!$A:$A,$A553,Tasks!$B:$B,$B553,Tasks!$H:$H,"&lt;="&amp;INDEX(Weeks!$D:$D,MATCH($C553,Weeks!$A:$A,0)))/COUNTIFS(Tasks!$A:$A,$A553,Tasks!$B:$B,$B553)*100,0),"")</f>
        <v/>
      </c>
      <c r="I553">
        <f>COUNTIFS(Tasks!$A:$A,$A553,Tasks!$B:$B,$B553,Tasks!$G:$G,"&lt;="&amp;INDEX(Weeks!$D:$D,MATCH($C553,Weeks!$A:$A,0)))-COUNTIFS(Tasks!$A:$A,$A553,Tasks!$B:$B,$B553,Tasks!$I:$I,"&lt;="&amp;INDEX(Weeks!$D:$D,MATCH($C553,Weeks!$A:$A,0)),Tasks!$I:$I,"&lt;&gt;")</f>
        <v>0</v>
      </c>
      <c r="J553">
        <f>COUNTIFS(Tasks!$A:$A,$A553,Tasks!$B:$B,$B553,
Tasks!$I:$I,"&gt;"&amp;IFERROR(INDEX(Weeks!$D:$D,MATCH($C553-1,Weeks!$A:$A,0)),DATE(2000,1,1)),
Tasks!$I:$I,"&lt;="&amp;INDEX(Weeks!$D:$D,MATCH($C553,Weeks!$A:$A,0)),
Tasks!$I:$I,"&lt;&gt;")</f>
        <v>0</v>
      </c>
    </row>
    <row r="554" spans="1:10" ht="15" customHeight="1">
      <c r="A554" t="s">
        <v>97</v>
      </c>
      <c r="B554" t="s">
        <v>99</v>
      </c>
      <c r="C554">
        <v>33</v>
      </c>
      <c r="D554">
        <v>8</v>
      </c>
      <c r="E554">
        <v>3</v>
      </c>
      <c r="F554" s="5" t="str">
        <f>IFERROR(ROUND(COUNTIFS(Tasks!$A:$A,$A554,Tasks!$B:$B,$B554,Tasks!$I:$I,"&lt;="&amp;INDEX(Weeks!$D:$D,MATCH($C554,Weeks!$A:$A,0)),Tasks!$I:$I,"&lt;&gt;")/COUNTIFS(Tasks!$A:$A,$A554,Tasks!$B:$B,$B554)*100,0),"")</f>
        <v/>
      </c>
      <c r="G554" s="5" t="str">
        <f>IFERROR(ROUND(COUNTIFS(Tasks!$A:$A,$A554,Tasks!$B:$B,$B554,Tasks!$H:$H,"&lt;="&amp;INDEX(Weeks!$D:$D,MATCH($C554,Weeks!$A:$A,0)))/COUNTIFS(Tasks!$A:$A,$A554,Tasks!$B:$B,$B554)*100,0),"")</f>
        <v/>
      </c>
      <c r="I554">
        <f>COUNTIFS(Tasks!$A:$A,$A554,Tasks!$B:$B,$B554,Tasks!$G:$G,"&lt;="&amp;INDEX(Weeks!$D:$D,MATCH($C554,Weeks!$A:$A,0)))-COUNTIFS(Tasks!$A:$A,$A554,Tasks!$B:$B,$B554,Tasks!$I:$I,"&lt;="&amp;INDEX(Weeks!$D:$D,MATCH($C554,Weeks!$A:$A,0)),Tasks!$I:$I,"&lt;&gt;")</f>
        <v>0</v>
      </c>
      <c r="J554">
        <f>COUNTIFS(Tasks!$A:$A,$A554,Tasks!$B:$B,$B554,
Tasks!$I:$I,"&gt;"&amp;IFERROR(INDEX(Weeks!$D:$D,MATCH($C554-1,Weeks!$A:$A,0)),DATE(2000,1,1)),
Tasks!$I:$I,"&lt;="&amp;INDEX(Weeks!$D:$D,MATCH($C554,Weeks!$A:$A,0)),
Tasks!$I:$I,"&lt;&gt;")</f>
        <v>0</v>
      </c>
    </row>
    <row r="555" spans="1:10" ht="15" customHeight="1">
      <c r="A555" t="s">
        <v>97</v>
      </c>
      <c r="B555" t="s">
        <v>99</v>
      </c>
      <c r="C555">
        <v>34</v>
      </c>
      <c r="D555">
        <v>8</v>
      </c>
      <c r="E555">
        <v>4</v>
      </c>
      <c r="F555" s="5" t="str">
        <f>IFERROR(ROUND(COUNTIFS(Tasks!$A:$A,$A555,Tasks!$B:$B,$B555,Tasks!$I:$I,"&lt;="&amp;INDEX(Weeks!$D:$D,MATCH($C555,Weeks!$A:$A,0)),Tasks!$I:$I,"&lt;&gt;")/COUNTIFS(Tasks!$A:$A,$A555,Tasks!$B:$B,$B555)*100,0),"")</f>
        <v/>
      </c>
      <c r="G555" s="5" t="str">
        <f>IFERROR(ROUND(COUNTIFS(Tasks!$A:$A,$A555,Tasks!$B:$B,$B555,Tasks!$H:$H,"&lt;="&amp;INDEX(Weeks!$D:$D,MATCH($C555,Weeks!$A:$A,0)))/COUNTIFS(Tasks!$A:$A,$A555,Tasks!$B:$B,$B555)*100,0),"")</f>
        <v/>
      </c>
      <c r="I555">
        <f>COUNTIFS(Tasks!$A:$A,$A555,Tasks!$B:$B,$B555,Tasks!$G:$G,"&lt;="&amp;INDEX(Weeks!$D:$D,MATCH($C555,Weeks!$A:$A,0)))-COUNTIFS(Tasks!$A:$A,$A555,Tasks!$B:$B,$B555,Tasks!$I:$I,"&lt;="&amp;INDEX(Weeks!$D:$D,MATCH($C555,Weeks!$A:$A,0)),Tasks!$I:$I,"&lt;&gt;")</f>
        <v>0</v>
      </c>
      <c r="J555">
        <f>COUNTIFS(Tasks!$A:$A,$A555,Tasks!$B:$B,$B555,
Tasks!$I:$I,"&gt;"&amp;IFERROR(INDEX(Weeks!$D:$D,MATCH($C555-1,Weeks!$A:$A,0)),DATE(2000,1,1)),
Tasks!$I:$I,"&lt;="&amp;INDEX(Weeks!$D:$D,MATCH($C555,Weeks!$A:$A,0)),
Tasks!$I:$I,"&lt;&gt;")</f>
        <v>0</v>
      </c>
    </row>
    <row r="556" spans="1:10" ht="15" customHeight="1">
      <c r="A556" t="s">
        <v>97</v>
      </c>
      <c r="B556" t="s">
        <v>99</v>
      </c>
      <c r="C556">
        <v>35</v>
      </c>
      <c r="D556">
        <v>8</v>
      </c>
      <c r="E556">
        <v>5</v>
      </c>
      <c r="F556" s="5" t="str">
        <f>IFERROR(ROUND(COUNTIFS(Tasks!$A:$A,$A556,Tasks!$B:$B,$B556,Tasks!$I:$I,"&lt;="&amp;INDEX(Weeks!$D:$D,MATCH($C556,Weeks!$A:$A,0)),Tasks!$I:$I,"&lt;&gt;")/COUNTIFS(Tasks!$A:$A,$A556,Tasks!$B:$B,$B556)*100,0),"")</f>
        <v/>
      </c>
      <c r="G556" s="5" t="str">
        <f>IFERROR(ROUND(COUNTIFS(Tasks!$A:$A,$A556,Tasks!$B:$B,$B556,Tasks!$H:$H,"&lt;="&amp;INDEX(Weeks!$D:$D,MATCH($C556,Weeks!$A:$A,0)))/COUNTIFS(Tasks!$A:$A,$A556,Tasks!$B:$B,$B556)*100,0),"")</f>
        <v/>
      </c>
      <c r="I556">
        <f>COUNTIFS(Tasks!$A:$A,$A556,Tasks!$B:$B,$B556,Tasks!$G:$G,"&lt;="&amp;INDEX(Weeks!$D:$D,MATCH($C556,Weeks!$A:$A,0)))-COUNTIFS(Tasks!$A:$A,$A556,Tasks!$B:$B,$B556,Tasks!$I:$I,"&lt;="&amp;INDEX(Weeks!$D:$D,MATCH($C556,Weeks!$A:$A,0)),Tasks!$I:$I,"&lt;&gt;")</f>
        <v>0</v>
      </c>
      <c r="J556">
        <f>COUNTIFS(Tasks!$A:$A,$A556,Tasks!$B:$B,$B556,
Tasks!$I:$I,"&gt;"&amp;IFERROR(INDEX(Weeks!$D:$D,MATCH($C556-1,Weeks!$A:$A,0)),DATE(2000,1,1)),
Tasks!$I:$I,"&lt;="&amp;INDEX(Weeks!$D:$D,MATCH($C556,Weeks!$A:$A,0)),
Tasks!$I:$I,"&lt;&gt;")</f>
        <v>0</v>
      </c>
    </row>
    <row r="557" spans="1:10" ht="15" customHeight="1">
      <c r="A557" t="s">
        <v>97</v>
      </c>
      <c r="B557" t="s">
        <v>99</v>
      </c>
      <c r="C557">
        <v>36</v>
      </c>
      <c r="D557">
        <v>9</v>
      </c>
      <c r="E557">
        <v>1</v>
      </c>
      <c r="F557" s="5" t="str">
        <f>IFERROR(ROUND(COUNTIFS(Tasks!$A:$A,$A557,Tasks!$B:$B,$B557,Tasks!$I:$I,"&lt;="&amp;INDEX(Weeks!$D:$D,MATCH($C557,Weeks!$A:$A,0)),Tasks!$I:$I,"&lt;&gt;")/COUNTIFS(Tasks!$A:$A,$A557,Tasks!$B:$B,$B557)*100,0),"")</f>
        <v/>
      </c>
      <c r="G557" s="5" t="str">
        <f>IFERROR(ROUND(COUNTIFS(Tasks!$A:$A,$A557,Tasks!$B:$B,$B557,Tasks!$H:$H,"&lt;="&amp;INDEX(Weeks!$D:$D,MATCH($C557,Weeks!$A:$A,0)))/COUNTIFS(Tasks!$A:$A,$A557,Tasks!$B:$B,$B557)*100,0),"")</f>
        <v/>
      </c>
      <c r="I557">
        <f>COUNTIFS(Tasks!$A:$A,$A557,Tasks!$B:$B,$B557,Tasks!$G:$G,"&lt;="&amp;INDEX(Weeks!$D:$D,MATCH($C557,Weeks!$A:$A,0)))-COUNTIFS(Tasks!$A:$A,$A557,Tasks!$B:$B,$B557,Tasks!$I:$I,"&lt;="&amp;INDEX(Weeks!$D:$D,MATCH($C557,Weeks!$A:$A,0)),Tasks!$I:$I,"&lt;&gt;")</f>
        <v>0</v>
      </c>
      <c r="J557">
        <f>COUNTIFS(Tasks!$A:$A,$A557,Tasks!$B:$B,$B557,
Tasks!$I:$I,"&gt;"&amp;IFERROR(INDEX(Weeks!$D:$D,MATCH($C557-1,Weeks!$A:$A,0)),DATE(2000,1,1)),
Tasks!$I:$I,"&lt;="&amp;INDEX(Weeks!$D:$D,MATCH($C557,Weeks!$A:$A,0)),
Tasks!$I:$I,"&lt;&gt;")</f>
        <v>0</v>
      </c>
    </row>
    <row r="558" spans="1:10" ht="15" customHeight="1">
      <c r="A558" t="s">
        <v>97</v>
      </c>
      <c r="B558" t="s">
        <v>99</v>
      </c>
      <c r="C558">
        <v>37</v>
      </c>
      <c r="D558">
        <v>9</v>
      </c>
      <c r="E558">
        <v>2</v>
      </c>
      <c r="F558" s="5" t="str">
        <f>IFERROR(ROUND(COUNTIFS(Tasks!$A:$A,$A558,Tasks!$B:$B,$B558,Tasks!$I:$I,"&lt;="&amp;INDEX(Weeks!$D:$D,MATCH($C558,Weeks!$A:$A,0)),Tasks!$I:$I,"&lt;&gt;")/COUNTIFS(Tasks!$A:$A,$A558,Tasks!$B:$B,$B558)*100,0),"")</f>
        <v/>
      </c>
      <c r="G558" s="5" t="str">
        <f>IFERROR(ROUND(COUNTIFS(Tasks!$A:$A,$A558,Tasks!$B:$B,$B558,Tasks!$H:$H,"&lt;="&amp;INDEX(Weeks!$D:$D,MATCH($C558,Weeks!$A:$A,0)))/COUNTIFS(Tasks!$A:$A,$A558,Tasks!$B:$B,$B558)*100,0),"")</f>
        <v/>
      </c>
      <c r="I558">
        <f>COUNTIFS(Tasks!$A:$A,$A558,Tasks!$B:$B,$B558,Tasks!$G:$G,"&lt;="&amp;INDEX(Weeks!$D:$D,MATCH($C558,Weeks!$A:$A,0)))-COUNTIFS(Tasks!$A:$A,$A558,Tasks!$B:$B,$B558,Tasks!$I:$I,"&lt;="&amp;INDEX(Weeks!$D:$D,MATCH($C558,Weeks!$A:$A,0)),Tasks!$I:$I,"&lt;&gt;")</f>
        <v>0</v>
      </c>
      <c r="J558">
        <f>COUNTIFS(Tasks!$A:$A,$A558,Tasks!$B:$B,$B558,
Tasks!$I:$I,"&gt;"&amp;IFERROR(INDEX(Weeks!$D:$D,MATCH($C558-1,Weeks!$A:$A,0)),DATE(2000,1,1)),
Tasks!$I:$I,"&lt;="&amp;INDEX(Weeks!$D:$D,MATCH($C558,Weeks!$A:$A,0)),
Tasks!$I:$I,"&lt;&gt;")</f>
        <v>0</v>
      </c>
    </row>
    <row r="559" spans="1:10" ht="15" customHeight="1">
      <c r="A559" t="s">
        <v>97</v>
      </c>
      <c r="B559" t="s">
        <v>99</v>
      </c>
      <c r="C559">
        <v>38</v>
      </c>
      <c r="D559">
        <v>9</v>
      </c>
      <c r="E559">
        <v>3</v>
      </c>
      <c r="F559" s="5" t="str">
        <f>IFERROR(ROUND(COUNTIFS(Tasks!$A:$A,$A559,Tasks!$B:$B,$B559,Tasks!$I:$I,"&lt;="&amp;INDEX(Weeks!$D:$D,MATCH($C559,Weeks!$A:$A,0)),Tasks!$I:$I,"&lt;&gt;")/COUNTIFS(Tasks!$A:$A,$A559,Tasks!$B:$B,$B559)*100,0),"")</f>
        <v/>
      </c>
      <c r="G559" s="5" t="str">
        <f>IFERROR(ROUND(COUNTIFS(Tasks!$A:$A,$A559,Tasks!$B:$B,$B559,Tasks!$H:$H,"&lt;="&amp;INDEX(Weeks!$D:$D,MATCH($C559,Weeks!$A:$A,0)))/COUNTIFS(Tasks!$A:$A,$A559,Tasks!$B:$B,$B559)*100,0),"")</f>
        <v/>
      </c>
      <c r="I559">
        <f>COUNTIFS(Tasks!$A:$A,$A559,Tasks!$B:$B,$B559,Tasks!$G:$G,"&lt;="&amp;INDEX(Weeks!$D:$D,MATCH($C559,Weeks!$A:$A,0)))-COUNTIFS(Tasks!$A:$A,$A559,Tasks!$B:$B,$B559,Tasks!$I:$I,"&lt;="&amp;INDEX(Weeks!$D:$D,MATCH($C559,Weeks!$A:$A,0)),Tasks!$I:$I,"&lt;&gt;")</f>
        <v>0</v>
      </c>
      <c r="J559">
        <f>COUNTIFS(Tasks!$A:$A,$A559,Tasks!$B:$B,$B559,
Tasks!$I:$I,"&gt;"&amp;IFERROR(INDEX(Weeks!$D:$D,MATCH($C559-1,Weeks!$A:$A,0)),DATE(2000,1,1)),
Tasks!$I:$I,"&lt;="&amp;INDEX(Weeks!$D:$D,MATCH($C559,Weeks!$A:$A,0)),
Tasks!$I:$I,"&lt;&gt;")</f>
        <v>0</v>
      </c>
    </row>
    <row r="560" spans="1:10" ht="15" customHeight="1">
      <c r="A560" t="s">
        <v>97</v>
      </c>
      <c r="B560" t="s">
        <v>99</v>
      </c>
      <c r="C560">
        <v>39</v>
      </c>
      <c r="D560">
        <v>9</v>
      </c>
      <c r="E560">
        <v>4</v>
      </c>
      <c r="F560" s="5" t="str">
        <f>IFERROR(ROUND(COUNTIFS(Tasks!$A:$A,$A560,Tasks!$B:$B,$B560,Tasks!$I:$I,"&lt;="&amp;INDEX(Weeks!$D:$D,MATCH($C560,Weeks!$A:$A,0)),Tasks!$I:$I,"&lt;&gt;")/COUNTIFS(Tasks!$A:$A,$A560,Tasks!$B:$B,$B560)*100,0),"")</f>
        <v/>
      </c>
      <c r="G560" s="5" t="str">
        <f>IFERROR(ROUND(COUNTIFS(Tasks!$A:$A,$A560,Tasks!$B:$B,$B560,Tasks!$H:$H,"&lt;="&amp;INDEX(Weeks!$D:$D,MATCH($C560,Weeks!$A:$A,0)))/COUNTIFS(Tasks!$A:$A,$A560,Tasks!$B:$B,$B560)*100,0),"")</f>
        <v/>
      </c>
      <c r="I560">
        <f>COUNTIFS(Tasks!$A:$A,$A560,Tasks!$B:$B,$B560,Tasks!$G:$G,"&lt;="&amp;INDEX(Weeks!$D:$D,MATCH($C560,Weeks!$A:$A,0)))-COUNTIFS(Tasks!$A:$A,$A560,Tasks!$B:$B,$B560,Tasks!$I:$I,"&lt;="&amp;INDEX(Weeks!$D:$D,MATCH($C560,Weeks!$A:$A,0)),Tasks!$I:$I,"&lt;&gt;")</f>
        <v>0</v>
      </c>
      <c r="J560">
        <f>COUNTIFS(Tasks!$A:$A,$A560,Tasks!$B:$B,$B560,
Tasks!$I:$I,"&gt;"&amp;IFERROR(INDEX(Weeks!$D:$D,MATCH($C560-1,Weeks!$A:$A,0)),DATE(2000,1,1)),
Tasks!$I:$I,"&lt;="&amp;INDEX(Weeks!$D:$D,MATCH($C560,Weeks!$A:$A,0)),
Tasks!$I:$I,"&lt;&gt;")</f>
        <v>0</v>
      </c>
    </row>
    <row r="561" spans="1:10" ht="15" customHeight="1">
      <c r="A561" t="s">
        <v>97</v>
      </c>
      <c r="B561" t="s">
        <v>99</v>
      </c>
      <c r="C561">
        <v>40</v>
      </c>
      <c r="D561">
        <v>10</v>
      </c>
      <c r="E561">
        <v>1</v>
      </c>
      <c r="F561" s="5" t="str">
        <f>IFERROR(ROUND(COUNTIFS(Tasks!$A:$A,$A561,Tasks!$B:$B,$B561,Tasks!$I:$I,"&lt;="&amp;INDEX(Weeks!$D:$D,MATCH($C561,Weeks!$A:$A,0)),Tasks!$I:$I,"&lt;&gt;")/COUNTIFS(Tasks!$A:$A,$A561,Tasks!$B:$B,$B561)*100,0),"")</f>
        <v/>
      </c>
      <c r="G561" s="5" t="str">
        <f>IFERROR(ROUND(COUNTIFS(Tasks!$A:$A,$A561,Tasks!$B:$B,$B561,Tasks!$H:$H,"&lt;="&amp;INDEX(Weeks!$D:$D,MATCH($C561,Weeks!$A:$A,0)))/COUNTIFS(Tasks!$A:$A,$A561,Tasks!$B:$B,$B561)*100,0),"")</f>
        <v/>
      </c>
      <c r="I561">
        <f>COUNTIFS(Tasks!$A:$A,$A561,Tasks!$B:$B,$B561,Tasks!$G:$G,"&lt;="&amp;INDEX(Weeks!$D:$D,MATCH($C561,Weeks!$A:$A,0)))-COUNTIFS(Tasks!$A:$A,$A561,Tasks!$B:$B,$B561,Tasks!$I:$I,"&lt;="&amp;INDEX(Weeks!$D:$D,MATCH($C561,Weeks!$A:$A,0)),Tasks!$I:$I,"&lt;&gt;")</f>
        <v>0</v>
      </c>
      <c r="J561">
        <f>COUNTIFS(Tasks!$A:$A,$A561,Tasks!$B:$B,$B561,
Tasks!$I:$I,"&gt;"&amp;IFERROR(INDEX(Weeks!$D:$D,MATCH($C561-1,Weeks!$A:$A,0)),DATE(2000,1,1)),
Tasks!$I:$I,"&lt;="&amp;INDEX(Weeks!$D:$D,MATCH($C561,Weeks!$A:$A,0)),
Tasks!$I:$I,"&lt;&gt;")</f>
        <v>0</v>
      </c>
    </row>
    <row r="562" spans="1:10" ht="15" customHeight="1">
      <c r="A562" t="s">
        <v>97</v>
      </c>
      <c r="B562" t="s">
        <v>99</v>
      </c>
      <c r="C562">
        <v>41</v>
      </c>
      <c r="D562">
        <v>10</v>
      </c>
      <c r="E562">
        <v>2</v>
      </c>
      <c r="F562" s="5" t="str">
        <f>IFERROR(ROUND(COUNTIFS(Tasks!$A:$A,$A562,Tasks!$B:$B,$B562,Tasks!$I:$I,"&lt;="&amp;INDEX(Weeks!$D:$D,MATCH($C562,Weeks!$A:$A,0)),Tasks!$I:$I,"&lt;&gt;")/COUNTIFS(Tasks!$A:$A,$A562,Tasks!$B:$B,$B562)*100,0),"")</f>
        <v/>
      </c>
      <c r="G562" s="5" t="str">
        <f>IFERROR(ROUND(COUNTIFS(Tasks!$A:$A,$A562,Tasks!$B:$B,$B562,Tasks!$H:$H,"&lt;="&amp;INDEX(Weeks!$D:$D,MATCH($C562,Weeks!$A:$A,0)))/COUNTIFS(Tasks!$A:$A,$A562,Tasks!$B:$B,$B562)*100,0),"")</f>
        <v/>
      </c>
      <c r="I562">
        <f>COUNTIFS(Tasks!$A:$A,$A562,Tasks!$B:$B,$B562,Tasks!$G:$G,"&lt;="&amp;INDEX(Weeks!$D:$D,MATCH($C562,Weeks!$A:$A,0)))-COUNTIFS(Tasks!$A:$A,$A562,Tasks!$B:$B,$B562,Tasks!$I:$I,"&lt;="&amp;INDEX(Weeks!$D:$D,MATCH($C562,Weeks!$A:$A,0)),Tasks!$I:$I,"&lt;&gt;")</f>
        <v>0</v>
      </c>
      <c r="J562">
        <f>COUNTIFS(Tasks!$A:$A,$A562,Tasks!$B:$B,$B562,
Tasks!$I:$I,"&gt;"&amp;IFERROR(INDEX(Weeks!$D:$D,MATCH($C562-1,Weeks!$A:$A,0)),DATE(2000,1,1)),
Tasks!$I:$I,"&lt;="&amp;INDEX(Weeks!$D:$D,MATCH($C562,Weeks!$A:$A,0)),
Tasks!$I:$I,"&lt;&gt;")</f>
        <v>0</v>
      </c>
    </row>
    <row r="563" spans="1:10" ht="15" customHeight="1">
      <c r="A563" t="s">
        <v>97</v>
      </c>
      <c r="B563" t="s">
        <v>99</v>
      </c>
      <c r="C563">
        <v>42</v>
      </c>
      <c r="D563">
        <v>10</v>
      </c>
      <c r="E563">
        <v>3</v>
      </c>
      <c r="F563" s="5" t="str">
        <f>IFERROR(ROUND(COUNTIFS(Tasks!$A:$A,$A563,Tasks!$B:$B,$B563,Tasks!$I:$I,"&lt;="&amp;INDEX(Weeks!$D:$D,MATCH($C563,Weeks!$A:$A,0)),Tasks!$I:$I,"&lt;&gt;")/COUNTIFS(Tasks!$A:$A,$A563,Tasks!$B:$B,$B563)*100,0),"")</f>
        <v/>
      </c>
      <c r="G563" s="5" t="str">
        <f>IFERROR(ROUND(COUNTIFS(Tasks!$A:$A,$A563,Tasks!$B:$B,$B563,Tasks!$H:$H,"&lt;="&amp;INDEX(Weeks!$D:$D,MATCH($C563,Weeks!$A:$A,0)))/COUNTIFS(Tasks!$A:$A,$A563,Tasks!$B:$B,$B563)*100,0),"")</f>
        <v/>
      </c>
      <c r="I563">
        <f>COUNTIFS(Tasks!$A:$A,$A563,Tasks!$B:$B,$B563,Tasks!$G:$G,"&lt;="&amp;INDEX(Weeks!$D:$D,MATCH($C563,Weeks!$A:$A,0)))-COUNTIFS(Tasks!$A:$A,$A563,Tasks!$B:$B,$B563,Tasks!$I:$I,"&lt;="&amp;INDEX(Weeks!$D:$D,MATCH($C563,Weeks!$A:$A,0)),Tasks!$I:$I,"&lt;&gt;")</f>
        <v>0</v>
      </c>
      <c r="J563">
        <f>COUNTIFS(Tasks!$A:$A,$A563,Tasks!$B:$B,$B563,
Tasks!$I:$I,"&gt;"&amp;IFERROR(INDEX(Weeks!$D:$D,MATCH($C563-1,Weeks!$A:$A,0)),DATE(2000,1,1)),
Tasks!$I:$I,"&lt;="&amp;INDEX(Weeks!$D:$D,MATCH($C563,Weeks!$A:$A,0)),
Tasks!$I:$I,"&lt;&gt;")</f>
        <v>0</v>
      </c>
    </row>
    <row r="564" spans="1:10" ht="15" customHeight="1">
      <c r="A564" t="s">
        <v>97</v>
      </c>
      <c r="B564" t="s">
        <v>99</v>
      </c>
      <c r="C564">
        <v>43</v>
      </c>
      <c r="D564">
        <v>10</v>
      </c>
      <c r="E564">
        <v>4</v>
      </c>
      <c r="F564" s="5" t="str">
        <f>IFERROR(ROUND(COUNTIFS(Tasks!$A:$A,$A564,Tasks!$B:$B,$B564,Tasks!$I:$I,"&lt;="&amp;INDEX(Weeks!$D:$D,MATCH($C564,Weeks!$A:$A,0)),Tasks!$I:$I,"&lt;&gt;")/COUNTIFS(Tasks!$A:$A,$A564,Tasks!$B:$B,$B564)*100,0),"")</f>
        <v/>
      </c>
      <c r="G564" s="5" t="str">
        <f>IFERROR(ROUND(COUNTIFS(Tasks!$A:$A,$A564,Tasks!$B:$B,$B564,Tasks!$H:$H,"&lt;="&amp;INDEX(Weeks!$D:$D,MATCH($C564,Weeks!$A:$A,0)))/COUNTIFS(Tasks!$A:$A,$A564,Tasks!$B:$B,$B564)*100,0),"")</f>
        <v/>
      </c>
      <c r="I564">
        <f>COUNTIFS(Tasks!$A:$A,$A564,Tasks!$B:$B,$B564,Tasks!$G:$G,"&lt;="&amp;INDEX(Weeks!$D:$D,MATCH($C564,Weeks!$A:$A,0)))-COUNTIFS(Tasks!$A:$A,$A564,Tasks!$B:$B,$B564,Tasks!$I:$I,"&lt;="&amp;INDEX(Weeks!$D:$D,MATCH($C564,Weeks!$A:$A,0)),Tasks!$I:$I,"&lt;&gt;")</f>
        <v>0</v>
      </c>
      <c r="J564">
        <f>COUNTIFS(Tasks!$A:$A,$A564,Tasks!$B:$B,$B564,
Tasks!$I:$I,"&gt;"&amp;IFERROR(INDEX(Weeks!$D:$D,MATCH($C564-1,Weeks!$A:$A,0)),DATE(2000,1,1)),
Tasks!$I:$I,"&lt;="&amp;INDEX(Weeks!$D:$D,MATCH($C564,Weeks!$A:$A,0)),
Tasks!$I:$I,"&lt;&gt;")</f>
        <v>0</v>
      </c>
    </row>
    <row r="565" spans="1:10" ht="15" customHeight="1">
      <c r="A565" t="s">
        <v>97</v>
      </c>
      <c r="B565" t="s">
        <v>99</v>
      </c>
      <c r="C565">
        <v>44</v>
      </c>
      <c r="D565">
        <v>10</v>
      </c>
      <c r="E565">
        <v>5</v>
      </c>
      <c r="F565" s="5" t="str">
        <f>IFERROR(ROUND(COUNTIFS(Tasks!$A:$A,$A565,Tasks!$B:$B,$B565,Tasks!$I:$I,"&lt;="&amp;INDEX(Weeks!$D:$D,MATCH($C565,Weeks!$A:$A,0)),Tasks!$I:$I,"&lt;&gt;")/COUNTIFS(Tasks!$A:$A,$A565,Tasks!$B:$B,$B565)*100,0),"")</f>
        <v/>
      </c>
      <c r="G565" s="5" t="str">
        <f>IFERROR(ROUND(COUNTIFS(Tasks!$A:$A,$A565,Tasks!$B:$B,$B565,Tasks!$H:$H,"&lt;="&amp;INDEX(Weeks!$D:$D,MATCH($C565,Weeks!$A:$A,0)))/COUNTIFS(Tasks!$A:$A,$A565,Tasks!$B:$B,$B565)*100,0),"")</f>
        <v/>
      </c>
      <c r="I565">
        <f>COUNTIFS(Tasks!$A:$A,$A565,Tasks!$B:$B,$B565,Tasks!$G:$G,"&lt;="&amp;INDEX(Weeks!$D:$D,MATCH($C565,Weeks!$A:$A,0)))-COUNTIFS(Tasks!$A:$A,$A565,Tasks!$B:$B,$B565,Tasks!$I:$I,"&lt;="&amp;INDEX(Weeks!$D:$D,MATCH($C565,Weeks!$A:$A,0)),Tasks!$I:$I,"&lt;&gt;")</f>
        <v>0</v>
      </c>
      <c r="J565">
        <f>COUNTIFS(Tasks!$A:$A,$A565,Tasks!$B:$B,$B565,
Tasks!$I:$I,"&gt;"&amp;IFERROR(INDEX(Weeks!$D:$D,MATCH($C565-1,Weeks!$A:$A,0)),DATE(2000,1,1)),
Tasks!$I:$I,"&lt;="&amp;INDEX(Weeks!$D:$D,MATCH($C565,Weeks!$A:$A,0)),
Tasks!$I:$I,"&lt;&gt;")</f>
        <v>0</v>
      </c>
    </row>
    <row r="566" spans="1:10" ht="15" customHeight="1">
      <c r="A566" t="s">
        <v>97</v>
      </c>
      <c r="B566" t="s">
        <v>99</v>
      </c>
      <c r="C566">
        <v>45</v>
      </c>
      <c r="D566">
        <v>11</v>
      </c>
      <c r="E566">
        <v>1</v>
      </c>
      <c r="F566" s="5" t="str">
        <f>IFERROR(ROUND(COUNTIFS(Tasks!$A:$A,$A566,Tasks!$B:$B,$B566,Tasks!$I:$I,"&lt;="&amp;INDEX(Weeks!$D:$D,MATCH($C566,Weeks!$A:$A,0)),Tasks!$I:$I,"&lt;&gt;")/COUNTIFS(Tasks!$A:$A,$A566,Tasks!$B:$B,$B566)*100,0),"")</f>
        <v/>
      </c>
      <c r="G566" s="5" t="str">
        <f>IFERROR(ROUND(COUNTIFS(Tasks!$A:$A,$A566,Tasks!$B:$B,$B566,Tasks!$H:$H,"&lt;="&amp;INDEX(Weeks!$D:$D,MATCH($C566,Weeks!$A:$A,0)))/COUNTIFS(Tasks!$A:$A,$A566,Tasks!$B:$B,$B566)*100,0),"")</f>
        <v/>
      </c>
      <c r="I566">
        <f>COUNTIFS(Tasks!$A:$A,$A566,Tasks!$B:$B,$B566,Tasks!$G:$G,"&lt;="&amp;INDEX(Weeks!$D:$D,MATCH($C566,Weeks!$A:$A,0)))-COUNTIFS(Tasks!$A:$A,$A566,Tasks!$B:$B,$B566,Tasks!$I:$I,"&lt;="&amp;INDEX(Weeks!$D:$D,MATCH($C566,Weeks!$A:$A,0)),Tasks!$I:$I,"&lt;&gt;")</f>
        <v>0</v>
      </c>
      <c r="J566">
        <f>COUNTIFS(Tasks!$A:$A,$A566,Tasks!$B:$B,$B566,
Tasks!$I:$I,"&gt;"&amp;IFERROR(INDEX(Weeks!$D:$D,MATCH($C566-1,Weeks!$A:$A,0)),DATE(2000,1,1)),
Tasks!$I:$I,"&lt;="&amp;INDEX(Weeks!$D:$D,MATCH($C566,Weeks!$A:$A,0)),
Tasks!$I:$I,"&lt;&gt;")</f>
        <v>0</v>
      </c>
    </row>
    <row r="567" spans="1:10" ht="15" customHeight="1">
      <c r="A567" t="s">
        <v>97</v>
      </c>
      <c r="B567" t="s">
        <v>99</v>
      </c>
      <c r="C567">
        <v>46</v>
      </c>
      <c r="D567">
        <v>11</v>
      </c>
      <c r="E567">
        <v>2</v>
      </c>
      <c r="F567" s="5" t="str">
        <f>IFERROR(ROUND(COUNTIFS(Tasks!$A:$A,$A567,Tasks!$B:$B,$B567,Tasks!$I:$I,"&lt;="&amp;INDEX(Weeks!$D:$D,MATCH($C567,Weeks!$A:$A,0)),Tasks!$I:$I,"&lt;&gt;")/COUNTIFS(Tasks!$A:$A,$A567,Tasks!$B:$B,$B567)*100,0),"")</f>
        <v/>
      </c>
      <c r="G567" s="5" t="str">
        <f>IFERROR(ROUND(COUNTIFS(Tasks!$A:$A,$A567,Tasks!$B:$B,$B567,Tasks!$H:$H,"&lt;="&amp;INDEX(Weeks!$D:$D,MATCH($C567,Weeks!$A:$A,0)))/COUNTIFS(Tasks!$A:$A,$A567,Tasks!$B:$B,$B567)*100,0),"")</f>
        <v/>
      </c>
      <c r="I567">
        <f>COUNTIFS(Tasks!$A:$A,$A567,Tasks!$B:$B,$B567,Tasks!$G:$G,"&lt;="&amp;INDEX(Weeks!$D:$D,MATCH($C567,Weeks!$A:$A,0)))-COUNTIFS(Tasks!$A:$A,$A567,Tasks!$B:$B,$B567,Tasks!$I:$I,"&lt;="&amp;INDEX(Weeks!$D:$D,MATCH($C567,Weeks!$A:$A,0)),Tasks!$I:$I,"&lt;&gt;")</f>
        <v>0</v>
      </c>
      <c r="J567">
        <f>COUNTIFS(Tasks!$A:$A,$A567,Tasks!$B:$B,$B567,
Tasks!$I:$I,"&gt;"&amp;IFERROR(INDEX(Weeks!$D:$D,MATCH($C567-1,Weeks!$A:$A,0)),DATE(2000,1,1)),
Tasks!$I:$I,"&lt;="&amp;INDEX(Weeks!$D:$D,MATCH($C567,Weeks!$A:$A,0)),
Tasks!$I:$I,"&lt;&gt;")</f>
        <v>0</v>
      </c>
    </row>
    <row r="568" spans="1:10" ht="15" customHeight="1">
      <c r="A568" t="s">
        <v>97</v>
      </c>
      <c r="B568" t="s">
        <v>99</v>
      </c>
      <c r="C568">
        <v>47</v>
      </c>
      <c r="D568">
        <v>11</v>
      </c>
      <c r="E568">
        <v>3</v>
      </c>
      <c r="F568" s="5" t="str">
        <f>IFERROR(ROUND(COUNTIFS(Tasks!$A:$A,$A568,Tasks!$B:$B,$B568,Tasks!$I:$I,"&lt;="&amp;INDEX(Weeks!$D:$D,MATCH($C568,Weeks!$A:$A,0)),Tasks!$I:$I,"&lt;&gt;")/COUNTIFS(Tasks!$A:$A,$A568,Tasks!$B:$B,$B568)*100,0),"")</f>
        <v/>
      </c>
      <c r="G568" s="5" t="str">
        <f>IFERROR(ROUND(COUNTIFS(Tasks!$A:$A,$A568,Tasks!$B:$B,$B568,Tasks!$H:$H,"&lt;="&amp;INDEX(Weeks!$D:$D,MATCH($C568,Weeks!$A:$A,0)))/COUNTIFS(Tasks!$A:$A,$A568,Tasks!$B:$B,$B568)*100,0),"")</f>
        <v/>
      </c>
      <c r="I568">
        <f>COUNTIFS(Tasks!$A:$A,$A568,Tasks!$B:$B,$B568,Tasks!$G:$G,"&lt;="&amp;INDEX(Weeks!$D:$D,MATCH($C568,Weeks!$A:$A,0)))-COUNTIFS(Tasks!$A:$A,$A568,Tasks!$B:$B,$B568,Tasks!$I:$I,"&lt;="&amp;INDEX(Weeks!$D:$D,MATCH($C568,Weeks!$A:$A,0)),Tasks!$I:$I,"&lt;&gt;")</f>
        <v>0</v>
      </c>
      <c r="J568">
        <f>COUNTIFS(Tasks!$A:$A,$A568,Tasks!$B:$B,$B568,
Tasks!$I:$I,"&gt;"&amp;IFERROR(INDEX(Weeks!$D:$D,MATCH($C568-1,Weeks!$A:$A,0)),DATE(2000,1,1)),
Tasks!$I:$I,"&lt;="&amp;INDEX(Weeks!$D:$D,MATCH($C568,Weeks!$A:$A,0)),
Tasks!$I:$I,"&lt;&gt;")</f>
        <v>0</v>
      </c>
    </row>
    <row r="569" spans="1:10" ht="15" customHeight="1">
      <c r="A569" t="s">
        <v>97</v>
      </c>
      <c r="B569" t="s">
        <v>99</v>
      </c>
      <c r="C569">
        <v>48</v>
      </c>
      <c r="D569">
        <v>11</v>
      </c>
      <c r="E569">
        <v>4</v>
      </c>
      <c r="F569" s="5" t="str">
        <f>IFERROR(ROUND(COUNTIFS(Tasks!$A:$A,$A569,Tasks!$B:$B,$B569,Tasks!$I:$I,"&lt;="&amp;INDEX(Weeks!$D:$D,MATCH($C569,Weeks!$A:$A,0)),Tasks!$I:$I,"&lt;&gt;")/COUNTIFS(Tasks!$A:$A,$A569,Tasks!$B:$B,$B569)*100,0),"")</f>
        <v/>
      </c>
      <c r="G569" s="5" t="str">
        <f>IFERROR(ROUND(COUNTIFS(Tasks!$A:$A,$A569,Tasks!$B:$B,$B569,Tasks!$H:$H,"&lt;="&amp;INDEX(Weeks!$D:$D,MATCH($C569,Weeks!$A:$A,0)))/COUNTIFS(Tasks!$A:$A,$A569,Tasks!$B:$B,$B569)*100,0),"")</f>
        <v/>
      </c>
      <c r="I569">
        <f>COUNTIFS(Tasks!$A:$A,$A569,Tasks!$B:$B,$B569,Tasks!$G:$G,"&lt;="&amp;INDEX(Weeks!$D:$D,MATCH($C569,Weeks!$A:$A,0)))-COUNTIFS(Tasks!$A:$A,$A569,Tasks!$B:$B,$B569,Tasks!$I:$I,"&lt;="&amp;INDEX(Weeks!$D:$D,MATCH($C569,Weeks!$A:$A,0)),Tasks!$I:$I,"&lt;&gt;")</f>
        <v>0</v>
      </c>
      <c r="J569">
        <f>COUNTIFS(Tasks!$A:$A,$A569,Tasks!$B:$B,$B569,
Tasks!$I:$I,"&gt;"&amp;IFERROR(INDEX(Weeks!$D:$D,MATCH($C569-1,Weeks!$A:$A,0)),DATE(2000,1,1)),
Tasks!$I:$I,"&lt;="&amp;INDEX(Weeks!$D:$D,MATCH($C569,Weeks!$A:$A,0)),
Tasks!$I:$I,"&lt;&gt;")</f>
        <v>0</v>
      </c>
    </row>
    <row r="570" spans="1:10" ht="15" customHeight="1">
      <c r="A570" t="s">
        <v>97</v>
      </c>
      <c r="B570" t="s">
        <v>99</v>
      </c>
      <c r="C570">
        <v>49</v>
      </c>
      <c r="D570">
        <v>12</v>
      </c>
      <c r="E570">
        <v>1</v>
      </c>
      <c r="F570" s="5" t="str">
        <f>IFERROR(ROUND(COUNTIFS(Tasks!$A:$A,$A570,Tasks!$B:$B,$B570,Tasks!$I:$I,"&lt;="&amp;INDEX(Weeks!$D:$D,MATCH($C570,Weeks!$A:$A,0)),Tasks!$I:$I,"&lt;&gt;")/COUNTIFS(Tasks!$A:$A,$A570,Tasks!$B:$B,$B570)*100,0),"")</f>
        <v/>
      </c>
      <c r="G570" s="5" t="str">
        <f>IFERROR(ROUND(COUNTIFS(Tasks!$A:$A,$A570,Tasks!$B:$B,$B570,Tasks!$H:$H,"&lt;="&amp;INDEX(Weeks!$D:$D,MATCH($C570,Weeks!$A:$A,0)))/COUNTIFS(Tasks!$A:$A,$A570,Tasks!$B:$B,$B570)*100,0),"")</f>
        <v/>
      </c>
      <c r="I570">
        <f>COUNTIFS(Tasks!$A:$A,$A570,Tasks!$B:$B,$B570,Tasks!$G:$G,"&lt;="&amp;INDEX(Weeks!$D:$D,MATCH($C570,Weeks!$A:$A,0)))-COUNTIFS(Tasks!$A:$A,$A570,Tasks!$B:$B,$B570,Tasks!$I:$I,"&lt;="&amp;INDEX(Weeks!$D:$D,MATCH($C570,Weeks!$A:$A,0)),Tasks!$I:$I,"&lt;&gt;")</f>
        <v>0</v>
      </c>
      <c r="J570">
        <f>COUNTIFS(Tasks!$A:$A,$A570,Tasks!$B:$B,$B570,
Tasks!$I:$I,"&gt;"&amp;IFERROR(INDEX(Weeks!$D:$D,MATCH($C570-1,Weeks!$A:$A,0)),DATE(2000,1,1)),
Tasks!$I:$I,"&lt;="&amp;INDEX(Weeks!$D:$D,MATCH($C570,Weeks!$A:$A,0)),
Tasks!$I:$I,"&lt;&gt;")</f>
        <v>0</v>
      </c>
    </row>
    <row r="571" spans="1:10" ht="15" customHeight="1">
      <c r="A571" t="s">
        <v>97</v>
      </c>
      <c r="B571" t="s">
        <v>99</v>
      </c>
      <c r="C571">
        <v>50</v>
      </c>
      <c r="D571">
        <v>12</v>
      </c>
      <c r="E571">
        <v>2</v>
      </c>
      <c r="F571" s="5" t="str">
        <f>IFERROR(ROUND(COUNTIFS(Tasks!$A:$A,$A571,Tasks!$B:$B,$B571,Tasks!$I:$I,"&lt;="&amp;INDEX(Weeks!$D:$D,MATCH($C571,Weeks!$A:$A,0)),Tasks!$I:$I,"&lt;&gt;")/COUNTIFS(Tasks!$A:$A,$A571,Tasks!$B:$B,$B571)*100,0),"")</f>
        <v/>
      </c>
      <c r="G571" s="5" t="str">
        <f>IFERROR(ROUND(COUNTIFS(Tasks!$A:$A,$A571,Tasks!$B:$B,$B571,Tasks!$H:$H,"&lt;="&amp;INDEX(Weeks!$D:$D,MATCH($C571,Weeks!$A:$A,0)))/COUNTIFS(Tasks!$A:$A,$A571,Tasks!$B:$B,$B571)*100,0),"")</f>
        <v/>
      </c>
      <c r="I571">
        <f>COUNTIFS(Tasks!$A:$A,$A571,Tasks!$B:$B,$B571,Tasks!$G:$G,"&lt;="&amp;INDEX(Weeks!$D:$D,MATCH($C571,Weeks!$A:$A,0)))-COUNTIFS(Tasks!$A:$A,$A571,Tasks!$B:$B,$B571,Tasks!$I:$I,"&lt;="&amp;INDEX(Weeks!$D:$D,MATCH($C571,Weeks!$A:$A,0)),Tasks!$I:$I,"&lt;&gt;")</f>
        <v>0</v>
      </c>
      <c r="J571">
        <f>COUNTIFS(Tasks!$A:$A,$A571,Tasks!$B:$B,$B571,
Tasks!$I:$I,"&gt;"&amp;IFERROR(INDEX(Weeks!$D:$D,MATCH($C571-1,Weeks!$A:$A,0)),DATE(2000,1,1)),
Tasks!$I:$I,"&lt;="&amp;INDEX(Weeks!$D:$D,MATCH($C571,Weeks!$A:$A,0)),
Tasks!$I:$I,"&lt;&gt;")</f>
        <v>0</v>
      </c>
    </row>
    <row r="572" spans="1:10" ht="15" customHeight="1">
      <c r="A572" t="s">
        <v>97</v>
      </c>
      <c r="B572" t="s">
        <v>99</v>
      </c>
      <c r="C572">
        <v>51</v>
      </c>
      <c r="D572">
        <v>12</v>
      </c>
      <c r="E572">
        <v>3</v>
      </c>
      <c r="F572" s="5" t="str">
        <f>IFERROR(ROUND(COUNTIFS(Tasks!$A:$A,$A572,Tasks!$B:$B,$B572,Tasks!$I:$I,"&lt;="&amp;INDEX(Weeks!$D:$D,MATCH($C572,Weeks!$A:$A,0)),Tasks!$I:$I,"&lt;&gt;")/COUNTIFS(Tasks!$A:$A,$A572,Tasks!$B:$B,$B572)*100,0),"")</f>
        <v/>
      </c>
      <c r="G572" s="5" t="str">
        <f>IFERROR(ROUND(COUNTIFS(Tasks!$A:$A,$A572,Tasks!$B:$B,$B572,Tasks!$H:$H,"&lt;="&amp;INDEX(Weeks!$D:$D,MATCH($C572,Weeks!$A:$A,0)))/COUNTIFS(Tasks!$A:$A,$A572,Tasks!$B:$B,$B572)*100,0),"")</f>
        <v/>
      </c>
      <c r="I572">
        <f>COUNTIFS(Tasks!$A:$A,$A572,Tasks!$B:$B,$B572,Tasks!$G:$G,"&lt;="&amp;INDEX(Weeks!$D:$D,MATCH($C572,Weeks!$A:$A,0)))-COUNTIFS(Tasks!$A:$A,$A572,Tasks!$B:$B,$B572,Tasks!$I:$I,"&lt;="&amp;INDEX(Weeks!$D:$D,MATCH($C572,Weeks!$A:$A,0)),Tasks!$I:$I,"&lt;&gt;")</f>
        <v>0</v>
      </c>
      <c r="J572">
        <f>COUNTIFS(Tasks!$A:$A,$A572,Tasks!$B:$B,$B572,
Tasks!$I:$I,"&gt;"&amp;IFERROR(INDEX(Weeks!$D:$D,MATCH($C572-1,Weeks!$A:$A,0)),DATE(2000,1,1)),
Tasks!$I:$I,"&lt;="&amp;INDEX(Weeks!$D:$D,MATCH($C572,Weeks!$A:$A,0)),
Tasks!$I:$I,"&lt;&gt;")</f>
        <v>0</v>
      </c>
    </row>
    <row r="573" spans="1:10" ht="15" customHeight="1">
      <c r="A573" t="s">
        <v>97</v>
      </c>
      <c r="B573" t="s">
        <v>99</v>
      </c>
      <c r="C573">
        <v>52</v>
      </c>
      <c r="D573">
        <v>12</v>
      </c>
      <c r="E573">
        <v>4</v>
      </c>
      <c r="F573" s="5" t="str">
        <f>IFERROR(ROUND(COUNTIFS(Tasks!$A:$A,$A573,Tasks!$B:$B,$B573,Tasks!$I:$I,"&lt;="&amp;INDEX(Weeks!$D:$D,MATCH($C573,Weeks!$A:$A,0)),Tasks!$I:$I,"&lt;&gt;")/COUNTIFS(Tasks!$A:$A,$A573,Tasks!$B:$B,$B573)*100,0),"")</f>
        <v/>
      </c>
      <c r="G573" s="5" t="str">
        <f>IFERROR(ROUND(COUNTIFS(Tasks!$A:$A,$A573,Tasks!$B:$B,$B573,Tasks!$H:$H,"&lt;="&amp;INDEX(Weeks!$D:$D,MATCH($C573,Weeks!$A:$A,0)))/COUNTIFS(Tasks!$A:$A,$A573,Tasks!$B:$B,$B573)*100,0),"")</f>
        <v/>
      </c>
      <c r="I573">
        <f>COUNTIFS(Tasks!$A:$A,$A573,Tasks!$B:$B,$B573,Tasks!$G:$G,"&lt;="&amp;INDEX(Weeks!$D:$D,MATCH($C573,Weeks!$A:$A,0)))-COUNTIFS(Tasks!$A:$A,$A573,Tasks!$B:$B,$B573,Tasks!$I:$I,"&lt;="&amp;INDEX(Weeks!$D:$D,MATCH($C573,Weeks!$A:$A,0)),Tasks!$I:$I,"&lt;&gt;")</f>
        <v>0</v>
      </c>
      <c r="J573">
        <f>COUNTIFS(Tasks!$A:$A,$A573,Tasks!$B:$B,$B573,
Tasks!$I:$I,"&gt;"&amp;IFERROR(INDEX(Weeks!$D:$D,MATCH($C573-1,Weeks!$A:$A,0)),DATE(2000,1,1)),
Tasks!$I:$I,"&lt;="&amp;INDEX(Weeks!$D:$D,MATCH($C573,Weeks!$A:$A,0)),
Tasks!$I:$I,"&lt;&gt;")</f>
        <v>0</v>
      </c>
    </row>
    <row r="574" spans="1:10" ht="15" customHeight="1">
      <c r="A574" t="s">
        <v>97</v>
      </c>
      <c r="B574" t="s">
        <v>100</v>
      </c>
      <c r="C574">
        <v>1</v>
      </c>
      <c r="D574">
        <v>1</v>
      </c>
      <c r="E574">
        <v>1</v>
      </c>
      <c r="F574" s="5" t="str">
        <f>IFERROR(ROUND(COUNTIFS(Tasks!$A:$A,$A574,Tasks!$B:$B,$B574,Tasks!$I:$I,"&lt;="&amp;INDEX(Weeks!$D:$D,MATCH($C574,Weeks!$A:$A,0)),Tasks!$I:$I,"&lt;&gt;")/COUNTIFS(Tasks!$A:$A,$A574,Tasks!$B:$B,$B574)*100,0),"")</f>
        <v/>
      </c>
      <c r="G574" s="5" t="str">
        <f>IFERROR(ROUND(COUNTIFS(Tasks!$A:$A,$A574,Tasks!$B:$B,$B574,Tasks!$H:$H,"&lt;="&amp;INDEX(Weeks!$D:$D,MATCH($C574,Weeks!$A:$A,0)))/COUNTIFS(Tasks!$A:$A,$A574,Tasks!$B:$B,$B574)*100,0),"")</f>
        <v/>
      </c>
      <c r="H574" t="s">
        <v>101</v>
      </c>
      <c r="I574">
        <f>COUNTIFS(Tasks!$A:$A,$A574,Tasks!$B:$B,$B574,Tasks!$G:$G,"&lt;="&amp;INDEX(Weeks!$D:$D,MATCH($C574,Weeks!$A:$A,0)))-COUNTIFS(Tasks!$A:$A,$A574,Tasks!$B:$B,$B574,Tasks!$I:$I,"&lt;="&amp;INDEX(Weeks!$D:$D,MATCH($C574,Weeks!$A:$A,0)),Tasks!$I:$I,"&lt;&gt;")</f>
        <v>0</v>
      </c>
      <c r="J574">
        <f>COUNTIFS(Tasks!$A:$A,$A574,Tasks!$B:$B,$B574,
Tasks!$I:$I,"&gt;"&amp;IFERROR(INDEX(Weeks!$D:$D,MATCH($C574-1,Weeks!$A:$A,0)),DATE(2000,1,1)),
Tasks!$I:$I,"&lt;="&amp;INDEX(Weeks!$D:$D,MATCH($C574,Weeks!$A:$A,0)),
Tasks!$I:$I,"&lt;&gt;")</f>
        <v>0</v>
      </c>
    </row>
    <row r="575" spans="1:10" ht="15" customHeight="1">
      <c r="A575" t="s">
        <v>97</v>
      </c>
      <c r="B575" t="s">
        <v>100</v>
      </c>
      <c r="C575">
        <v>2</v>
      </c>
      <c r="D575">
        <v>1</v>
      </c>
      <c r="E575">
        <v>2</v>
      </c>
      <c r="F575" s="5" t="str">
        <f>IFERROR(ROUND(COUNTIFS(Tasks!$A:$A,$A575,Tasks!$B:$B,$B575,Tasks!$I:$I,"&lt;="&amp;INDEX(Weeks!$D:$D,MATCH($C575,Weeks!$A:$A,0)),Tasks!$I:$I,"&lt;&gt;")/COUNTIFS(Tasks!$A:$A,$A575,Tasks!$B:$B,$B575)*100,0),"")</f>
        <v/>
      </c>
      <c r="G575" s="5" t="str">
        <f>IFERROR(ROUND(COUNTIFS(Tasks!$A:$A,$A575,Tasks!$B:$B,$B575,Tasks!$H:$H,"&lt;="&amp;INDEX(Weeks!$D:$D,MATCH($C575,Weeks!$A:$A,0)))/COUNTIFS(Tasks!$A:$A,$A575,Tasks!$B:$B,$B575)*100,0),"")</f>
        <v/>
      </c>
      <c r="H575" t="s">
        <v>101</v>
      </c>
      <c r="I575">
        <f>COUNTIFS(Tasks!$A:$A,$A575,Tasks!$B:$B,$B575,Tasks!$G:$G,"&lt;="&amp;INDEX(Weeks!$D:$D,MATCH($C575,Weeks!$A:$A,0)))-COUNTIFS(Tasks!$A:$A,$A575,Tasks!$B:$B,$B575,Tasks!$I:$I,"&lt;="&amp;INDEX(Weeks!$D:$D,MATCH($C575,Weeks!$A:$A,0)),Tasks!$I:$I,"&lt;&gt;")</f>
        <v>0</v>
      </c>
      <c r="J575">
        <f>COUNTIFS(Tasks!$A:$A,$A575,Tasks!$B:$B,$B575,
Tasks!$I:$I,"&gt;"&amp;IFERROR(INDEX(Weeks!$D:$D,MATCH($C575-1,Weeks!$A:$A,0)),DATE(2000,1,1)),
Tasks!$I:$I,"&lt;="&amp;INDEX(Weeks!$D:$D,MATCH($C575,Weeks!$A:$A,0)),
Tasks!$I:$I,"&lt;&gt;")</f>
        <v>0</v>
      </c>
    </row>
    <row r="576" spans="1:10" ht="15" customHeight="1">
      <c r="A576" t="s">
        <v>97</v>
      </c>
      <c r="B576" t="s">
        <v>100</v>
      </c>
      <c r="C576">
        <v>3</v>
      </c>
      <c r="D576">
        <v>1</v>
      </c>
      <c r="E576">
        <v>3</v>
      </c>
      <c r="F576" s="5" t="str">
        <f>IFERROR(ROUND(COUNTIFS(Tasks!$A:$A,$A576,Tasks!$B:$B,$B576,Tasks!$I:$I,"&lt;="&amp;INDEX(Weeks!$D:$D,MATCH($C576,Weeks!$A:$A,0)),Tasks!$I:$I,"&lt;&gt;")/COUNTIFS(Tasks!$A:$A,$A576,Tasks!$B:$B,$B576)*100,0),"")</f>
        <v/>
      </c>
      <c r="G576" s="5" t="str">
        <f>IFERROR(ROUND(COUNTIFS(Tasks!$A:$A,$A576,Tasks!$B:$B,$B576,Tasks!$H:$H,"&lt;="&amp;INDEX(Weeks!$D:$D,MATCH($C576,Weeks!$A:$A,0)))/COUNTIFS(Tasks!$A:$A,$A576,Tasks!$B:$B,$B576)*100,0),"")</f>
        <v/>
      </c>
      <c r="H576" t="s">
        <v>101</v>
      </c>
      <c r="I576">
        <f>COUNTIFS(Tasks!$A:$A,$A576,Tasks!$B:$B,$B576,Tasks!$G:$G,"&lt;="&amp;INDEX(Weeks!$D:$D,MATCH($C576,Weeks!$A:$A,0)))-COUNTIFS(Tasks!$A:$A,$A576,Tasks!$B:$B,$B576,Tasks!$I:$I,"&lt;="&amp;INDEX(Weeks!$D:$D,MATCH($C576,Weeks!$A:$A,0)),Tasks!$I:$I,"&lt;&gt;")</f>
        <v>0</v>
      </c>
      <c r="J576">
        <f>COUNTIFS(Tasks!$A:$A,$A576,Tasks!$B:$B,$B576,
Tasks!$I:$I,"&gt;"&amp;IFERROR(INDEX(Weeks!$D:$D,MATCH($C576-1,Weeks!$A:$A,0)),DATE(2000,1,1)),
Tasks!$I:$I,"&lt;="&amp;INDEX(Weeks!$D:$D,MATCH($C576,Weeks!$A:$A,0)),
Tasks!$I:$I,"&lt;&gt;")</f>
        <v>0</v>
      </c>
    </row>
    <row r="577" spans="1:10" ht="15" customHeight="1">
      <c r="A577" t="s">
        <v>97</v>
      </c>
      <c r="B577" t="s">
        <v>100</v>
      </c>
      <c r="C577">
        <v>4</v>
      </c>
      <c r="D577">
        <v>1</v>
      </c>
      <c r="E577">
        <v>4</v>
      </c>
      <c r="F577" s="5" t="str">
        <f>IFERROR(ROUND(COUNTIFS(Tasks!$A:$A,$A577,Tasks!$B:$B,$B577,Tasks!$I:$I,"&lt;="&amp;INDEX(Weeks!$D:$D,MATCH($C577,Weeks!$A:$A,0)),Tasks!$I:$I,"&lt;&gt;")/COUNTIFS(Tasks!$A:$A,$A577,Tasks!$B:$B,$B577)*100,0),"")</f>
        <v/>
      </c>
      <c r="G577" s="5" t="str">
        <f>IFERROR(ROUND(COUNTIFS(Tasks!$A:$A,$A577,Tasks!$B:$B,$B577,Tasks!$H:$H,"&lt;="&amp;INDEX(Weeks!$D:$D,MATCH($C577,Weeks!$A:$A,0)))/COUNTIFS(Tasks!$A:$A,$A577,Tasks!$B:$B,$B577)*100,0),"")</f>
        <v/>
      </c>
      <c r="H577" t="s">
        <v>101</v>
      </c>
      <c r="I577">
        <f>COUNTIFS(Tasks!$A:$A,$A577,Tasks!$B:$B,$B577,Tasks!$G:$G,"&lt;="&amp;INDEX(Weeks!$D:$D,MATCH($C577,Weeks!$A:$A,0)))-COUNTIFS(Tasks!$A:$A,$A577,Tasks!$B:$B,$B577,Tasks!$I:$I,"&lt;="&amp;INDEX(Weeks!$D:$D,MATCH($C577,Weeks!$A:$A,0)),Tasks!$I:$I,"&lt;&gt;")</f>
        <v>0</v>
      </c>
      <c r="J577">
        <f>COUNTIFS(Tasks!$A:$A,$A577,Tasks!$B:$B,$B577,
Tasks!$I:$I,"&gt;"&amp;IFERROR(INDEX(Weeks!$D:$D,MATCH($C577-1,Weeks!$A:$A,0)),DATE(2000,1,1)),
Tasks!$I:$I,"&lt;="&amp;INDEX(Weeks!$D:$D,MATCH($C577,Weeks!$A:$A,0)),
Tasks!$I:$I,"&lt;&gt;")</f>
        <v>0</v>
      </c>
    </row>
    <row r="578" spans="1:10" ht="15" customHeight="1">
      <c r="A578" t="s">
        <v>97</v>
      </c>
      <c r="B578" t="s">
        <v>100</v>
      </c>
      <c r="C578">
        <v>5</v>
      </c>
      <c r="D578">
        <v>1</v>
      </c>
      <c r="E578">
        <v>5</v>
      </c>
      <c r="F578" s="5" t="str">
        <f>IFERROR(ROUND(COUNTIFS(Tasks!$A:$A,$A578,Tasks!$B:$B,$B578,Tasks!$I:$I,"&lt;="&amp;INDEX(Weeks!$D:$D,MATCH($C578,Weeks!$A:$A,0)),Tasks!$I:$I,"&lt;&gt;")/COUNTIFS(Tasks!$A:$A,$A578,Tasks!$B:$B,$B578)*100,0),"")</f>
        <v/>
      </c>
      <c r="G578" s="5" t="str">
        <f>IFERROR(ROUND(COUNTIFS(Tasks!$A:$A,$A578,Tasks!$B:$B,$B578,Tasks!$H:$H,"&lt;="&amp;INDEX(Weeks!$D:$D,MATCH($C578,Weeks!$A:$A,0)))/COUNTIFS(Tasks!$A:$A,$A578,Tasks!$B:$B,$B578)*100,0),"")</f>
        <v/>
      </c>
      <c r="H578" t="s">
        <v>101</v>
      </c>
      <c r="I578">
        <f>COUNTIFS(Tasks!$A:$A,$A578,Tasks!$B:$B,$B578,Tasks!$G:$G,"&lt;="&amp;INDEX(Weeks!$D:$D,MATCH($C578,Weeks!$A:$A,0)))-COUNTIFS(Tasks!$A:$A,$A578,Tasks!$B:$B,$B578,Tasks!$I:$I,"&lt;="&amp;INDEX(Weeks!$D:$D,MATCH($C578,Weeks!$A:$A,0)),Tasks!$I:$I,"&lt;&gt;")</f>
        <v>0</v>
      </c>
      <c r="J578">
        <f>COUNTIFS(Tasks!$A:$A,$A578,Tasks!$B:$B,$B578,
Tasks!$I:$I,"&gt;"&amp;IFERROR(INDEX(Weeks!$D:$D,MATCH($C578-1,Weeks!$A:$A,0)),DATE(2000,1,1)),
Tasks!$I:$I,"&lt;="&amp;INDEX(Weeks!$D:$D,MATCH($C578,Weeks!$A:$A,0)),
Tasks!$I:$I,"&lt;&gt;")</f>
        <v>0</v>
      </c>
    </row>
    <row r="579" spans="1:10" ht="15" customHeight="1">
      <c r="A579" t="s">
        <v>97</v>
      </c>
      <c r="B579" t="s">
        <v>100</v>
      </c>
      <c r="C579">
        <v>6</v>
      </c>
      <c r="D579">
        <v>2</v>
      </c>
      <c r="E579">
        <v>1</v>
      </c>
      <c r="F579" s="5" t="str">
        <f>IFERROR(ROUND(COUNTIFS(Tasks!$A:$A,$A579,Tasks!$B:$B,$B579,Tasks!$I:$I,"&lt;="&amp;INDEX(Weeks!$D:$D,MATCH($C579,Weeks!$A:$A,0)),Tasks!$I:$I,"&lt;&gt;")/COUNTIFS(Tasks!$A:$A,$A579,Tasks!$B:$B,$B579)*100,0),"")</f>
        <v/>
      </c>
      <c r="G579" s="5" t="str">
        <f>IFERROR(ROUND(COUNTIFS(Tasks!$A:$A,$A579,Tasks!$B:$B,$B579,Tasks!$H:$H,"&lt;="&amp;INDEX(Weeks!$D:$D,MATCH($C579,Weeks!$A:$A,0)))/COUNTIFS(Tasks!$A:$A,$A579,Tasks!$B:$B,$B579)*100,0),"")</f>
        <v/>
      </c>
      <c r="H579" t="s">
        <v>101</v>
      </c>
      <c r="I579">
        <f>COUNTIFS(Tasks!$A:$A,$A579,Tasks!$B:$B,$B579,Tasks!$G:$G,"&lt;="&amp;INDEX(Weeks!$D:$D,MATCH($C579,Weeks!$A:$A,0)))-COUNTIFS(Tasks!$A:$A,$A579,Tasks!$B:$B,$B579,Tasks!$I:$I,"&lt;="&amp;INDEX(Weeks!$D:$D,MATCH($C579,Weeks!$A:$A,0)),Tasks!$I:$I,"&lt;&gt;")</f>
        <v>0</v>
      </c>
      <c r="J579">
        <f>COUNTIFS(Tasks!$A:$A,$A579,Tasks!$B:$B,$B579,
Tasks!$I:$I,"&gt;"&amp;IFERROR(INDEX(Weeks!$D:$D,MATCH($C579-1,Weeks!$A:$A,0)),DATE(2000,1,1)),
Tasks!$I:$I,"&lt;="&amp;INDEX(Weeks!$D:$D,MATCH($C579,Weeks!$A:$A,0)),
Tasks!$I:$I,"&lt;&gt;")</f>
        <v>0</v>
      </c>
    </row>
    <row r="580" spans="1:10" ht="15" customHeight="1">
      <c r="A580" t="s">
        <v>97</v>
      </c>
      <c r="B580" t="s">
        <v>100</v>
      </c>
      <c r="C580">
        <v>7</v>
      </c>
      <c r="D580">
        <v>2</v>
      </c>
      <c r="E580">
        <v>2</v>
      </c>
      <c r="F580" s="5" t="str">
        <f>IFERROR(ROUND(COUNTIFS(Tasks!$A:$A,$A580,Tasks!$B:$B,$B580,Tasks!$I:$I,"&lt;="&amp;INDEX(Weeks!$D:$D,MATCH($C580,Weeks!$A:$A,0)),Tasks!$I:$I,"&lt;&gt;")/COUNTIFS(Tasks!$A:$A,$A580,Tasks!$B:$B,$B580)*100,0),"")</f>
        <v/>
      </c>
      <c r="G580" s="5" t="str">
        <f>IFERROR(ROUND(COUNTIFS(Tasks!$A:$A,$A580,Tasks!$B:$B,$B580,Tasks!$H:$H,"&lt;="&amp;INDEX(Weeks!$D:$D,MATCH($C580,Weeks!$A:$A,0)))/COUNTIFS(Tasks!$A:$A,$A580,Tasks!$B:$B,$B580)*100,0),"")</f>
        <v/>
      </c>
      <c r="H580" t="s">
        <v>101</v>
      </c>
      <c r="I580">
        <f>COUNTIFS(Tasks!$A:$A,$A580,Tasks!$B:$B,$B580,Tasks!$G:$G,"&lt;="&amp;INDEX(Weeks!$D:$D,MATCH($C580,Weeks!$A:$A,0)))-COUNTIFS(Tasks!$A:$A,$A580,Tasks!$B:$B,$B580,Tasks!$I:$I,"&lt;="&amp;INDEX(Weeks!$D:$D,MATCH($C580,Weeks!$A:$A,0)),Tasks!$I:$I,"&lt;&gt;")</f>
        <v>0</v>
      </c>
      <c r="J580">
        <f>COUNTIFS(Tasks!$A:$A,$A580,Tasks!$B:$B,$B580,
Tasks!$I:$I,"&gt;"&amp;IFERROR(INDEX(Weeks!$D:$D,MATCH($C580-1,Weeks!$A:$A,0)),DATE(2000,1,1)),
Tasks!$I:$I,"&lt;="&amp;INDEX(Weeks!$D:$D,MATCH($C580,Weeks!$A:$A,0)),
Tasks!$I:$I,"&lt;&gt;")</f>
        <v>0</v>
      </c>
    </row>
    <row r="581" spans="1:10" ht="15" customHeight="1">
      <c r="A581" t="s">
        <v>97</v>
      </c>
      <c r="B581" t="s">
        <v>100</v>
      </c>
      <c r="C581">
        <v>8</v>
      </c>
      <c r="D581">
        <v>2</v>
      </c>
      <c r="E581">
        <v>3</v>
      </c>
      <c r="F581" s="5" t="str">
        <f>IFERROR(ROUND(COUNTIFS(Tasks!$A:$A,$A581,Tasks!$B:$B,$B581,Tasks!$I:$I,"&lt;="&amp;INDEX(Weeks!$D:$D,MATCH($C581,Weeks!$A:$A,0)),Tasks!$I:$I,"&lt;&gt;")/COUNTIFS(Tasks!$A:$A,$A581,Tasks!$B:$B,$B581)*100,0),"")</f>
        <v/>
      </c>
      <c r="G581" s="5" t="str">
        <f>IFERROR(ROUND(COUNTIFS(Tasks!$A:$A,$A581,Tasks!$B:$B,$B581,Tasks!$H:$H,"&lt;="&amp;INDEX(Weeks!$D:$D,MATCH($C581,Weeks!$A:$A,0)))/COUNTIFS(Tasks!$A:$A,$A581,Tasks!$B:$B,$B581)*100,0),"")</f>
        <v/>
      </c>
      <c r="H581" t="s">
        <v>101</v>
      </c>
      <c r="I581">
        <f>COUNTIFS(Tasks!$A:$A,$A581,Tasks!$B:$B,$B581,Tasks!$G:$G,"&lt;="&amp;INDEX(Weeks!$D:$D,MATCH($C581,Weeks!$A:$A,0)))-COUNTIFS(Tasks!$A:$A,$A581,Tasks!$B:$B,$B581,Tasks!$I:$I,"&lt;="&amp;INDEX(Weeks!$D:$D,MATCH($C581,Weeks!$A:$A,0)),Tasks!$I:$I,"&lt;&gt;")</f>
        <v>0</v>
      </c>
      <c r="J581">
        <f>COUNTIFS(Tasks!$A:$A,$A581,Tasks!$B:$B,$B581,
Tasks!$I:$I,"&gt;"&amp;IFERROR(INDEX(Weeks!$D:$D,MATCH($C581-1,Weeks!$A:$A,0)),DATE(2000,1,1)),
Tasks!$I:$I,"&lt;="&amp;INDEX(Weeks!$D:$D,MATCH($C581,Weeks!$A:$A,0)),
Tasks!$I:$I,"&lt;&gt;")</f>
        <v>0</v>
      </c>
    </row>
    <row r="582" spans="1:10" ht="15" customHeight="1">
      <c r="A582" t="s">
        <v>97</v>
      </c>
      <c r="B582" t="s">
        <v>100</v>
      </c>
      <c r="C582">
        <v>9</v>
      </c>
      <c r="D582">
        <v>2</v>
      </c>
      <c r="E582">
        <v>4</v>
      </c>
      <c r="F582" s="5" t="str">
        <f>IFERROR(ROUND(COUNTIFS(Tasks!$A:$A,$A582,Tasks!$B:$B,$B582,Tasks!$I:$I,"&lt;="&amp;INDEX(Weeks!$D:$D,MATCH($C582,Weeks!$A:$A,0)),Tasks!$I:$I,"&lt;&gt;")/COUNTIFS(Tasks!$A:$A,$A582,Tasks!$B:$B,$B582)*100,0),"")</f>
        <v/>
      </c>
      <c r="G582" s="5" t="str">
        <f>IFERROR(ROUND(COUNTIFS(Tasks!$A:$A,$A582,Tasks!$B:$B,$B582,Tasks!$H:$H,"&lt;="&amp;INDEX(Weeks!$D:$D,MATCH($C582,Weeks!$A:$A,0)))/COUNTIFS(Tasks!$A:$A,$A582,Tasks!$B:$B,$B582)*100,0),"")</f>
        <v/>
      </c>
      <c r="H582" t="s">
        <v>101</v>
      </c>
      <c r="I582">
        <f>COUNTIFS(Tasks!$A:$A,$A582,Tasks!$B:$B,$B582,Tasks!$G:$G,"&lt;="&amp;INDEX(Weeks!$D:$D,MATCH($C582,Weeks!$A:$A,0)))-COUNTIFS(Tasks!$A:$A,$A582,Tasks!$B:$B,$B582,Tasks!$I:$I,"&lt;="&amp;INDEX(Weeks!$D:$D,MATCH($C582,Weeks!$A:$A,0)),Tasks!$I:$I,"&lt;&gt;")</f>
        <v>0</v>
      </c>
      <c r="J582">
        <f>COUNTIFS(Tasks!$A:$A,$A582,Tasks!$B:$B,$B582,
Tasks!$I:$I,"&gt;"&amp;IFERROR(INDEX(Weeks!$D:$D,MATCH($C582-1,Weeks!$A:$A,0)),DATE(2000,1,1)),
Tasks!$I:$I,"&lt;="&amp;INDEX(Weeks!$D:$D,MATCH($C582,Weeks!$A:$A,0)),
Tasks!$I:$I,"&lt;&gt;")</f>
        <v>0</v>
      </c>
    </row>
    <row r="583" spans="1:10" ht="15" customHeight="1">
      <c r="A583" t="s">
        <v>97</v>
      </c>
      <c r="B583" t="s">
        <v>100</v>
      </c>
      <c r="C583">
        <v>10</v>
      </c>
      <c r="D583">
        <v>3</v>
      </c>
      <c r="E583">
        <v>1</v>
      </c>
      <c r="F583" s="5" t="str">
        <f>IFERROR(ROUND(COUNTIFS(Tasks!$A:$A,$A583,Tasks!$B:$B,$B583,Tasks!$I:$I,"&lt;="&amp;INDEX(Weeks!$D:$D,MATCH($C583,Weeks!$A:$A,0)),Tasks!$I:$I,"&lt;&gt;")/COUNTIFS(Tasks!$A:$A,$A583,Tasks!$B:$B,$B583)*100,0),"")</f>
        <v/>
      </c>
      <c r="G583" s="5" t="str">
        <f>IFERROR(ROUND(COUNTIFS(Tasks!$A:$A,$A583,Tasks!$B:$B,$B583,Tasks!$H:$H,"&lt;="&amp;INDEX(Weeks!$D:$D,MATCH($C583,Weeks!$A:$A,0)))/COUNTIFS(Tasks!$A:$A,$A583,Tasks!$B:$B,$B583)*100,0),"")</f>
        <v/>
      </c>
      <c r="H583" t="s">
        <v>101</v>
      </c>
      <c r="I583">
        <f>COUNTIFS(Tasks!$A:$A,$A583,Tasks!$B:$B,$B583,Tasks!$G:$G,"&lt;="&amp;INDEX(Weeks!$D:$D,MATCH($C583,Weeks!$A:$A,0)))-COUNTIFS(Tasks!$A:$A,$A583,Tasks!$B:$B,$B583,Tasks!$I:$I,"&lt;="&amp;INDEX(Weeks!$D:$D,MATCH($C583,Weeks!$A:$A,0)),Tasks!$I:$I,"&lt;&gt;")</f>
        <v>0</v>
      </c>
      <c r="J583">
        <f>COUNTIFS(Tasks!$A:$A,$A583,Tasks!$B:$B,$B583,
Tasks!$I:$I,"&gt;"&amp;IFERROR(INDEX(Weeks!$D:$D,MATCH($C583-1,Weeks!$A:$A,0)),DATE(2000,1,1)),
Tasks!$I:$I,"&lt;="&amp;INDEX(Weeks!$D:$D,MATCH($C583,Weeks!$A:$A,0)),
Tasks!$I:$I,"&lt;&gt;")</f>
        <v>0</v>
      </c>
    </row>
    <row r="584" spans="1:10" ht="15" customHeight="1">
      <c r="A584" t="s">
        <v>97</v>
      </c>
      <c r="B584" t="s">
        <v>100</v>
      </c>
      <c r="C584">
        <v>11</v>
      </c>
      <c r="D584">
        <v>3</v>
      </c>
      <c r="E584">
        <v>2</v>
      </c>
      <c r="F584" s="5" t="str">
        <f>IFERROR(ROUND(COUNTIFS(Tasks!$A:$A,$A584,Tasks!$B:$B,$B584,Tasks!$I:$I,"&lt;="&amp;INDEX(Weeks!$D:$D,MATCH($C584,Weeks!$A:$A,0)),Tasks!$I:$I,"&lt;&gt;")/COUNTIFS(Tasks!$A:$A,$A584,Tasks!$B:$B,$B584)*100,0),"")</f>
        <v/>
      </c>
      <c r="G584" s="5" t="str">
        <f>IFERROR(ROUND(COUNTIFS(Tasks!$A:$A,$A584,Tasks!$B:$B,$B584,Tasks!$H:$H,"&lt;="&amp;INDEX(Weeks!$D:$D,MATCH($C584,Weeks!$A:$A,0)))/COUNTIFS(Tasks!$A:$A,$A584,Tasks!$B:$B,$B584)*100,0),"")</f>
        <v/>
      </c>
      <c r="H584" t="s">
        <v>101</v>
      </c>
      <c r="I584">
        <f>COUNTIFS(Tasks!$A:$A,$A584,Tasks!$B:$B,$B584,Tasks!$G:$G,"&lt;="&amp;INDEX(Weeks!$D:$D,MATCH($C584,Weeks!$A:$A,0)))-COUNTIFS(Tasks!$A:$A,$A584,Tasks!$B:$B,$B584,Tasks!$I:$I,"&lt;="&amp;INDEX(Weeks!$D:$D,MATCH($C584,Weeks!$A:$A,0)),Tasks!$I:$I,"&lt;&gt;")</f>
        <v>0</v>
      </c>
      <c r="J584">
        <f>COUNTIFS(Tasks!$A:$A,$A584,Tasks!$B:$B,$B584,
Tasks!$I:$I,"&gt;"&amp;IFERROR(INDEX(Weeks!$D:$D,MATCH($C584-1,Weeks!$A:$A,0)),DATE(2000,1,1)),
Tasks!$I:$I,"&lt;="&amp;INDEX(Weeks!$D:$D,MATCH($C584,Weeks!$A:$A,0)),
Tasks!$I:$I,"&lt;&gt;")</f>
        <v>0</v>
      </c>
    </row>
    <row r="585" spans="1:10" ht="15" customHeight="1">
      <c r="A585" t="s">
        <v>97</v>
      </c>
      <c r="B585" t="s">
        <v>100</v>
      </c>
      <c r="C585">
        <v>12</v>
      </c>
      <c r="D585">
        <v>3</v>
      </c>
      <c r="E585">
        <v>3</v>
      </c>
      <c r="F585" s="5" t="str">
        <f>IFERROR(ROUND(COUNTIFS(Tasks!$A:$A,$A585,Tasks!$B:$B,$B585,Tasks!$I:$I,"&lt;="&amp;INDEX(Weeks!$D:$D,MATCH($C585,Weeks!$A:$A,0)),Tasks!$I:$I,"&lt;&gt;")/COUNTIFS(Tasks!$A:$A,$A585,Tasks!$B:$B,$B585)*100,0),"")</f>
        <v/>
      </c>
      <c r="G585" s="5" t="str">
        <f>IFERROR(ROUND(COUNTIFS(Tasks!$A:$A,$A585,Tasks!$B:$B,$B585,Tasks!$H:$H,"&lt;="&amp;INDEX(Weeks!$D:$D,MATCH($C585,Weeks!$A:$A,0)))/COUNTIFS(Tasks!$A:$A,$A585,Tasks!$B:$B,$B585)*100,0),"")</f>
        <v/>
      </c>
      <c r="H585" t="s">
        <v>101</v>
      </c>
      <c r="I585">
        <f>COUNTIFS(Tasks!$A:$A,$A585,Tasks!$B:$B,$B585,Tasks!$G:$G,"&lt;="&amp;INDEX(Weeks!$D:$D,MATCH($C585,Weeks!$A:$A,0)))-COUNTIFS(Tasks!$A:$A,$A585,Tasks!$B:$B,$B585,Tasks!$I:$I,"&lt;="&amp;INDEX(Weeks!$D:$D,MATCH($C585,Weeks!$A:$A,0)),Tasks!$I:$I,"&lt;&gt;")</f>
        <v>0</v>
      </c>
      <c r="J585">
        <f>COUNTIFS(Tasks!$A:$A,$A585,Tasks!$B:$B,$B585,
Tasks!$I:$I,"&gt;"&amp;IFERROR(INDEX(Weeks!$D:$D,MATCH($C585-1,Weeks!$A:$A,0)),DATE(2000,1,1)),
Tasks!$I:$I,"&lt;="&amp;INDEX(Weeks!$D:$D,MATCH($C585,Weeks!$A:$A,0)),
Tasks!$I:$I,"&lt;&gt;")</f>
        <v>0</v>
      </c>
    </row>
    <row r="586" spans="1:10" ht="15" customHeight="1">
      <c r="A586" t="s">
        <v>97</v>
      </c>
      <c r="B586" t="s">
        <v>100</v>
      </c>
      <c r="C586">
        <v>13</v>
      </c>
      <c r="D586">
        <v>3</v>
      </c>
      <c r="E586">
        <v>4</v>
      </c>
      <c r="F586" s="5" t="str">
        <f>IFERROR(ROUND(COUNTIFS(Tasks!$A:$A,$A586,Tasks!$B:$B,$B586,Tasks!$I:$I,"&lt;="&amp;INDEX(Weeks!$D:$D,MATCH($C586,Weeks!$A:$A,0)),Tasks!$I:$I,"&lt;&gt;")/COUNTIFS(Tasks!$A:$A,$A586,Tasks!$B:$B,$B586)*100,0),"")</f>
        <v/>
      </c>
      <c r="G586" s="5" t="str">
        <f>IFERROR(ROUND(COUNTIFS(Tasks!$A:$A,$A586,Tasks!$B:$B,$B586,Tasks!$H:$H,"&lt;="&amp;INDEX(Weeks!$D:$D,MATCH($C586,Weeks!$A:$A,0)))/COUNTIFS(Tasks!$A:$A,$A586,Tasks!$B:$B,$B586)*100,0),"")</f>
        <v/>
      </c>
      <c r="H586" t="s">
        <v>101</v>
      </c>
      <c r="I586">
        <f>COUNTIFS(Tasks!$A:$A,$A586,Tasks!$B:$B,$B586,Tasks!$G:$G,"&lt;="&amp;INDEX(Weeks!$D:$D,MATCH($C586,Weeks!$A:$A,0)))-COUNTIFS(Tasks!$A:$A,$A586,Tasks!$B:$B,$B586,Tasks!$I:$I,"&lt;="&amp;INDEX(Weeks!$D:$D,MATCH($C586,Weeks!$A:$A,0)),Tasks!$I:$I,"&lt;&gt;")</f>
        <v>0</v>
      </c>
      <c r="J586">
        <f>COUNTIFS(Tasks!$A:$A,$A586,Tasks!$B:$B,$B586,
Tasks!$I:$I,"&gt;"&amp;IFERROR(INDEX(Weeks!$D:$D,MATCH($C586-1,Weeks!$A:$A,0)),DATE(2000,1,1)),
Tasks!$I:$I,"&lt;="&amp;INDEX(Weeks!$D:$D,MATCH($C586,Weeks!$A:$A,0)),
Tasks!$I:$I,"&lt;&gt;")</f>
        <v>0</v>
      </c>
    </row>
    <row r="587" spans="1:10" ht="15" customHeight="1">
      <c r="A587" t="s">
        <v>97</v>
      </c>
      <c r="B587" t="s">
        <v>100</v>
      </c>
      <c r="C587">
        <v>14</v>
      </c>
      <c r="D587">
        <v>4</v>
      </c>
      <c r="E587">
        <v>1</v>
      </c>
      <c r="F587" s="5" t="str">
        <f>IFERROR(ROUND(COUNTIFS(Tasks!$A:$A,$A587,Tasks!$B:$B,$B587,Tasks!$I:$I,"&lt;="&amp;INDEX(Weeks!$D:$D,MATCH($C587,Weeks!$A:$A,0)),Tasks!$I:$I,"&lt;&gt;")/COUNTIFS(Tasks!$A:$A,$A587,Tasks!$B:$B,$B587)*100,0),"")</f>
        <v/>
      </c>
      <c r="G587" s="5" t="str">
        <f>IFERROR(ROUND(COUNTIFS(Tasks!$A:$A,$A587,Tasks!$B:$B,$B587,Tasks!$H:$H,"&lt;="&amp;INDEX(Weeks!$D:$D,MATCH($C587,Weeks!$A:$A,0)))/COUNTIFS(Tasks!$A:$A,$A587,Tasks!$B:$B,$B587)*100,0),"")</f>
        <v/>
      </c>
      <c r="H587" t="s">
        <v>101</v>
      </c>
      <c r="I587">
        <f>COUNTIFS(Tasks!$A:$A,$A587,Tasks!$B:$B,$B587,Tasks!$G:$G,"&lt;="&amp;INDEX(Weeks!$D:$D,MATCH($C587,Weeks!$A:$A,0)))-COUNTIFS(Tasks!$A:$A,$A587,Tasks!$B:$B,$B587,Tasks!$I:$I,"&lt;="&amp;INDEX(Weeks!$D:$D,MATCH($C587,Weeks!$A:$A,0)),Tasks!$I:$I,"&lt;&gt;")</f>
        <v>0</v>
      </c>
      <c r="J587">
        <f>COUNTIFS(Tasks!$A:$A,$A587,Tasks!$B:$B,$B587,
Tasks!$I:$I,"&gt;"&amp;IFERROR(INDEX(Weeks!$D:$D,MATCH($C587-1,Weeks!$A:$A,0)),DATE(2000,1,1)),
Tasks!$I:$I,"&lt;="&amp;INDEX(Weeks!$D:$D,MATCH($C587,Weeks!$A:$A,0)),
Tasks!$I:$I,"&lt;&gt;")</f>
        <v>0</v>
      </c>
    </row>
    <row r="588" spans="1:10" ht="15" customHeight="1">
      <c r="A588" t="s">
        <v>97</v>
      </c>
      <c r="B588" t="s">
        <v>100</v>
      </c>
      <c r="C588">
        <v>15</v>
      </c>
      <c r="D588">
        <v>4</v>
      </c>
      <c r="E588">
        <v>2</v>
      </c>
      <c r="F588" s="5" t="str">
        <f>IFERROR(ROUND(COUNTIFS(Tasks!$A:$A,$A588,Tasks!$B:$B,$B588,Tasks!$I:$I,"&lt;="&amp;INDEX(Weeks!$D:$D,MATCH($C588,Weeks!$A:$A,0)),Tasks!$I:$I,"&lt;&gt;")/COUNTIFS(Tasks!$A:$A,$A588,Tasks!$B:$B,$B588)*100,0),"")</f>
        <v/>
      </c>
      <c r="G588" s="5" t="str">
        <f>IFERROR(ROUND(COUNTIFS(Tasks!$A:$A,$A588,Tasks!$B:$B,$B588,Tasks!$H:$H,"&lt;="&amp;INDEX(Weeks!$D:$D,MATCH($C588,Weeks!$A:$A,0)))/COUNTIFS(Tasks!$A:$A,$A588,Tasks!$B:$B,$B588)*100,0),"")</f>
        <v/>
      </c>
      <c r="H588" t="s">
        <v>101</v>
      </c>
      <c r="I588">
        <f>COUNTIFS(Tasks!$A:$A,$A588,Tasks!$B:$B,$B588,Tasks!$G:$G,"&lt;="&amp;INDEX(Weeks!$D:$D,MATCH($C588,Weeks!$A:$A,0)))-COUNTIFS(Tasks!$A:$A,$A588,Tasks!$B:$B,$B588,Tasks!$I:$I,"&lt;="&amp;INDEX(Weeks!$D:$D,MATCH($C588,Weeks!$A:$A,0)),Tasks!$I:$I,"&lt;&gt;")</f>
        <v>0</v>
      </c>
      <c r="J588">
        <f>COUNTIFS(Tasks!$A:$A,$A588,Tasks!$B:$B,$B588,
Tasks!$I:$I,"&gt;"&amp;IFERROR(INDEX(Weeks!$D:$D,MATCH($C588-1,Weeks!$A:$A,0)),DATE(2000,1,1)),
Tasks!$I:$I,"&lt;="&amp;INDEX(Weeks!$D:$D,MATCH($C588,Weeks!$A:$A,0)),
Tasks!$I:$I,"&lt;&gt;")</f>
        <v>0</v>
      </c>
    </row>
    <row r="589" spans="1:10" ht="15" customHeight="1">
      <c r="A589" t="s">
        <v>97</v>
      </c>
      <c r="B589" t="s">
        <v>100</v>
      </c>
      <c r="C589">
        <v>16</v>
      </c>
      <c r="D589">
        <v>4</v>
      </c>
      <c r="E589">
        <v>3</v>
      </c>
      <c r="F589" s="5" t="str">
        <f>IFERROR(ROUND(COUNTIFS(Tasks!$A:$A,$A589,Tasks!$B:$B,$B589,Tasks!$I:$I,"&lt;="&amp;INDEX(Weeks!$D:$D,MATCH($C589,Weeks!$A:$A,0)),Tasks!$I:$I,"&lt;&gt;")/COUNTIFS(Tasks!$A:$A,$A589,Tasks!$B:$B,$B589)*100,0),"")</f>
        <v/>
      </c>
      <c r="G589" s="5" t="str">
        <f>IFERROR(ROUND(COUNTIFS(Tasks!$A:$A,$A589,Tasks!$B:$B,$B589,Tasks!$H:$H,"&lt;="&amp;INDEX(Weeks!$D:$D,MATCH($C589,Weeks!$A:$A,0)))/COUNTIFS(Tasks!$A:$A,$A589,Tasks!$B:$B,$B589)*100,0),"")</f>
        <v/>
      </c>
      <c r="H589" t="s">
        <v>101</v>
      </c>
      <c r="I589">
        <f>COUNTIFS(Tasks!$A:$A,$A589,Tasks!$B:$B,$B589,Tasks!$G:$G,"&lt;="&amp;INDEX(Weeks!$D:$D,MATCH($C589,Weeks!$A:$A,0)))-COUNTIFS(Tasks!$A:$A,$A589,Tasks!$B:$B,$B589,Tasks!$I:$I,"&lt;="&amp;INDEX(Weeks!$D:$D,MATCH($C589,Weeks!$A:$A,0)),Tasks!$I:$I,"&lt;&gt;")</f>
        <v>0</v>
      </c>
      <c r="J589">
        <f>COUNTIFS(Tasks!$A:$A,$A589,Tasks!$B:$B,$B589,
Tasks!$I:$I,"&gt;"&amp;IFERROR(INDEX(Weeks!$D:$D,MATCH($C589-1,Weeks!$A:$A,0)),DATE(2000,1,1)),
Tasks!$I:$I,"&lt;="&amp;INDEX(Weeks!$D:$D,MATCH($C589,Weeks!$A:$A,0)),
Tasks!$I:$I,"&lt;&gt;")</f>
        <v>0</v>
      </c>
    </row>
    <row r="590" spans="1:10" ht="15" customHeight="1">
      <c r="A590" t="s">
        <v>97</v>
      </c>
      <c r="B590" t="s">
        <v>100</v>
      </c>
      <c r="C590">
        <v>17</v>
      </c>
      <c r="D590">
        <v>4</v>
      </c>
      <c r="E590">
        <v>4</v>
      </c>
      <c r="F590" s="5" t="str">
        <f>IFERROR(ROUND(COUNTIFS(Tasks!$A:$A,$A590,Tasks!$B:$B,$B590,Tasks!$I:$I,"&lt;="&amp;INDEX(Weeks!$D:$D,MATCH($C590,Weeks!$A:$A,0)),Tasks!$I:$I,"&lt;&gt;")/COUNTIFS(Tasks!$A:$A,$A590,Tasks!$B:$B,$B590)*100,0),"")</f>
        <v/>
      </c>
      <c r="G590" s="5" t="str">
        <f>IFERROR(ROUND(COUNTIFS(Tasks!$A:$A,$A590,Tasks!$B:$B,$B590,Tasks!$H:$H,"&lt;="&amp;INDEX(Weeks!$D:$D,MATCH($C590,Weeks!$A:$A,0)))/COUNTIFS(Tasks!$A:$A,$A590,Tasks!$B:$B,$B590)*100,0),"")</f>
        <v/>
      </c>
      <c r="H590" t="s">
        <v>101</v>
      </c>
      <c r="I590">
        <f>COUNTIFS(Tasks!$A:$A,$A590,Tasks!$B:$B,$B590,Tasks!$G:$G,"&lt;="&amp;INDEX(Weeks!$D:$D,MATCH($C590,Weeks!$A:$A,0)))-COUNTIFS(Tasks!$A:$A,$A590,Tasks!$B:$B,$B590,Tasks!$I:$I,"&lt;="&amp;INDEX(Weeks!$D:$D,MATCH($C590,Weeks!$A:$A,0)),Tasks!$I:$I,"&lt;&gt;")</f>
        <v>0</v>
      </c>
      <c r="J590">
        <f>COUNTIFS(Tasks!$A:$A,$A590,Tasks!$B:$B,$B590,
Tasks!$I:$I,"&gt;"&amp;IFERROR(INDEX(Weeks!$D:$D,MATCH($C590-1,Weeks!$A:$A,0)),DATE(2000,1,1)),
Tasks!$I:$I,"&lt;="&amp;INDEX(Weeks!$D:$D,MATCH($C590,Weeks!$A:$A,0)),
Tasks!$I:$I,"&lt;&gt;")</f>
        <v>0</v>
      </c>
    </row>
    <row r="591" spans="1:10" ht="15" customHeight="1">
      <c r="A591" t="s">
        <v>97</v>
      </c>
      <c r="B591" t="s">
        <v>100</v>
      </c>
      <c r="C591">
        <v>18</v>
      </c>
      <c r="D591">
        <v>5</v>
      </c>
      <c r="E591">
        <v>1</v>
      </c>
      <c r="F591" s="5" t="str">
        <f>IFERROR(ROUND(COUNTIFS(Tasks!$A:$A,$A591,Tasks!$B:$B,$B591,Tasks!$I:$I,"&lt;="&amp;INDEX(Weeks!$D:$D,MATCH($C591,Weeks!$A:$A,0)),Tasks!$I:$I,"&lt;&gt;")/COUNTIFS(Tasks!$A:$A,$A591,Tasks!$B:$B,$B591)*100,0),"")</f>
        <v/>
      </c>
      <c r="G591" s="5" t="str">
        <f>IFERROR(ROUND(COUNTIFS(Tasks!$A:$A,$A591,Tasks!$B:$B,$B591,Tasks!$H:$H,"&lt;="&amp;INDEX(Weeks!$D:$D,MATCH($C591,Weeks!$A:$A,0)))/COUNTIFS(Tasks!$A:$A,$A591,Tasks!$B:$B,$B591)*100,0),"")</f>
        <v/>
      </c>
      <c r="H591" t="s">
        <v>101</v>
      </c>
      <c r="I591">
        <f>COUNTIFS(Tasks!$A:$A,$A591,Tasks!$B:$B,$B591,Tasks!$G:$G,"&lt;="&amp;INDEX(Weeks!$D:$D,MATCH($C591,Weeks!$A:$A,0)))-COUNTIFS(Tasks!$A:$A,$A591,Tasks!$B:$B,$B591,Tasks!$I:$I,"&lt;="&amp;INDEX(Weeks!$D:$D,MATCH($C591,Weeks!$A:$A,0)),Tasks!$I:$I,"&lt;&gt;")</f>
        <v>0</v>
      </c>
      <c r="J591">
        <f>COUNTIFS(Tasks!$A:$A,$A591,Tasks!$B:$B,$B591,
Tasks!$I:$I,"&gt;"&amp;IFERROR(INDEX(Weeks!$D:$D,MATCH($C591-1,Weeks!$A:$A,0)),DATE(2000,1,1)),
Tasks!$I:$I,"&lt;="&amp;INDEX(Weeks!$D:$D,MATCH($C591,Weeks!$A:$A,0)),
Tasks!$I:$I,"&lt;&gt;")</f>
        <v>0</v>
      </c>
    </row>
    <row r="592" spans="1:10" ht="15" customHeight="1">
      <c r="A592" t="s">
        <v>97</v>
      </c>
      <c r="B592" t="s">
        <v>100</v>
      </c>
      <c r="C592">
        <v>19</v>
      </c>
      <c r="D592">
        <v>5</v>
      </c>
      <c r="E592">
        <v>2</v>
      </c>
      <c r="F592" s="5" t="str">
        <f>IFERROR(ROUND(COUNTIFS(Tasks!$A:$A,$A592,Tasks!$B:$B,$B592,Tasks!$I:$I,"&lt;="&amp;INDEX(Weeks!$D:$D,MATCH($C592,Weeks!$A:$A,0)),Tasks!$I:$I,"&lt;&gt;")/COUNTIFS(Tasks!$A:$A,$A592,Tasks!$B:$B,$B592)*100,0),"")</f>
        <v/>
      </c>
      <c r="G592" s="5" t="str">
        <f>IFERROR(ROUND(COUNTIFS(Tasks!$A:$A,$A592,Tasks!$B:$B,$B592,Tasks!$H:$H,"&lt;="&amp;INDEX(Weeks!$D:$D,MATCH($C592,Weeks!$A:$A,0)))/COUNTIFS(Tasks!$A:$A,$A592,Tasks!$B:$B,$B592)*100,0),"")</f>
        <v/>
      </c>
      <c r="H592" t="s">
        <v>101</v>
      </c>
      <c r="I592">
        <f>COUNTIFS(Tasks!$A:$A,$A592,Tasks!$B:$B,$B592,Tasks!$G:$G,"&lt;="&amp;INDEX(Weeks!$D:$D,MATCH($C592,Weeks!$A:$A,0)))-COUNTIFS(Tasks!$A:$A,$A592,Tasks!$B:$B,$B592,Tasks!$I:$I,"&lt;="&amp;INDEX(Weeks!$D:$D,MATCH($C592,Weeks!$A:$A,0)),Tasks!$I:$I,"&lt;&gt;")</f>
        <v>0</v>
      </c>
      <c r="J592">
        <f>COUNTIFS(Tasks!$A:$A,$A592,Tasks!$B:$B,$B592,
Tasks!$I:$I,"&gt;"&amp;IFERROR(INDEX(Weeks!$D:$D,MATCH($C592-1,Weeks!$A:$A,0)),DATE(2000,1,1)),
Tasks!$I:$I,"&lt;="&amp;INDEX(Weeks!$D:$D,MATCH($C592,Weeks!$A:$A,0)),
Tasks!$I:$I,"&lt;&gt;")</f>
        <v>0</v>
      </c>
    </row>
    <row r="593" spans="1:10" ht="15" customHeight="1">
      <c r="A593" t="s">
        <v>97</v>
      </c>
      <c r="B593" t="s">
        <v>100</v>
      </c>
      <c r="C593">
        <v>20</v>
      </c>
      <c r="D593">
        <v>5</v>
      </c>
      <c r="E593">
        <v>3</v>
      </c>
      <c r="F593" s="5" t="str">
        <f>IFERROR(ROUND(COUNTIFS(Tasks!$A:$A,$A593,Tasks!$B:$B,$B593,Tasks!$I:$I,"&lt;="&amp;INDEX(Weeks!$D:$D,MATCH($C593,Weeks!$A:$A,0)),Tasks!$I:$I,"&lt;&gt;")/COUNTIFS(Tasks!$A:$A,$A593,Tasks!$B:$B,$B593)*100,0),"")</f>
        <v/>
      </c>
      <c r="G593" s="5" t="str">
        <f>IFERROR(ROUND(COUNTIFS(Tasks!$A:$A,$A593,Tasks!$B:$B,$B593,Tasks!$H:$H,"&lt;="&amp;INDEX(Weeks!$D:$D,MATCH($C593,Weeks!$A:$A,0)))/COUNTIFS(Tasks!$A:$A,$A593,Tasks!$B:$B,$B593)*100,0),"")</f>
        <v/>
      </c>
      <c r="H593" t="s">
        <v>101</v>
      </c>
      <c r="I593">
        <f>COUNTIFS(Tasks!$A:$A,$A593,Tasks!$B:$B,$B593,Tasks!$G:$G,"&lt;="&amp;INDEX(Weeks!$D:$D,MATCH($C593,Weeks!$A:$A,0)))-COUNTIFS(Tasks!$A:$A,$A593,Tasks!$B:$B,$B593,Tasks!$I:$I,"&lt;="&amp;INDEX(Weeks!$D:$D,MATCH($C593,Weeks!$A:$A,0)),Tasks!$I:$I,"&lt;&gt;")</f>
        <v>0</v>
      </c>
      <c r="J593">
        <f>COUNTIFS(Tasks!$A:$A,$A593,Tasks!$B:$B,$B593,
Tasks!$I:$I,"&gt;"&amp;IFERROR(INDEX(Weeks!$D:$D,MATCH($C593-1,Weeks!$A:$A,0)),DATE(2000,1,1)),
Tasks!$I:$I,"&lt;="&amp;INDEX(Weeks!$D:$D,MATCH($C593,Weeks!$A:$A,0)),
Tasks!$I:$I,"&lt;&gt;")</f>
        <v>0</v>
      </c>
    </row>
    <row r="594" spans="1:10" ht="15" customHeight="1">
      <c r="A594" t="s">
        <v>97</v>
      </c>
      <c r="B594" t="s">
        <v>100</v>
      </c>
      <c r="C594">
        <v>21</v>
      </c>
      <c r="D594">
        <v>5</v>
      </c>
      <c r="E594">
        <v>4</v>
      </c>
      <c r="F594" s="5" t="str">
        <f>IFERROR(ROUND(COUNTIFS(Tasks!$A:$A,$A594,Tasks!$B:$B,$B594,Tasks!$I:$I,"&lt;="&amp;INDEX(Weeks!$D:$D,MATCH($C594,Weeks!$A:$A,0)),Tasks!$I:$I,"&lt;&gt;")/COUNTIFS(Tasks!$A:$A,$A594,Tasks!$B:$B,$B594)*100,0),"")</f>
        <v/>
      </c>
      <c r="G594" s="5" t="str">
        <f>IFERROR(ROUND(COUNTIFS(Tasks!$A:$A,$A594,Tasks!$B:$B,$B594,Tasks!$H:$H,"&lt;="&amp;INDEX(Weeks!$D:$D,MATCH($C594,Weeks!$A:$A,0)))/COUNTIFS(Tasks!$A:$A,$A594,Tasks!$B:$B,$B594)*100,0),"")</f>
        <v/>
      </c>
      <c r="H594" t="s">
        <v>101</v>
      </c>
      <c r="I594">
        <f>COUNTIFS(Tasks!$A:$A,$A594,Tasks!$B:$B,$B594,Tasks!$G:$G,"&lt;="&amp;INDEX(Weeks!$D:$D,MATCH($C594,Weeks!$A:$A,0)))-COUNTIFS(Tasks!$A:$A,$A594,Tasks!$B:$B,$B594,Tasks!$I:$I,"&lt;="&amp;INDEX(Weeks!$D:$D,MATCH($C594,Weeks!$A:$A,0)),Tasks!$I:$I,"&lt;&gt;")</f>
        <v>0</v>
      </c>
      <c r="J594">
        <f>COUNTIFS(Tasks!$A:$A,$A594,Tasks!$B:$B,$B594,
Tasks!$I:$I,"&gt;"&amp;IFERROR(INDEX(Weeks!$D:$D,MATCH($C594-1,Weeks!$A:$A,0)),DATE(2000,1,1)),
Tasks!$I:$I,"&lt;="&amp;INDEX(Weeks!$D:$D,MATCH($C594,Weeks!$A:$A,0)),
Tasks!$I:$I,"&lt;&gt;")</f>
        <v>0</v>
      </c>
    </row>
    <row r="595" spans="1:10" ht="15" customHeight="1">
      <c r="A595" t="s">
        <v>97</v>
      </c>
      <c r="B595" t="s">
        <v>100</v>
      </c>
      <c r="C595">
        <v>22</v>
      </c>
      <c r="D595">
        <v>5</v>
      </c>
      <c r="E595">
        <v>5</v>
      </c>
      <c r="F595" s="5" t="str">
        <f>IFERROR(ROUND(COUNTIFS(Tasks!$A:$A,$A595,Tasks!$B:$B,$B595,Tasks!$I:$I,"&lt;="&amp;INDEX(Weeks!$D:$D,MATCH($C595,Weeks!$A:$A,0)),Tasks!$I:$I,"&lt;&gt;")/COUNTIFS(Tasks!$A:$A,$A595,Tasks!$B:$B,$B595)*100,0),"")</f>
        <v/>
      </c>
      <c r="G595" s="5" t="str">
        <f>IFERROR(ROUND(COUNTIFS(Tasks!$A:$A,$A595,Tasks!$B:$B,$B595,Tasks!$H:$H,"&lt;="&amp;INDEX(Weeks!$D:$D,MATCH($C595,Weeks!$A:$A,0)))/COUNTIFS(Tasks!$A:$A,$A595,Tasks!$B:$B,$B595)*100,0),"")</f>
        <v/>
      </c>
      <c r="H595" t="s">
        <v>101</v>
      </c>
      <c r="I595">
        <f>COUNTIFS(Tasks!$A:$A,$A595,Tasks!$B:$B,$B595,Tasks!$G:$G,"&lt;="&amp;INDEX(Weeks!$D:$D,MATCH($C595,Weeks!$A:$A,0)))-COUNTIFS(Tasks!$A:$A,$A595,Tasks!$B:$B,$B595,Tasks!$I:$I,"&lt;="&amp;INDEX(Weeks!$D:$D,MATCH($C595,Weeks!$A:$A,0)),Tasks!$I:$I,"&lt;&gt;")</f>
        <v>0</v>
      </c>
      <c r="J595">
        <f>COUNTIFS(Tasks!$A:$A,$A595,Tasks!$B:$B,$B595,
Tasks!$I:$I,"&gt;"&amp;IFERROR(INDEX(Weeks!$D:$D,MATCH($C595-1,Weeks!$A:$A,0)),DATE(2000,1,1)),
Tasks!$I:$I,"&lt;="&amp;INDEX(Weeks!$D:$D,MATCH($C595,Weeks!$A:$A,0)),
Tasks!$I:$I,"&lt;&gt;")</f>
        <v>0</v>
      </c>
    </row>
    <row r="596" spans="1:10" ht="15" customHeight="1">
      <c r="A596" t="s">
        <v>97</v>
      </c>
      <c r="B596" t="s">
        <v>100</v>
      </c>
      <c r="C596">
        <v>23</v>
      </c>
      <c r="D596">
        <v>6</v>
      </c>
      <c r="E596">
        <v>1</v>
      </c>
      <c r="F596" s="5" t="str">
        <f>IFERROR(ROUND(COUNTIFS(Tasks!$A:$A,$A596,Tasks!$B:$B,$B596,Tasks!$I:$I,"&lt;="&amp;INDEX(Weeks!$D:$D,MATCH($C596,Weeks!$A:$A,0)),Tasks!$I:$I,"&lt;&gt;")/COUNTIFS(Tasks!$A:$A,$A596,Tasks!$B:$B,$B596)*100,0),"")</f>
        <v/>
      </c>
      <c r="G596" s="5" t="str">
        <f>IFERROR(ROUND(COUNTIFS(Tasks!$A:$A,$A596,Tasks!$B:$B,$B596,Tasks!$H:$H,"&lt;="&amp;INDEX(Weeks!$D:$D,MATCH($C596,Weeks!$A:$A,0)))/COUNTIFS(Tasks!$A:$A,$A596,Tasks!$B:$B,$B596)*100,0),"")</f>
        <v/>
      </c>
      <c r="H596" t="s">
        <v>101</v>
      </c>
      <c r="I596">
        <f>COUNTIFS(Tasks!$A:$A,$A596,Tasks!$B:$B,$B596,Tasks!$G:$G,"&lt;="&amp;INDEX(Weeks!$D:$D,MATCH($C596,Weeks!$A:$A,0)))-COUNTIFS(Tasks!$A:$A,$A596,Tasks!$B:$B,$B596,Tasks!$I:$I,"&lt;="&amp;INDEX(Weeks!$D:$D,MATCH($C596,Weeks!$A:$A,0)),Tasks!$I:$I,"&lt;&gt;")</f>
        <v>0</v>
      </c>
      <c r="J596">
        <f>COUNTIFS(Tasks!$A:$A,$A596,Tasks!$B:$B,$B596,
Tasks!$I:$I,"&gt;"&amp;IFERROR(INDEX(Weeks!$D:$D,MATCH($C596-1,Weeks!$A:$A,0)),DATE(2000,1,1)),
Tasks!$I:$I,"&lt;="&amp;INDEX(Weeks!$D:$D,MATCH($C596,Weeks!$A:$A,0)),
Tasks!$I:$I,"&lt;&gt;")</f>
        <v>0</v>
      </c>
    </row>
    <row r="597" spans="1:10" ht="15" customHeight="1">
      <c r="A597" t="s">
        <v>97</v>
      </c>
      <c r="B597" t="s">
        <v>100</v>
      </c>
      <c r="C597">
        <v>24</v>
      </c>
      <c r="D597">
        <v>6</v>
      </c>
      <c r="E597">
        <v>2</v>
      </c>
      <c r="F597" s="5" t="str">
        <f>IFERROR(ROUND(COUNTIFS(Tasks!$A:$A,$A597,Tasks!$B:$B,$B597,Tasks!$I:$I,"&lt;="&amp;INDEX(Weeks!$D:$D,MATCH($C597,Weeks!$A:$A,0)),Tasks!$I:$I,"&lt;&gt;")/COUNTIFS(Tasks!$A:$A,$A597,Tasks!$B:$B,$B597)*100,0),"")</f>
        <v/>
      </c>
      <c r="G597" s="5" t="str">
        <f>IFERROR(ROUND(COUNTIFS(Tasks!$A:$A,$A597,Tasks!$B:$B,$B597,Tasks!$H:$H,"&lt;="&amp;INDEX(Weeks!$D:$D,MATCH($C597,Weeks!$A:$A,0)))/COUNTIFS(Tasks!$A:$A,$A597,Tasks!$B:$B,$B597)*100,0),"")</f>
        <v/>
      </c>
      <c r="H597" t="s">
        <v>101</v>
      </c>
      <c r="I597">
        <f>COUNTIFS(Tasks!$A:$A,$A597,Tasks!$B:$B,$B597,Tasks!$G:$G,"&lt;="&amp;INDEX(Weeks!$D:$D,MATCH($C597,Weeks!$A:$A,0)))-COUNTIFS(Tasks!$A:$A,$A597,Tasks!$B:$B,$B597,Tasks!$I:$I,"&lt;="&amp;INDEX(Weeks!$D:$D,MATCH($C597,Weeks!$A:$A,0)),Tasks!$I:$I,"&lt;&gt;")</f>
        <v>0</v>
      </c>
      <c r="J597">
        <f>COUNTIFS(Tasks!$A:$A,$A597,Tasks!$B:$B,$B597,
Tasks!$I:$I,"&gt;"&amp;IFERROR(INDEX(Weeks!$D:$D,MATCH($C597-1,Weeks!$A:$A,0)),DATE(2000,1,1)),
Tasks!$I:$I,"&lt;="&amp;INDEX(Weeks!$D:$D,MATCH($C597,Weeks!$A:$A,0)),
Tasks!$I:$I,"&lt;&gt;")</f>
        <v>0</v>
      </c>
    </row>
    <row r="598" spans="1:10" ht="15" customHeight="1">
      <c r="A598" t="s">
        <v>97</v>
      </c>
      <c r="B598" t="s">
        <v>100</v>
      </c>
      <c r="C598">
        <v>25</v>
      </c>
      <c r="D598">
        <v>6</v>
      </c>
      <c r="E598">
        <v>3</v>
      </c>
      <c r="F598" s="5" t="str">
        <f>IFERROR(ROUND(COUNTIFS(Tasks!$A:$A,$A598,Tasks!$B:$B,$B598,Tasks!$I:$I,"&lt;="&amp;INDEX(Weeks!$D:$D,MATCH($C598,Weeks!$A:$A,0)),Tasks!$I:$I,"&lt;&gt;")/COUNTIFS(Tasks!$A:$A,$A598,Tasks!$B:$B,$B598)*100,0),"")</f>
        <v/>
      </c>
      <c r="G598" s="5" t="str">
        <f>IFERROR(ROUND(COUNTIFS(Tasks!$A:$A,$A598,Tasks!$B:$B,$B598,Tasks!$H:$H,"&lt;="&amp;INDEX(Weeks!$D:$D,MATCH($C598,Weeks!$A:$A,0)))/COUNTIFS(Tasks!$A:$A,$A598,Tasks!$B:$B,$B598)*100,0),"")</f>
        <v/>
      </c>
      <c r="I598">
        <f>COUNTIFS(Tasks!$A:$A,$A598,Tasks!$B:$B,$B598,Tasks!$G:$G,"&lt;="&amp;INDEX(Weeks!$D:$D,MATCH($C598,Weeks!$A:$A,0)))-COUNTIFS(Tasks!$A:$A,$A598,Tasks!$B:$B,$B598,Tasks!$I:$I,"&lt;="&amp;INDEX(Weeks!$D:$D,MATCH($C598,Weeks!$A:$A,0)),Tasks!$I:$I,"&lt;&gt;")</f>
        <v>0</v>
      </c>
      <c r="J598">
        <f>COUNTIFS(Tasks!$A:$A,$A598,Tasks!$B:$B,$B598,
Tasks!$I:$I,"&gt;"&amp;IFERROR(INDEX(Weeks!$D:$D,MATCH($C598-1,Weeks!$A:$A,0)),DATE(2000,1,1)),
Tasks!$I:$I,"&lt;="&amp;INDEX(Weeks!$D:$D,MATCH($C598,Weeks!$A:$A,0)),
Tasks!$I:$I,"&lt;&gt;")</f>
        <v>0</v>
      </c>
    </row>
    <row r="599" spans="1:10" ht="15" customHeight="1">
      <c r="A599" t="s">
        <v>97</v>
      </c>
      <c r="B599" t="s">
        <v>100</v>
      </c>
      <c r="C599">
        <v>26</v>
      </c>
      <c r="D599">
        <v>6</v>
      </c>
      <c r="E599">
        <v>4</v>
      </c>
      <c r="F599" s="5" t="str">
        <f>IFERROR(ROUND(COUNTIFS(Tasks!$A:$A,$A599,Tasks!$B:$B,$B599,Tasks!$I:$I,"&lt;="&amp;INDEX(Weeks!$D:$D,MATCH($C599,Weeks!$A:$A,0)),Tasks!$I:$I,"&lt;&gt;")/COUNTIFS(Tasks!$A:$A,$A599,Tasks!$B:$B,$B599)*100,0),"")</f>
        <v/>
      </c>
      <c r="G599" s="5" t="str">
        <f>IFERROR(ROUND(COUNTIFS(Tasks!$A:$A,$A599,Tasks!$B:$B,$B599,Tasks!$H:$H,"&lt;="&amp;INDEX(Weeks!$D:$D,MATCH($C599,Weeks!$A:$A,0)))/COUNTIFS(Tasks!$A:$A,$A599,Tasks!$B:$B,$B599)*100,0),"")</f>
        <v/>
      </c>
      <c r="I599">
        <f>COUNTIFS(Tasks!$A:$A,$A599,Tasks!$B:$B,$B599,Tasks!$G:$G,"&lt;="&amp;INDEX(Weeks!$D:$D,MATCH($C599,Weeks!$A:$A,0)))-COUNTIFS(Tasks!$A:$A,$A599,Tasks!$B:$B,$B599,Tasks!$I:$I,"&lt;="&amp;INDEX(Weeks!$D:$D,MATCH($C599,Weeks!$A:$A,0)),Tasks!$I:$I,"&lt;&gt;")</f>
        <v>0</v>
      </c>
      <c r="J599">
        <f>COUNTIFS(Tasks!$A:$A,$A599,Tasks!$B:$B,$B599,
Tasks!$I:$I,"&gt;"&amp;IFERROR(INDEX(Weeks!$D:$D,MATCH($C599-1,Weeks!$A:$A,0)),DATE(2000,1,1)),
Tasks!$I:$I,"&lt;="&amp;INDEX(Weeks!$D:$D,MATCH($C599,Weeks!$A:$A,0)),
Tasks!$I:$I,"&lt;&gt;")</f>
        <v>0</v>
      </c>
    </row>
    <row r="600" spans="1:10" ht="15" customHeight="1">
      <c r="A600" t="s">
        <v>97</v>
      </c>
      <c r="B600" t="s">
        <v>100</v>
      </c>
      <c r="C600">
        <v>27</v>
      </c>
      <c r="D600">
        <v>7</v>
      </c>
      <c r="E600">
        <v>1</v>
      </c>
      <c r="F600" s="5" t="str">
        <f>IFERROR(ROUND(COUNTIFS(Tasks!$A:$A,$A600,Tasks!$B:$B,$B600,Tasks!$I:$I,"&lt;="&amp;INDEX(Weeks!$D:$D,MATCH($C600,Weeks!$A:$A,0)),Tasks!$I:$I,"&lt;&gt;")/COUNTIFS(Tasks!$A:$A,$A600,Tasks!$B:$B,$B600)*100,0),"")</f>
        <v/>
      </c>
      <c r="G600" s="5" t="str">
        <f>IFERROR(ROUND(COUNTIFS(Tasks!$A:$A,$A600,Tasks!$B:$B,$B600,Tasks!$H:$H,"&lt;="&amp;INDEX(Weeks!$D:$D,MATCH($C600,Weeks!$A:$A,0)))/COUNTIFS(Tasks!$A:$A,$A600,Tasks!$B:$B,$B600)*100,0),"")</f>
        <v/>
      </c>
      <c r="I600">
        <f>COUNTIFS(Tasks!$A:$A,$A600,Tasks!$B:$B,$B600,Tasks!$G:$G,"&lt;="&amp;INDEX(Weeks!$D:$D,MATCH($C600,Weeks!$A:$A,0)))-COUNTIFS(Tasks!$A:$A,$A600,Tasks!$B:$B,$B600,Tasks!$I:$I,"&lt;="&amp;INDEX(Weeks!$D:$D,MATCH($C600,Weeks!$A:$A,0)),Tasks!$I:$I,"&lt;&gt;")</f>
        <v>0</v>
      </c>
      <c r="J600">
        <f>COUNTIFS(Tasks!$A:$A,$A600,Tasks!$B:$B,$B600,
Tasks!$I:$I,"&gt;"&amp;IFERROR(INDEX(Weeks!$D:$D,MATCH($C600-1,Weeks!$A:$A,0)),DATE(2000,1,1)),
Tasks!$I:$I,"&lt;="&amp;INDEX(Weeks!$D:$D,MATCH($C600,Weeks!$A:$A,0)),
Tasks!$I:$I,"&lt;&gt;")</f>
        <v>0</v>
      </c>
    </row>
    <row r="601" spans="1:10" ht="15" customHeight="1">
      <c r="A601" t="s">
        <v>97</v>
      </c>
      <c r="B601" t="s">
        <v>100</v>
      </c>
      <c r="C601">
        <v>28</v>
      </c>
      <c r="D601">
        <v>7</v>
      </c>
      <c r="E601">
        <v>2</v>
      </c>
      <c r="F601" s="5" t="str">
        <f>IFERROR(ROUND(COUNTIFS(Tasks!$A:$A,$A601,Tasks!$B:$B,$B601,Tasks!$I:$I,"&lt;="&amp;INDEX(Weeks!$D:$D,MATCH($C601,Weeks!$A:$A,0)),Tasks!$I:$I,"&lt;&gt;")/COUNTIFS(Tasks!$A:$A,$A601,Tasks!$B:$B,$B601)*100,0),"")</f>
        <v/>
      </c>
      <c r="G601" s="5" t="str">
        <f>IFERROR(ROUND(COUNTIFS(Tasks!$A:$A,$A601,Tasks!$B:$B,$B601,Tasks!$H:$H,"&lt;="&amp;INDEX(Weeks!$D:$D,MATCH($C601,Weeks!$A:$A,0)))/COUNTIFS(Tasks!$A:$A,$A601,Tasks!$B:$B,$B601)*100,0),"")</f>
        <v/>
      </c>
      <c r="I601">
        <f>COUNTIFS(Tasks!$A:$A,$A601,Tasks!$B:$B,$B601,Tasks!$G:$G,"&lt;="&amp;INDEX(Weeks!$D:$D,MATCH($C601,Weeks!$A:$A,0)))-COUNTIFS(Tasks!$A:$A,$A601,Tasks!$B:$B,$B601,Tasks!$I:$I,"&lt;="&amp;INDEX(Weeks!$D:$D,MATCH($C601,Weeks!$A:$A,0)),Tasks!$I:$I,"&lt;&gt;")</f>
        <v>0</v>
      </c>
      <c r="J601">
        <f>COUNTIFS(Tasks!$A:$A,$A601,Tasks!$B:$B,$B601,
Tasks!$I:$I,"&gt;"&amp;IFERROR(INDEX(Weeks!$D:$D,MATCH($C601-1,Weeks!$A:$A,0)),DATE(2000,1,1)),
Tasks!$I:$I,"&lt;="&amp;INDEX(Weeks!$D:$D,MATCH($C601,Weeks!$A:$A,0)),
Tasks!$I:$I,"&lt;&gt;")</f>
        <v>0</v>
      </c>
    </row>
    <row r="602" spans="1:10" ht="15" customHeight="1">
      <c r="A602" t="s">
        <v>97</v>
      </c>
      <c r="B602" t="s">
        <v>100</v>
      </c>
      <c r="C602">
        <v>29</v>
      </c>
      <c r="D602">
        <v>7</v>
      </c>
      <c r="E602">
        <v>3</v>
      </c>
      <c r="F602" s="5" t="str">
        <f>IFERROR(ROUND(COUNTIFS(Tasks!$A:$A,$A602,Tasks!$B:$B,$B602,Tasks!$I:$I,"&lt;="&amp;INDEX(Weeks!$D:$D,MATCH($C602,Weeks!$A:$A,0)),Tasks!$I:$I,"&lt;&gt;")/COUNTIFS(Tasks!$A:$A,$A602,Tasks!$B:$B,$B602)*100,0),"")</f>
        <v/>
      </c>
      <c r="G602" s="5" t="str">
        <f>IFERROR(ROUND(COUNTIFS(Tasks!$A:$A,$A602,Tasks!$B:$B,$B602,Tasks!$H:$H,"&lt;="&amp;INDEX(Weeks!$D:$D,MATCH($C602,Weeks!$A:$A,0)))/COUNTIFS(Tasks!$A:$A,$A602,Tasks!$B:$B,$B602)*100,0),"")</f>
        <v/>
      </c>
      <c r="I602">
        <f>COUNTIFS(Tasks!$A:$A,$A602,Tasks!$B:$B,$B602,Tasks!$G:$G,"&lt;="&amp;INDEX(Weeks!$D:$D,MATCH($C602,Weeks!$A:$A,0)))-COUNTIFS(Tasks!$A:$A,$A602,Tasks!$B:$B,$B602,Tasks!$I:$I,"&lt;="&amp;INDEX(Weeks!$D:$D,MATCH($C602,Weeks!$A:$A,0)),Tasks!$I:$I,"&lt;&gt;")</f>
        <v>0</v>
      </c>
      <c r="J602">
        <f>COUNTIFS(Tasks!$A:$A,$A602,Tasks!$B:$B,$B602,
Tasks!$I:$I,"&gt;"&amp;IFERROR(INDEX(Weeks!$D:$D,MATCH($C602-1,Weeks!$A:$A,0)),DATE(2000,1,1)),
Tasks!$I:$I,"&lt;="&amp;INDEX(Weeks!$D:$D,MATCH($C602,Weeks!$A:$A,0)),
Tasks!$I:$I,"&lt;&gt;")</f>
        <v>0</v>
      </c>
    </row>
    <row r="603" spans="1:10" ht="15" customHeight="1">
      <c r="A603" t="s">
        <v>97</v>
      </c>
      <c r="B603" t="s">
        <v>100</v>
      </c>
      <c r="C603">
        <v>30</v>
      </c>
      <c r="D603">
        <v>7</v>
      </c>
      <c r="E603">
        <v>4</v>
      </c>
      <c r="F603" s="5" t="str">
        <f>IFERROR(ROUND(COUNTIFS(Tasks!$A:$A,$A603,Tasks!$B:$B,$B603,Tasks!$I:$I,"&lt;="&amp;INDEX(Weeks!$D:$D,MATCH($C603,Weeks!$A:$A,0)),Tasks!$I:$I,"&lt;&gt;")/COUNTIFS(Tasks!$A:$A,$A603,Tasks!$B:$B,$B603)*100,0),"")</f>
        <v/>
      </c>
      <c r="G603" s="5" t="str">
        <f>IFERROR(ROUND(COUNTIFS(Tasks!$A:$A,$A603,Tasks!$B:$B,$B603,Tasks!$H:$H,"&lt;="&amp;INDEX(Weeks!$D:$D,MATCH($C603,Weeks!$A:$A,0)))/COUNTIFS(Tasks!$A:$A,$A603,Tasks!$B:$B,$B603)*100,0),"")</f>
        <v/>
      </c>
      <c r="I603">
        <f>COUNTIFS(Tasks!$A:$A,$A603,Tasks!$B:$B,$B603,Tasks!$G:$G,"&lt;="&amp;INDEX(Weeks!$D:$D,MATCH($C603,Weeks!$A:$A,0)))-COUNTIFS(Tasks!$A:$A,$A603,Tasks!$B:$B,$B603,Tasks!$I:$I,"&lt;="&amp;INDEX(Weeks!$D:$D,MATCH($C603,Weeks!$A:$A,0)),Tasks!$I:$I,"&lt;&gt;")</f>
        <v>0</v>
      </c>
      <c r="J603">
        <f>COUNTIFS(Tasks!$A:$A,$A603,Tasks!$B:$B,$B603,
Tasks!$I:$I,"&gt;"&amp;IFERROR(INDEX(Weeks!$D:$D,MATCH($C603-1,Weeks!$A:$A,0)),DATE(2000,1,1)),
Tasks!$I:$I,"&lt;="&amp;INDEX(Weeks!$D:$D,MATCH($C603,Weeks!$A:$A,0)),
Tasks!$I:$I,"&lt;&gt;")</f>
        <v>0</v>
      </c>
    </row>
    <row r="604" spans="1:10" ht="15" customHeight="1">
      <c r="A604" t="s">
        <v>97</v>
      </c>
      <c r="B604" t="s">
        <v>100</v>
      </c>
      <c r="C604">
        <v>31</v>
      </c>
      <c r="D604">
        <v>8</v>
      </c>
      <c r="E604">
        <v>1</v>
      </c>
      <c r="F604" s="5" t="str">
        <f>IFERROR(ROUND(COUNTIFS(Tasks!$A:$A,$A604,Tasks!$B:$B,$B604,Tasks!$I:$I,"&lt;="&amp;INDEX(Weeks!$D:$D,MATCH($C604,Weeks!$A:$A,0)),Tasks!$I:$I,"&lt;&gt;")/COUNTIFS(Tasks!$A:$A,$A604,Tasks!$B:$B,$B604)*100,0),"")</f>
        <v/>
      </c>
      <c r="G604" s="5" t="str">
        <f>IFERROR(ROUND(COUNTIFS(Tasks!$A:$A,$A604,Tasks!$B:$B,$B604,Tasks!$H:$H,"&lt;="&amp;INDEX(Weeks!$D:$D,MATCH($C604,Weeks!$A:$A,0)))/COUNTIFS(Tasks!$A:$A,$A604,Tasks!$B:$B,$B604)*100,0),"")</f>
        <v/>
      </c>
      <c r="I604">
        <f>COUNTIFS(Tasks!$A:$A,$A604,Tasks!$B:$B,$B604,Tasks!$G:$G,"&lt;="&amp;INDEX(Weeks!$D:$D,MATCH($C604,Weeks!$A:$A,0)))-COUNTIFS(Tasks!$A:$A,$A604,Tasks!$B:$B,$B604,Tasks!$I:$I,"&lt;="&amp;INDEX(Weeks!$D:$D,MATCH($C604,Weeks!$A:$A,0)),Tasks!$I:$I,"&lt;&gt;")</f>
        <v>0</v>
      </c>
      <c r="J604">
        <f>COUNTIFS(Tasks!$A:$A,$A604,Tasks!$B:$B,$B604,
Tasks!$I:$I,"&gt;"&amp;IFERROR(INDEX(Weeks!$D:$D,MATCH($C604-1,Weeks!$A:$A,0)),DATE(2000,1,1)),
Tasks!$I:$I,"&lt;="&amp;INDEX(Weeks!$D:$D,MATCH($C604,Weeks!$A:$A,0)),
Tasks!$I:$I,"&lt;&gt;")</f>
        <v>0</v>
      </c>
    </row>
    <row r="605" spans="1:10" ht="15" customHeight="1">
      <c r="A605" t="s">
        <v>97</v>
      </c>
      <c r="B605" t="s">
        <v>100</v>
      </c>
      <c r="C605">
        <v>32</v>
      </c>
      <c r="D605">
        <v>8</v>
      </c>
      <c r="E605">
        <v>2</v>
      </c>
      <c r="F605" s="5" t="str">
        <f>IFERROR(ROUND(COUNTIFS(Tasks!$A:$A,$A605,Tasks!$B:$B,$B605,Tasks!$I:$I,"&lt;="&amp;INDEX(Weeks!$D:$D,MATCH($C605,Weeks!$A:$A,0)),Tasks!$I:$I,"&lt;&gt;")/COUNTIFS(Tasks!$A:$A,$A605,Tasks!$B:$B,$B605)*100,0),"")</f>
        <v/>
      </c>
      <c r="G605" s="5" t="str">
        <f>IFERROR(ROUND(COUNTIFS(Tasks!$A:$A,$A605,Tasks!$B:$B,$B605,Tasks!$H:$H,"&lt;="&amp;INDEX(Weeks!$D:$D,MATCH($C605,Weeks!$A:$A,0)))/COUNTIFS(Tasks!$A:$A,$A605,Tasks!$B:$B,$B605)*100,0),"")</f>
        <v/>
      </c>
      <c r="I605">
        <f>COUNTIFS(Tasks!$A:$A,$A605,Tasks!$B:$B,$B605,Tasks!$G:$G,"&lt;="&amp;INDEX(Weeks!$D:$D,MATCH($C605,Weeks!$A:$A,0)))-COUNTIFS(Tasks!$A:$A,$A605,Tasks!$B:$B,$B605,Tasks!$I:$I,"&lt;="&amp;INDEX(Weeks!$D:$D,MATCH($C605,Weeks!$A:$A,0)),Tasks!$I:$I,"&lt;&gt;")</f>
        <v>0</v>
      </c>
      <c r="J605">
        <f>COUNTIFS(Tasks!$A:$A,$A605,Tasks!$B:$B,$B605,
Tasks!$I:$I,"&gt;"&amp;IFERROR(INDEX(Weeks!$D:$D,MATCH($C605-1,Weeks!$A:$A,0)),DATE(2000,1,1)),
Tasks!$I:$I,"&lt;="&amp;INDEX(Weeks!$D:$D,MATCH($C605,Weeks!$A:$A,0)),
Tasks!$I:$I,"&lt;&gt;")</f>
        <v>0</v>
      </c>
    </row>
    <row r="606" spans="1:10" ht="15" customHeight="1">
      <c r="A606" t="s">
        <v>97</v>
      </c>
      <c r="B606" t="s">
        <v>100</v>
      </c>
      <c r="C606">
        <v>33</v>
      </c>
      <c r="D606">
        <v>8</v>
      </c>
      <c r="E606">
        <v>3</v>
      </c>
      <c r="F606" s="5" t="str">
        <f>IFERROR(ROUND(COUNTIFS(Tasks!$A:$A,$A606,Tasks!$B:$B,$B606,Tasks!$I:$I,"&lt;="&amp;INDEX(Weeks!$D:$D,MATCH($C606,Weeks!$A:$A,0)),Tasks!$I:$I,"&lt;&gt;")/COUNTIFS(Tasks!$A:$A,$A606,Tasks!$B:$B,$B606)*100,0),"")</f>
        <v/>
      </c>
      <c r="G606" s="5" t="str">
        <f>IFERROR(ROUND(COUNTIFS(Tasks!$A:$A,$A606,Tasks!$B:$B,$B606,Tasks!$H:$H,"&lt;="&amp;INDEX(Weeks!$D:$D,MATCH($C606,Weeks!$A:$A,0)))/COUNTIFS(Tasks!$A:$A,$A606,Tasks!$B:$B,$B606)*100,0),"")</f>
        <v/>
      </c>
      <c r="I606">
        <f>COUNTIFS(Tasks!$A:$A,$A606,Tasks!$B:$B,$B606,Tasks!$G:$G,"&lt;="&amp;INDEX(Weeks!$D:$D,MATCH($C606,Weeks!$A:$A,0)))-COUNTIFS(Tasks!$A:$A,$A606,Tasks!$B:$B,$B606,Tasks!$I:$I,"&lt;="&amp;INDEX(Weeks!$D:$D,MATCH($C606,Weeks!$A:$A,0)),Tasks!$I:$I,"&lt;&gt;")</f>
        <v>0</v>
      </c>
      <c r="J606">
        <f>COUNTIFS(Tasks!$A:$A,$A606,Tasks!$B:$B,$B606,
Tasks!$I:$I,"&gt;"&amp;IFERROR(INDEX(Weeks!$D:$D,MATCH($C606-1,Weeks!$A:$A,0)),DATE(2000,1,1)),
Tasks!$I:$I,"&lt;="&amp;INDEX(Weeks!$D:$D,MATCH($C606,Weeks!$A:$A,0)),
Tasks!$I:$I,"&lt;&gt;")</f>
        <v>0</v>
      </c>
    </row>
    <row r="607" spans="1:10" ht="15" customHeight="1">
      <c r="A607" t="s">
        <v>97</v>
      </c>
      <c r="B607" t="s">
        <v>100</v>
      </c>
      <c r="C607">
        <v>34</v>
      </c>
      <c r="D607">
        <v>8</v>
      </c>
      <c r="E607">
        <v>4</v>
      </c>
      <c r="F607" s="5" t="str">
        <f>IFERROR(ROUND(COUNTIFS(Tasks!$A:$A,$A607,Tasks!$B:$B,$B607,Tasks!$I:$I,"&lt;="&amp;INDEX(Weeks!$D:$D,MATCH($C607,Weeks!$A:$A,0)),Tasks!$I:$I,"&lt;&gt;")/COUNTIFS(Tasks!$A:$A,$A607,Tasks!$B:$B,$B607)*100,0),"")</f>
        <v/>
      </c>
      <c r="G607" s="5" t="str">
        <f>IFERROR(ROUND(COUNTIFS(Tasks!$A:$A,$A607,Tasks!$B:$B,$B607,Tasks!$H:$H,"&lt;="&amp;INDEX(Weeks!$D:$D,MATCH($C607,Weeks!$A:$A,0)))/COUNTIFS(Tasks!$A:$A,$A607,Tasks!$B:$B,$B607)*100,0),"")</f>
        <v/>
      </c>
      <c r="I607">
        <f>COUNTIFS(Tasks!$A:$A,$A607,Tasks!$B:$B,$B607,Tasks!$G:$G,"&lt;="&amp;INDEX(Weeks!$D:$D,MATCH($C607,Weeks!$A:$A,0)))-COUNTIFS(Tasks!$A:$A,$A607,Tasks!$B:$B,$B607,Tasks!$I:$I,"&lt;="&amp;INDEX(Weeks!$D:$D,MATCH($C607,Weeks!$A:$A,0)),Tasks!$I:$I,"&lt;&gt;")</f>
        <v>0</v>
      </c>
      <c r="J607">
        <f>COUNTIFS(Tasks!$A:$A,$A607,Tasks!$B:$B,$B607,
Tasks!$I:$I,"&gt;"&amp;IFERROR(INDEX(Weeks!$D:$D,MATCH($C607-1,Weeks!$A:$A,0)),DATE(2000,1,1)),
Tasks!$I:$I,"&lt;="&amp;INDEX(Weeks!$D:$D,MATCH($C607,Weeks!$A:$A,0)),
Tasks!$I:$I,"&lt;&gt;")</f>
        <v>0</v>
      </c>
    </row>
    <row r="608" spans="1:10" ht="15" customHeight="1">
      <c r="A608" t="s">
        <v>97</v>
      </c>
      <c r="B608" t="s">
        <v>100</v>
      </c>
      <c r="C608">
        <v>35</v>
      </c>
      <c r="D608">
        <v>8</v>
      </c>
      <c r="E608">
        <v>5</v>
      </c>
      <c r="F608" s="5" t="str">
        <f>IFERROR(ROUND(COUNTIFS(Tasks!$A:$A,$A608,Tasks!$B:$B,$B608,Tasks!$I:$I,"&lt;="&amp;INDEX(Weeks!$D:$D,MATCH($C608,Weeks!$A:$A,0)),Tasks!$I:$I,"&lt;&gt;")/COUNTIFS(Tasks!$A:$A,$A608,Tasks!$B:$B,$B608)*100,0),"")</f>
        <v/>
      </c>
      <c r="G608" s="5" t="str">
        <f>IFERROR(ROUND(COUNTIFS(Tasks!$A:$A,$A608,Tasks!$B:$B,$B608,Tasks!$H:$H,"&lt;="&amp;INDEX(Weeks!$D:$D,MATCH($C608,Weeks!$A:$A,0)))/COUNTIFS(Tasks!$A:$A,$A608,Tasks!$B:$B,$B608)*100,0),"")</f>
        <v/>
      </c>
      <c r="I608">
        <f>COUNTIFS(Tasks!$A:$A,$A608,Tasks!$B:$B,$B608,Tasks!$G:$G,"&lt;="&amp;INDEX(Weeks!$D:$D,MATCH($C608,Weeks!$A:$A,0)))-COUNTIFS(Tasks!$A:$A,$A608,Tasks!$B:$B,$B608,Tasks!$I:$I,"&lt;="&amp;INDEX(Weeks!$D:$D,MATCH($C608,Weeks!$A:$A,0)),Tasks!$I:$I,"&lt;&gt;")</f>
        <v>0</v>
      </c>
      <c r="J608">
        <f>COUNTIFS(Tasks!$A:$A,$A608,Tasks!$B:$B,$B608,
Tasks!$I:$I,"&gt;"&amp;IFERROR(INDEX(Weeks!$D:$D,MATCH($C608-1,Weeks!$A:$A,0)),DATE(2000,1,1)),
Tasks!$I:$I,"&lt;="&amp;INDEX(Weeks!$D:$D,MATCH($C608,Weeks!$A:$A,0)),
Tasks!$I:$I,"&lt;&gt;")</f>
        <v>0</v>
      </c>
    </row>
    <row r="609" spans="1:10" ht="15" customHeight="1">
      <c r="A609" t="s">
        <v>97</v>
      </c>
      <c r="B609" t="s">
        <v>100</v>
      </c>
      <c r="C609">
        <v>36</v>
      </c>
      <c r="D609">
        <v>9</v>
      </c>
      <c r="E609">
        <v>1</v>
      </c>
      <c r="F609" s="5" t="str">
        <f>IFERROR(ROUND(COUNTIFS(Tasks!$A:$A,$A609,Tasks!$B:$B,$B609,Tasks!$I:$I,"&lt;="&amp;INDEX(Weeks!$D:$D,MATCH($C609,Weeks!$A:$A,0)),Tasks!$I:$I,"&lt;&gt;")/COUNTIFS(Tasks!$A:$A,$A609,Tasks!$B:$B,$B609)*100,0),"")</f>
        <v/>
      </c>
      <c r="G609" s="5" t="str">
        <f>IFERROR(ROUND(COUNTIFS(Tasks!$A:$A,$A609,Tasks!$B:$B,$B609,Tasks!$H:$H,"&lt;="&amp;INDEX(Weeks!$D:$D,MATCH($C609,Weeks!$A:$A,0)))/COUNTIFS(Tasks!$A:$A,$A609,Tasks!$B:$B,$B609)*100,0),"")</f>
        <v/>
      </c>
      <c r="I609">
        <f>COUNTIFS(Tasks!$A:$A,$A609,Tasks!$B:$B,$B609,Tasks!$G:$G,"&lt;="&amp;INDEX(Weeks!$D:$D,MATCH($C609,Weeks!$A:$A,0)))-COUNTIFS(Tasks!$A:$A,$A609,Tasks!$B:$B,$B609,Tasks!$I:$I,"&lt;="&amp;INDEX(Weeks!$D:$D,MATCH($C609,Weeks!$A:$A,0)),Tasks!$I:$I,"&lt;&gt;")</f>
        <v>0</v>
      </c>
      <c r="J609">
        <f>COUNTIFS(Tasks!$A:$A,$A609,Tasks!$B:$B,$B609,
Tasks!$I:$I,"&gt;"&amp;IFERROR(INDEX(Weeks!$D:$D,MATCH($C609-1,Weeks!$A:$A,0)),DATE(2000,1,1)),
Tasks!$I:$I,"&lt;="&amp;INDEX(Weeks!$D:$D,MATCH($C609,Weeks!$A:$A,0)),
Tasks!$I:$I,"&lt;&gt;")</f>
        <v>0</v>
      </c>
    </row>
    <row r="610" spans="1:10" ht="15" customHeight="1">
      <c r="A610" t="s">
        <v>97</v>
      </c>
      <c r="B610" t="s">
        <v>100</v>
      </c>
      <c r="C610">
        <v>37</v>
      </c>
      <c r="D610">
        <v>9</v>
      </c>
      <c r="E610">
        <v>2</v>
      </c>
      <c r="F610" s="5" t="str">
        <f>IFERROR(ROUND(COUNTIFS(Tasks!$A:$A,$A610,Tasks!$B:$B,$B610,Tasks!$I:$I,"&lt;="&amp;INDEX(Weeks!$D:$D,MATCH($C610,Weeks!$A:$A,0)),Tasks!$I:$I,"&lt;&gt;")/COUNTIFS(Tasks!$A:$A,$A610,Tasks!$B:$B,$B610)*100,0),"")</f>
        <v/>
      </c>
      <c r="G610" s="5" t="str">
        <f>IFERROR(ROUND(COUNTIFS(Tasks!$A:$A,$A610,Tasks!$B:$B,$B610,Tasks!$H:$H,"&lt;="&amp;INDEX(Weeks!$D:$D,MATCH($C610,Weeks!$A:$A,0)))/COUNTIFS(Tasks!$A:$A,$A610,Tasks!$B:$B,$B610)*100,0),"")</f>
        <v/>
      </c>
      <c r="I610">
        <f>COUNTIFS(Tasks!$A:$A,$A610,Tasks!$B:$B,$B610,Tasks!$G:$G,"&lt;="&amp;INDEX(Weeks!$D:$D,MATCH($C610,Weeks!$A:$A,0)))-COUNTIFS(Tasks!$A:$A,$A610,Tasks!$B:$B,$B610,Tasks!$I:$I,"&lt;="&amp;INDEX(Weeks!$D:$D,MATCH($C610,Weeks!$A:$A,0)),Tasks!$I:$I,"&lt;&gt;")</f>
        <v>0</v>
      </c>
      <c r="J610">
        <f>COUNTIFS(Tasks!$A:$A,$A610,Tasks!$B:$B,$B610,
Tasks!$I:$I,"&gt;"&amp;IFERROR(INDEX(Weeks!$D:$D,MATCH($C610-1,Weeks!$A:$A,0)),DATE(2000,1,1)),
Tasks!$I:$I,"&lt;="&amp;INDEX(Weeks!$D:$D,MATCH($C610,Weeks!$A:$A,0)),
Tasks!$I:$I,"&lt;&gt;")</f>
        <v>0</v>
      </c>
    </row>
    <row r="611" spans="1:10" ht="15" customHeight="1">
      <c r="A611" t="s">
        <v>97</v>
      </c>
      <c r="B611" t="s">
        <v>100</v>
      </c>
      <c r="C611">
        <v>38</v>
      </c>
      <c r="D611">
        <v>9</v>
      </c>
      <c r="E611">
        <v>3</v>
      </c>
      <c r="F611" s="5" t="str">
        <f>IFERROR(ROUND(COUNTIFS(Tasks!$A:$A,$A611,Tasks!$B:$B,$B611,Tasks!$I:$I,"&lt;="&amp;INDEX(Weeks!$D:$D,MATCH($C611,Weeks!$A:$A,0)),Tasks!$I:$I,"&lt;&gt;")/COUNTIFS(Tasks!$A:$A,$A611,Tasks!$B:$B,$B611)*100,0),"")</f>
        <v/>
      </c>
      <c r="G611" s="5" t="str">
        <f>IFERROR(ROUND(COUNTIFS(Tasks!$A:$A,$A611,Tasks!$B:$B,$B611,Tasks!$H:$H,"&lt;="&amp;INDEX(Weeks!$D:$D,MATCH($C611,Weeks!$A:$A,0)))/COUNTIFS(Tasks!$A:$A,$A611,Tasks!$B:$B,$B611)*100,0),"")</f>
        <v/>
      </c>
      <c r="I611">
        <f>COUNTIFS(Tasks!$A:$A,$A611,Tasks!$B:$B,$B611,Tasks!$G:$G,"&lt;="&amp;INDEX(Weeks!$D:$D,MATCH($C611,Weeks!$A:$A,0)))-COUNTIFS(Tasks!$A:$A,$A611,Tasks!$B:$B,$B611,Tasks!$I:$I,"&lt;="&amp;INDEX(Weeks!$D:$D,MATCH($C611,Weeks!$A:$A,0)),Tasks!$I:$I,"&lt;&gt;")</f>
        <v>0</v>
      </c>
      <c r="J611">
        <f>COUNTIFS(Tasks!$A:$A,$A611,Tasks!$B:$B,$B611,
Tasks!$I:$I,"&gt;"&amp;IFERROR(INDEX(Weeks!$D:$D,MATCH($C611-1,Weeks!$A:$A,0)),DATE(2000,1,1)),
Tasks!$I:$I,"&lt;="&amp;INDEX(Weeks!$D:$D,MATCH($C611,Weeks!$A:$A,0)),
Tasks!$I:$I,"&lt;&gt;")</f>
        <v>0</v>
      </c>
    </row>
    <row r="612" spans="1:10" ht="15" customHeight="1">
      <c r="A612" t="s">
        <v>97</v>
      </c>
      <c r="B612" t="s">
        <v>100</v>
      </c>
      <c r="C612">
        <v>39</v>
      </c>
      <c r="D612">
        <v>9</v>
      </c>
      <c r="E612">
        <v>4</v>
      </c>
      <c r="F612" s="5" t="str">
        <f>IFERROR(ROUND(COUNTIFS(Tasks!$A:$A,$A612,Tasks!$B:$B,$B612,Tasks!$I:$I,"&lt;="&amp;INDEX(Weeks!$D:$D,MATCH($C612,Weeks!$A:$A,0)),Tasks!$I:$I,"&lt;&gt;")/COUNTIFS(Tasks!$A:$A,$A612,Tasks!$B:$B,$B612)*100,0),"")</f>
        <v/>
      </c>
      <c r="G612" s="5" t="str">
        <f>IFERROR(ROUND(COUNTIFS(Tasks!$A:$A,$A612,Tasks!$B:$B,$B612,Tasks!$H:$H,"&lt;="&amp;INDEX(Weeks!$D:$D,MATCH($C612,Weeks!$A:$A,0)))/COUNTIFS(Tasks!$A:$A,$A612,Tasks!$B:$B,$B612)*100,0),"")</f>
        <v/>
      </c>
      <c r="I612">
        <f>COUNTIFS(Tasks!$A:$A,$A612,Tasks!$B:$B,$B612,Tasks!$G:$G,"&lt;="&amp;INDEX(Weeks!$D:$D,MATCH($C612,Weeks!$A:$A,0)))-COUNTIFS(Tasks!$A:$A,$A612,Tasks!$B:$B,$B612,Tasks!$I:$I,"&lt;="&amp;INDEX(Weeks!$D:$D,MATCH($C612,Weeks!$A:$A,0)),Tasks!$I:$I,"&lt;&gt;")</f>
        <v>0</v>
      </c>
      <c r="J612">
        <f>COUNTIFS(Tasks!$A:$A,$A612,Tasks!$B:$B,$B612,
Tasks!$I:$I,"&gt;"&amp;IFERROR(INDEX(Weeks!$D:$D,MATCH($C612-1,Weeks!$A:$A,0)),DATE(2000,1,1)),
Tasks!$I:$I,"&lt;="&amp;INDEX(Weeks!$D:$D,MATCH($C612,Weeks!$A:$A,0)),
Tasks!$I:$I,"&lt;&gt;")</f>
        <v>0</v>
      </c>
    </row>
    <row r="613" spans="1:10" ht="15" customHeight="1">
      <c r="A613" t="s">
        <v>97</v>
      </c>
      <c r="B613" t="s">
        <v>100</v>
      </c>
      <c r="C613">
        <v>40</v>
      </c>
      <c r="D613">
        <v>10</v>
      </c>
      <c r="E613">
        <v>1</v>
      </c>
      <c r="F613" s="5" t="str">
        <f>IFERROR(ROUND(COUNTIFS(Tasks!$A:$A,$A613,Tasks!$B:$B,$B613,Tasks!$I:$I,"&lt;="&amp;INDEX(Weeks!$D:$D,MATCH($C613,Weeks!$A:$A,0)),Tasks!$I:$I,"&lt;&gt;")/COUNTIFS(Tasks!$A:$A,$A613,Tasks!$B:$B,$B613)*100,0),"")</f>
        <v/>
      </c>
      <c r="G613" s="5" t="str">
        <f>IFERROR(ROUND(COUNTIFS(Tasks!$A:$A,$A613,Tasks!$B:$B,$B613,Tasks!$H:$H,"&lt;="&amp;INDEX(Weeks!$D:$D,MATCH($C613,Weeks!$A:$A,0)))/COUNTIFS(Tasks!$A:$A,$A613,Tasks!$B:$B,$B613)*100,0),"")</f>
        <v/>
      </c>
      <c r="I613">
        <f>COUNTIFS(Tasks!$A:$A,$A613,Tasks!$B:$B,$B613,Tasks!$G:$G,"&lt;="&amp;INDEX(Weeks!$D:$D,MATCH($C613,Weeks!$A:$A,0)))-COUNTIFS(Tasks!$A:$A,$A613,Tasks!$B:$B,$B613,Tasks!$I:$I,"&lt;="&amp;INDEX(Weeks!$D:$D,MATCH($C613,Weeks!$A:$A,0)),Tasks!$I:$I,"&lt;&gt;")</f>
        <v>0</v>
      </c>
      <c r="J613">
        <f>COUNTIFS(Tasks!$A:$A,$A613,Tasks!$B:$B,$B613,
Tasks!$I:$I,"&gt;"&amp;IFERROR(INDEX(Weeks!$D:$D,MATCH($C613-1,Weeks!$A:$A,0)),DATE(2000,1,1)),
Tasks!$I:$I,"&lt;="&amp;INDEX(Weeks!$D:$D,MATCH($C613,Weeks!$A:$A,0)),
Tasks!$I:$I,"&lt;&gt;")</f>
        <v>0</v>
      </c>
    </row>
    <row r="614" spans="1:10" ht="15" customHeight="1">
      <c r="A614" t="s">
        <v>97</v>
      </c>
      <c r="B614" t="s">
        <v>100</v>
      </c>
      <c r="C614">
        <v>41</v>
      </c>
      <c r="D614">
        <v>10</v>
      </c>
      <c r="E614">
        <v>2</v>
      </c>
      <c r="F614" s="5" t="str">
        <f>IFERROR(ROUND(COUNTIFS(Tasks!$A:$A,$A614,Tasks!$B:$B,$B614,Tasks!$I:$I,"&lt;="&amp;INDEX(Weeks!$D:$D,MATCH($C614,Weeks!$A:$A,0)),Tasks!$I:$I,"&lt;&gt;")/COUNTIFS(Tasks!$A:$A,$A614,Tasks!$B:$B,$B614)*100,0),"")</f>
        <v/>
      </c>
      <c r="G614" s="5" t="str">
        <f>IFERROR(ROUND(COUNTIFS(Tasks!$A:$A,$A614,Tasks!$B:$B,$B614,Tasks!$H:$H,"&lt;="&amp;INDEX(Weeks!$D:$D,MATCH($C614,Weeks!$A:$A,0)))/COUNTIFS(Tasks!$A:$A,$A614,Tasks!$B:$B,$B614)*100,0),"")</f>
        <v/>
      </c>
      <c r="I614">
        <f>COUNTIFS(Tasks!$A:$A,$A614,Tasks!$B:$B,$B614,Tasks!$G:$G,"&lt;="&amp;INDEX(Weeks!$D:$D,MATCH($C614,Weeks!$A:$A,0)))-COUNTIFS(Tasks!$A:$A,$A614,Tasks!$B:$B,$B614,Tasks!$I:$I,"&lt;="&amp;INDEX(Weeks!$D:$D,MATCH($C614,Weeks!$A:$A,0)),Tasks!$I:$I,"&lt;&gt;")</f>
        <v>0</v>
      </c>
      <c r="J614">
        <f>COUNTIFS(Tasks!$A:$A,$A614,Tasks!$B:$B,$B614,
Tasks!$I:$I,"&gt;"&amp;IFERROR(INDEX(Weeks!$D:$D,MATCH($C614-1,Weeks!$A:$A,0)),DATE(2000,1,1)),
Tasks!$I:$I,"&lt;="&amp;INDEX(Weeks!$D:$D,MATCH($C614,Weeks!$A:$A,0)),
Tasks!$I:$I,"&lt;&gt;")</f>
        <v>0</v>
      </c>
    </row>
    <row r="615" spans="1:10" ht="15" customHeight="1">
      <c r="A615" t="s">
        <v>97</v>
      </c>
      <c r="B615" t="s">
        <v>100</v>
      </c>
      <c r="C615">
        <v>42</v>
      </c>
      <c r="D615">
        <v>10</v>
      </c>
      <c r="E615">
        <v>3</v>
      </c>
      <c r="F615" s="5" t="str">
        <f>IFERROR(ROUND(COUNTIFS(Tasks!$A:$A,$A615,Tasks!$B:$B,$B615,Tasks!$I:$I,"&lt;="&amp;INDEX(Weeks!$D:$D,MATCH($C615,Weeks!$A:$A,0)),Tasks!$I:$I,"&lt;&gt;")/COUNTIFS(Tasks!$A:$A,$A615,Tasks!$B:$B,$B615)*100,0),"")</f>
        <v/>
      </c>
      <c r="G615" s="5" t="str">
        <f>IFERROR(ROUND(COUNTIFS(Tasks!$A:$A,$A615,Tasks!$B:$B,$B615,Tasks!$H:$H,"&lt;="&amp;INDEX(Weeks!$D:$D,MATCH($C615,Weeks!$A:$A,0)))/COUNTIFS(Tasks!$A:$A,$A615,Tasks!$B:$B,$B615)*100,0),"")</f>
        <v/>
      </c>
      <c r="I615">
        <f>COUNTIFS(Tasks!$A:$A,$A615,Tasks!$B:$B,$B615,Tasks!$G:$G,"&lt;="&amp;INDEX(Weeks!$D:$D,MATCH($C615,Weeks!$A:$A,0)))-COUNTIFS(Tasks!$A:$A,$A615,Tasks!$B:$B,$B615,Tasks!$I:$I,"&lt;="&amp;INDEX(Weeks!$D:$D,MATCH($C615,Weeks!$A:$A,0)),Tasks!$I:$I,"&lt;&gt;")</f>
        <v>0</v>
      </c>
      <c r="J615">
        <f>COUNTIFS(Tasks!$A:$A,$A615,Tasks!$B:$B,$B615,
Tasks!$I:$I,"&gt;"&amp;IFERROR(INDEX(Weeks!$D:$D,MATCH($C615-1,Weeks!$A:$A,0)),DATE(2000,1,1)),
Tasks!$I:$I,"&lt;="&amp;INDEX(Weeks!$D:$D,MATCH($C615,Weeks!$A:$A,0)),
Tasks!$I:$I,"&lt;&gt;")</f>
        <v>0</v>
      </c>
    </row>
    <row r="616" spans="1:10" ht="15" customHeight="1">
      <c r="A616" t="s">
        <v>97</v>
      </c>
      <c r="B616" t="s">
        <v>100</v>
      </c>
      <c r="C616">
        <v>43</v>
      </c>
      <c r="D616">
        <v>10</v>
      </c>
      <c r="E616">
        <v>4</v>
      </c>
      <c r="F616" s="5" t="str">
        <f>IFERROR(ROUND(COUNTIFS(Tasks!$A:$A,$A616,Tasks!$B:$B,$B616,Tasks!$I:$I,"&lt;="&amp;INDEX(Weeks!$D:$D,MATCH($C616,Weeks!$A:$A,0)),Tasks!$I:$I,"&lt;&gt;")/COUNTIFS(Tasks!$A:$A,$A616,Tasks!$B:$B,$B616)*100,0),"")</f>
        <v/>
      </c>
      <c r="G616" s="5" t="str">
        <f>IFERROR(ROUND(COUNTIFS(Tasks!$A:$A,$A616,Tasks!$B:$B,$B616,Tasks!$H:$H,"&lt;="&amp;INDEX(Weeks!$D:$D,MATCH($C616,Weeks!$A:$A,0)))/COUNTIFS(Tasks!$A:$A,$A616,Tasks!$B:$B,$B616)*100,0),"")</f>
        <v/>
      </c>
      <c r="I616">
        <f>COUNTIFS(Tasks!$A:$A,$A616,Tasks!$B:$B,$B616,Tasks!$G:$G,"&lt;="&amp;INDEX(Weeks!$D:$D,MATCH($C616,Weeks!$A:$A,0)))-COUNTIFS(Tasks!$A:$A,$A616,Tasks!$B:$B,$B616,Tasks!$I:$I,"&lt;="&amp;INDEX(Weeks!$D:$D,MATCH($C616,Weeks!$A:$A,0)),Tasks!$I:$I,"&lt;&gt;")</f>
        <v>0</v>
      </c>
      <c r="J616">
        <f>COUNTIFS(Tasks!$A:$A,$A616,Tasks!$B:$B,$B616,
Tasks!$I:$I,"&gt;"&amp;IFERROR(INDEX(Weeks!$D:$D,MATCH($C616-1,Weeks!$A:$A,0)),DATE(2000,1,1)),
Tasks!$I:$I,"&lt;="&amp;INDEX(Weeks!$D:$D,MATCH($C616,Weeks!$A:$A,0)),
Tasks!$I:$I,"&lt;&gt;")</f>
        <v>0</v>
      </c>
    </row>
    <row r="617" spans="1:10" ht="15" customHeight="1">
      <c r="A617" t="s">
        <v>97</v>
      </c>
      <c r="B617" t="s">
        <v>100</v>
      </c>
      <c r="C617">
        <v>44</v>
      </c>
      <c r="D617">
        <v>10</v>
      </c>
      <c r="E617">
        <v>5</v>
      </c>
      <c r="F617" s="5" t="str">
        <f>IFERROR(ROUND(COUNTIFS(Tasks!$A:$A,$A617,Tasks!$B:$B,$B617,Tasks!$I:$I,"&lt;="&amp;INDEX(Weeks!$D:$D,MATCH($C617,Weeks!$A:$A,0)),Tasks!$I:$I,"&lt;&gt;")/COUNTIFS(Tasks!$A:$A,$A617,Tasks!$B:$B,$B617)*100,0),"")</f>
        <v/>
      </c>
      <c r="G617" s="5" t="str">
        <f>IFERROR(ROUND(COUNTIFS(Tasks!$A:$A,$A617,Tasks!$B:$B,$B617,Tasks!$H:$H,"&lt;="&amp;INDEX(Weeks!$D:$D,MATCH($C617,Weeks!$A:$A,0)))/COUNTIFS(Tasks!$A:$A,$A617,Tasks!$B:$B,$B617)*100,0),"")</f>
        <v/>
      </c>
      <c r="I617">
        <f>COUNTIFS(Tasks!$A:$A,$A617,Tasks!$B:$B,$B617,Tasks!$G:$G,"&lt;="&amp;INDEX(Weeks!$D:$D,MATCH($C617,Weeks!$A:$A,0)))-COUNTIFS(Tasks!$A:$A,$A617,Tasks!$B:$B,$B617,Tasks!$I:$I,"&lt;="&amp;INDEX(Weeks!$D:$D,MATCH($C617,Weeks!$A:$A,0)),Tasks!$I:$I,"&lt;&gt;")</f>
        <v>0</v>
      </c>
      <c r="J617">
        <f>COUNTIFS(Tasks!$A:$A,$A617,Tasks!$B:$B,$B617,
Tasks!$I:$I,"&gt;"&amp;IFERROR(INDEX(Weeks!$D:$D,MATCH($C617-1,Weeks!$A:$A,0)),DATE(2000,1,1)),
Tasks!$I:$I,"&lt;="&amp;INDEX(Weeks!$D:$D,MATCH($C617,Weeks!$A:$A,0)),
Tasks!$I:$I,"&lt;&gt;")</f>
        <v>0</v>
      </c>
    </row>
    <row r="618" spans="1:10" ht="15" customHeight="1">
      <c r="A618" t="s">
        <v>97</v>
      </c>
      <c r="B618" t="s">
        <v>100</v>
      </c>
      <c r="C618">
        <v>45</v>
      </c>
      <c r="D618">
        <v>11</v>
      </c>
      <c r="E618">
        <v>1</v>
      </c>
      <c r="F618" s="5" t="str">
        <f>IFERROR(ROUND(COUNTIFS(Tasks!$A:$A,$A618,Tasks!$B:$B,$B618,Tasks!$I:$I,"&lt;="&amp;INDEX(Weeks!$D:$D,MATCH($C618,Weeks!$A:$A,0)),Tasks!$I:$I,"&lt;&gt;")/COUNTIFS(Tasks!$A:$A,$A618,Tasks!$B:$B,$B618)*100,0),"")</f>
        <v/>
      </c>
      <c r="G618" s="5" t="str">
        <f>IFERROR(ROUND(COUNTIFS(Tasks!$A:$A,$A618,Tasks!$B:$B,$B618,Tasks!$H:$H,"&lt;="&amp;INDEX(Weeks!$D:$D,MATCH($C618,Weeks!$A:$A,0)))/COUNTIFS(Tasks!$A:$A,$A618,Tasks!$B:$B,$B618)*100,0),"")</f>
        <v/>
      </c>
      <c r="I618">
        <f>COUNTIFS(Tasks!$A:$A,$A618,Tasks!$B:$B,$B618,Tasks!$G:$G,"&lt;="&amp;INDEX(Weeks!$D:$D,MATCH($C618,Weeks!$A:$A,0)))-COUNTIFS(Tasks!$A:$A,$A618,Tasks!$B:$B,$B618,Tasks!$I:$I,"&lt;="&amp;INDEX(Weeks!$D:$D,MATCH($C618,Weeks!$A:$A,0)),Tasks!$I:$I,"&lt;&gt;")</f>
        <v>0</v>
      </c>
      <c r="J618">
        <f>COUNTIFS(Tasks!$A:$A,$A618,Tasks!$B:$B,$B618,
Tasks!$I:$I,"&gt;"&amp;IFERROR(INDEX(Weeks!$D:$D,MATCH($C618-1,Weeks!$A:$A,0)),DATE(2000,1,1)),
Tasks!$I:$I,"&lt;="&amp;INDEX(Weeks!$D:$D,MATCH($C618,Weeks!$A:$A,0)),
Tasks!$I:$I,"&lt;&gt;")</f>
        <v>0</v>
      </c>
    </row>
    <row r="619" spans="1:10" ht="15" customHeight="1">
      <c r="A619" t="s">
        <v>97</v>
      </c>
      <c r="B619" t="s">
        <v>100</v>
      </c>
      <c r="C619">
        <v>46</v>
      </c>
      <c r="D619">
        <v>11</v>
      </c>
      <c r="E619">
        <v>2</v>
      </c>
      <c r="F619" s="5" t="str">
        <f>IFERROR(ROUND(COUNTIFS(Tasks!$A:$A,$A619,Tasks!$B:$B,$B619,Tasks!$I:$I,"&lt;="&amp;INDEX(Weeks!$D:$D,MATCH($C619,Weeks!$A:$A,0)),Tasks!$I:$I,"&lt;&gt;")/COUNTIFS(Tasks!$A:$A,$A619,Tasks!$B:$B,$B619)*100,0),"")</f>
        <v/>
      </c>
      <c r="G619" s="5" t="str">
        <f>IFERROR(ROUND(COUNTIFS(Tasks!$A:$A,$A619,Tasks!$B:$B,$B619,Tasks!$H:$H,"&lt;="&amp;INDEX(Weeks!$D:$D,MATCH($C619,Weeks!$A:$A,0)))/COUNTIFS(Tasks!$A:$A,$A619,Tasks!$B:$B,$B619)*100,0),"")</f>
        <v/>
      </c>
      <c r="I619">
        <f>COUNTIFS(Tasks!$A:$A,$A619,Tasks!$B:$B,$B619,Tasks!$G:$G,"&lt;="&amp;INDEX(Weeks!$D:$D,MATCH($C619,Weeks!$A:$A,0)))-COUNTIFS(Tasks!$A:$A,$A619,Tasks!$B:$B,$B619,Tasks!$I:$I,"&lt;="&amp;INDEX(Weeks!$D:$D,MATCH($C619,Weeks!$A:$A,0)),Tasks!$I:$I,"&lt;&gt;")</f>
        <v>0</v>
      </c>
      <c r="J619">
        <f>COUNTIFS(Tasks!$A:$A,$A619,Tasks!$B:$B,$B619,
Tasks!$I:$I,"&gt;"&amp;IFERROR(INDEX(Weeks!$D:$D,MATCH($C619-1,Weeks!$A:$A,0)),DATE(2000,1,1)),
Tasks!$I:$I,"&lt;="&amp;INDEX(Weeks!$D:$D,MATCH($C619,Weeks!$A:$A,0)),
Tasks!$I:$I,"&lt;&gt;")</f>
        <v>0</v>
      </c>
    </row>
    <row r="620" spans="1:10" ht="15" customHeight="1">
      <c r="A620" t="s">
        <v>97</v>
      </c>
      <c r="B620" t="s">
        <v>100</v>
      </c>
      <c r="C620">
        <v>47</v>
      </c>
      <c r="D620">
        <v>11</v>
      </c>
      <c r="E620">
        <v>3</v>
      </c>
      <c r="F620" s="5" t="str">
        <f>IFERROR(ROUND(COUNTIFS(Tasks!$A:$A,$A620,Tasks!$B:$B,$B620,Tasks!$I:$I,"&lt;="&amp;INDEX(Weeks!$D:$D,MATCH($C620,Weeks!$A:$A,0)),Tasks!$I:$I,"&lt;&gt;")/COUNTIFS(Tasks!$A:$A,$A620,Tasks!$B:$B,$B620)*100,0),"")</f>
        <v/>
      </c>
      <c r="G620" s="5" t="str">
        <f>IFERROR(ROUND(COUNTIFS(Tasks!$A:$A,$A620,Tasks!$B:$B,$B620,Tasks!$H:$H,"&lt;="&amp;INDEX(Weeks!$D:$D,MATCH($C620,Weeks!$A:$A,0)))/COUNTIFS(Tasks!$A:$A,$A620,Tasks!$B:$B,$B620)*100,0),"")</f>
        <v/>
      </c>
      <c r="I620">
        <f>COUNTIFS(Tasks!$A:$A,$A620,Tasks!$B:$B,$B620,Tasks!$G:$G,"&lt;="&amp;INDEX(Weeks!$D:$D,MATCH($C620,Weeks!$A:$A,0)))-COUNTIFS(Tasks!$A:$A,$A620,Tasks!$B:$B,$B620,Tasks!$I:$I,"&lt;="&amp;INDEX(Weeks!$D:$D,MATCH($C620,Weeks!$A:$A,0)),Tasks!$I:$I,"&lt;&gt;")</f>
        <v>0</v>
      </c>
      <c r="J620">
        <f>COUNTIFS(Tasks!$A:$A,$A620,Tasks!$B:$B,$B620,
Tasks!$I:$I,"&gt;"&amp;IFERROR(INDEX(Weeks!$D:$D,MATCH($C620-1,Weeks!$A:$A,0)),DATE(2000,1,1)),
Tasks!$I:$I,"&lt;="&amp;INDEX(Weeks!$D:$D,MATCH($C620,Weeks!$A:$A,0)),
Tasks!$I:$I,"&lt;&gt;")</f>
        <v>0</v>
      </c>
    </row>
    <row r="621" spans="1:10" ht="15" customHeight="1">
      <c r="A621" t="s">
        <v>97</v>
      </c>
      <c r="B621" t="s">
        <v>100</v>
      </c>
      <c r="C621">
        <v>48</v>
      </c>
      <c r="D621">
        <v>11</v>
      </c>
      <c r="E621">
        <v>4</v>
      </c>
      <c r="F621" s="5" t="str">
        <f>IFERROR(ROUND(COUNTIFS(Tasks!$A:$A,$A621,Tasks!$B:$B,$B621,Tasks!$I:$I,"&lt;="&amp;INDEX(Weeks!$D:$D,MATCH($C621,Weeks!$A:$A,0)),Tasks!$I:$I,"&lt;&gt;")/COUNTIFS(Tasks!$A:$A,$A621,Tasks!$B:$B,$B621)*100,0),"")</f>
        <v/>
      </c>
      <c r="G621" s="5" t="str">
        <f>IFERROR(ROUND(COUNTIFS(Tasks!$A:$A,$A621,Tasks!$B:$B,$B621,Tasks!$H:$H,"&lt;="&amp;INDEX(Weeks!$D:$D,MATCH($C621,Weeks!$A:$A,0)))/COUNTIFS(Tasks!$A:$A,$A621,Tasks!$B:$B,$B621)*100,0),"")</f>
        <v/>
      </c>
      <c r="I621">
        <f>COUNTIFS(Tasks!$A:$A,$A621,Tasks!$B:$B,$B621,Tasks!$G:$G,"&lt;="&amp;INDEX(Weeks!$D:$D,MATCH($C621,Weeks!$A:$A,0)))-COUNTIFS(Tasks!$A:$A,$A621,Tasks!$B:$B,$B621,Tasks!$I:$I,"&lt;="&amp;INDEX(Weeks!$D:$D,MATCH($C621,Weeks!$A:$A,0)),Tasks!$I:$I,"&lt;&gt;")</f>
        <v>0</v>
      </c>
      <c r="J621">
        <f>COUNTIFS(Tasks!$A:$A,$A621,Tasks!$B:$B,$B621,
Tasks!$I:$I,"&gt;"&amp;IFERROR(INDEX(Weeks!$D:$D,MATCH($C621-1,Weeks!$A:$A,0)),DATE(2000,1,1)),
Tasks!$I:$I,"&lt;="&amp;INDEX(Weeks!$D:$D,MATCH($C621,Weeks!$A:$A,0)),
Tasks!$I:$I,"&lt;&gt;")</f>
        <v>0</v>
      </c>
    </row>
    <row r="622" spans="1:10" ht="15" customHeight="1">
      <c r="A622" t="s">
        <v>97</v>
      </c>
      <c r="B622" t="s">
        <v>100</v>
      </c>
      <c r="C622">
        <v>49</v>
      </c>
      <c r="D622">
        <v>12</v>
      </c>
      <c r="E622">
        <v>1</v>
      </c>
      <c r="F622" s="5" t="str">
        <f>IFERROR(ROUND(COUNTIFS(Tasks!$A:$A,$A622,Tasks!$B:$B,$B622,Tasks!$I:$I,"&lt;="&amp;INDEX(Weeks!$D:$D,MATCH($C622,Weeks!$A:$A,0)),Tasks!$I:$I,"&lt;&gt;")/COUNTIFS(Tasks!$A:$A,$A622,Tasks!$B:$B,$B622)*100,0),"")</f>
        <v/>
      </c>
      <c r="G622" s="5" t="str">
        <f>IFERROR(ROUND(COUNTIFS(Tasks!$A:$A,$A622,Tasks!$B:$B,$B622,Tasks!$H:$H,"&lt;="&amp;INDEX(Weeks!$D:$D,MATCH($C622,Weeks!$A:$A,0)))/COUNTIFS(Tasks!$A:$A,$A622,Tasks!$B:$B,$B622)*100,0),"")</f>
        <v/>
      </c>
      <c r="I622">
        <f>COUNTIFS(Tasks!$A:$A,$A622,Tasks!$B:$B,$B622,Tasks!$G:$G,"&lt;="&amp;INDEX(Weeks!$D:$D,MATCH($C622,Weeks!$A:$A,0)))-COUNTIFS(Tasks!$A:$A,$A622,Tasks!$B:$B,$B622,Tasks!$I:$I,"&lt;="&amp;INDEX(Weeks!$D:$D,MATCH($C622,Weeks!$A:$A,0)),Tasks!$I:$I,"&lt;&gt;")</f>
        <v>0</v>
      </c>
      <c r="J622">
        <f>COUNTIFS(Tasks!$A:$A,$A622,Tasks!$B:$B,$B622,
Tasks!$I:$I,"&gt;"&amp;IFERROR(INDEX(Weeks!$D:$D,MATCH($C622-1,Weeks!$A:$A,0)),DATE(2000,1,1)),
Tasks!$I:$I,"&lt;="&amp;INDEX(Weeks!$D:$D,MATCH($C622,Weeks!$A:$A,0)),
Tasks!$I:$I,"&lt;&gt;")</f>
        <v>0</v>
      </c>
    </row>
    <row r="623" spans="1:10" ht="15" customHeight="1">
      <c r="A623" t="s">
        <v>97</v>
      </c>
      <c r="B623" t="s">
        <v>100</v>
      </c>
      <c r="C623">
        <v>50</v>
      </c>
      <c r="D623">
        <v>12</v>
      </c>
      <c r="E623">
        <v>2</v>
      </c>
      <c r="F623" s="5" t="str">
        <f>IFERROR(ROUND(COUNTIFS(Tasks!$A:$A,$A623,Tasks!$B:$B,$B623,Tasks!$I:$I,"&lt;="&amp;INDEX(Weeks!$D:$D,MATCH($C623,Weeks!$A:$A,0)),Tasks!$I:$I,"&lt;&gt;")/COUNTIFS(Tasks!$A:$A,$A623,Tasks!$B:$B,$B623)*100,0),"")</f>
        <v/>
      </c>
      <c r="G623" s="5" t="str">
        <f>IFERROR(ROUND(COUNTIFS(Tasks!$A:$A,$A623,Tasks!$B:$B,$B623,Tasks!$H:$H,"&lt;="&amp;INDEX(Weeks!$D:$D,MATCH($C623,Weeks!$A:$A,0)))/COUNTIFS(Tasks!$A:$A,$A623,Tasks!$B:$B,$B623)*100,0),"")</f>
        <v/>
      </c>
      <c r="I623">
        <f>COUNTIFS(Tasks!$A:$A,$A623,Tasks!$B:$B,$B623,Tasks!$G:$G,"&lt;="&amp;INDEX(Weeks!$D:$D,MATCH($C623,Weeks!$A:$A,0)))-COUNTIFS(Tasks!$A:$A,$A623,Tasks!$B:$B,$B623,Tasks!$I:$I,"&lt;="&amp;INDEX(Weeks!$D:$D,MATCH($C623,Weeks!$A:$A,0)),Tasks!$I:$I,"&lt;&gt;")</f>
        <v>0</v>
      </c>
      <c r="J623">
        <f>COUNTIFS(Tasks!$A:$A,$A623,Tasks!$B:$B,$B623,
Tasks!$I:$I,"&gt;"&amp;IFERROR(INDEX(Weeks!$D:$D,MATCH($C623-1,Weeks!$A:$A,0)),DATE(2000,1,1)),
Tasks!$I:$I,"&lt;="&amp;INDEX(Weeks!$D:$D,MATCH($C623,Weeks!$A:$A,0)),
Tasks!$I:$I,"&lt;&gt;")</f>
        <v>0</v>
      </c>
    </row>
    <row r="624" spans="1:10" ht="15" customHeight="1">
      <c r="A624" t="s">
        <v>97</v>
      </c>
      <c r="B624" t="s">
        <v>100</v>
      </c>
      <c r="C624">
        <v>51</v>
      </c>
      <c r="D624">
        <v>12</v>
      </c>
      <c r="E624">
        <v>3</v>
      </c>
      <c r="F624" s="5" t="str">
        <f>IFERROR(ROUND(COUNTIFS(Tasks!$A:$A,$A624,Tasks!$B:$B,$B624,Tasks!$I:$I,"&lt;="&amp;INDEX(Weeks!$D:$D,MATCH($C624,Weeks!$A:$A,0)),Tasks!$I:$I,"&lt;&gt;")/COUNTIFS(Tasks!$A:$A,$A624,Tasks!$B:$B,$B624)*100,0),"")</f>
        <v/>
      </c>
      <c r="G624" s="5" t="str">
        <f>IFERROR(ROUND(COUNTIFS(Tasks!$A:$A,$A624,Tasks!$B:$B,$B624,Tasks!$H:$H,"&lt;="&amp;INDEX(Weeks!$D:$D,MATCH($C624,Weeks!$A:$A,0)))/COUNTIFS(Tasks!$A:$A,$A624,Tasks!$B:$B,$B624)*100,0),"")</f>
        <v/>
      </c>
      <c r="I624">
        <f>COUNTIFS(Tasks!$A:$A,$A624,Tasks!$B:$B,$B624,Tasks!$G:$G,"&lt;="&amp;INDEX(Weeks!$D:$D,MATCH($C624,Weeks!$A:$A,0)))-COUNTIFS(Tasks!$A:$A,$A624,Tasks!$B:$B,$B624,Tasks!$I:$I,"&lt;="&amp;INDEX(Weeks!$D:$D,MATCH($C624,Weeks!$A:$A,0)),Tasks!$I:$I,"&lt;&gt;")</f>
        <v>0</v>
      </c>
      <c r="J624">
        <f>COUNTIFS(Tasks!$A:$A,$A624,Tasks!$B:$B,$B624,
Tasks!$I:$I,"&gt;"&amp;IFERROR(INDEX(Weeks!$D:$D,MATCH($C624-1,Weeks!$A:$A,0)),DATE(2000,1,1)),
Tasks!$I:$I,"&lt;="&amp;INDEX(Weeks!$D:$D,MATCH($C624,Weeks!$A:$A,0)),
Tasks!$I:$I,"&lt;&gt;")</f>
        <v>0</v>
      </c>
    </row>
    <row r="625" spans="1:10" ht="15" customHeight="1">
      <c r="A625" t="s">
        <v>97</v>
      </c>
      <c r="B625" t="s">
        <v>100</v>
      </c>
      <c r="C625">
        <v>52</v>
      </c>
      <c r="D625">
        <v>12</v>
      </c>
      <c r="E625">
        <v>4</v>
      </c>
      <c r="F625" s="5" t="str">
        <f>IFERROR(ROUND(COUNTIFS(Tasks!$A:$A,$A625,Tasks!$B:$B,$B625,Tasks!$I:$I,"&lt;="&amp;INDEX(Weeks!$D:$D,MATCH($C625,Weeks!$A:$A,0)),Tasks!$I:$I,"&lt;&gt;")/COUNTIFS(Tasks!$A:$A,$A625,Tasks!$B:$B,$B625)*100,0),"")</f>
        <v/>
      </c>
      <c r="G625" s="5" t="str">
        <f>IFERROR(ROUND(COUNTIFS(Tasks!$A:$A,$A625,Tasks!$B:$B,$B625,Tasks!$H:$H,"&lt;="&amp;INDEX(Weeks!$D:$D,MATCH($C625,Weeks!$A:$A,0)))/COUNTIFS(Tasks!$A:$A,$A625,Tasks!$B:$B,$B625)*100,0),"")</f>
        <v/>
      </c>
      <c r="I625">
        <f>COUNTIFS(Tasks!$A:$A,$A625,Tasks!$B:$B,$B625,Tasks!$G:$G,"&lt;="&amp;INDEX(Weeks!$D:$D,MATCH($C625,Weeks!$A:$A,0)))-COUNTIFS(Tasks!$A:$A,$A625,Tasks!$B:$B,$B625,Tasks!$I:$I,"&lt;="&amp;INDEX(Weeks!$D:$D,MATCH($C625,Weeks!$A:$A,0)),Tasks!$I:$I,"&lt;&gt;")</f>
        <v>0</v>
      </c>
      <c r="J625">
        <f>COUNTIFS(Tasks!$A:$A,$A625,Tasks!$B:$B,$B625,
Tasks!$I:$I,"&gt;"&amp;IFERROR(INDEX(Weeks!$D:$D,MATCH($C625-1,Weeks!$A:$A,0)),DATE(2000,1,1)),
Tasks!$I:$I,"&lt;="&amp;INDEX(Weeks!$D:$D,MATCH($C625,Weeks!$A:$A,0)),
Tasks!$I:$I,"&lt;&gt;")</f>
        <v>0</v>
      </c>
    </row>
    <row r="626" spans="1:10" ht="15" customHeight="1">
      <c r="A626" t="s">
        <v>102</v>
      </c>
      <c r="B626" t="s">
        <v>103</v>
      </c>
      <c r="C626">
        <v>1</v>
      </c>
      <c r="D626">
        <v>1</v>
      </c>
      <c r="E626">
        <v>1</v>
      </c>
      <c r="F626" s="5" t="str">
        <f>IFERROR(ROUND(COUNTIFS(Tasks!$A:$A,$A626,Tasks!$B:$B,$B626,Tasks!$I:$I,"&lt;="&amp;INDEX(Weeks!$D:$D,MATCH($C626,Weeks!$A:$A,0)),Tasks!$I:$I,"&lt;&gt;")/COUNTIFS(Tasks!$A:$A,$A626,Tasks!$B:$B,$B626)*100,0),"")</f>
        <v/>
      </c>
      <c r="G626" s="5" t="str">
        <f>IFERROR(ROUND(COUNTIFS(Tasks!$A:$A,$A626,Tasks!$B:$B,$B626,Tasks!$H:$H,"&lt;="&amp;INDEX(Weeks!$D:$D,MATCH($C626,Weeks!$A:$A,0)))/COUNTIFS(Tasks!$A:$A,$A626,Tasks!$B:$B,$B626)*100,0),"")</f>
        <v/>
      </c>
      <c r="H626" t="s">
        <v>91</v>
      </c>
      <c r="I626">
        <f>COUNTIFS(Tasks!$A:$A,$A626,Tasks!$B:$B,$B626,Tasks!$G:$G,"&lt;="&amp;INDEX(Weeks!$D:$D,MATCH($C626,Weeks!$A:$A,0)))-COUNTIFS(Tasks!$A:$A,$A626,Tasks!$B:$B,$B626,Tasks!$I:$I,"&lt;="&amp;INDEX(Weeks!$D:$D,MATCH($C626,Weeks!$A:$A,0)),Tasks!$I:$I,"&lt;&gt;")</f>
        <v>0</v>
      </c>
      <c r="J626">
        <f>COUNTIFS(Tasks!$A:$A,$A626,Tasks!$B:$B,$B626,
Tasks!$I:$I,"&gt;"&amp;IFERROR(INDEX(Weeks!$D:$D,MATCH($C626-1,Weeks!$A:$A,0)),DATE(2000,1,1)),
Tasks!$I:$I,"&lt;="&amp;INDEX(Weeks!$D:$D,MATCH($C626,Weeks!$A:$A,0)),
Tasks!$I:$I,"&lt;&gt;")</f>
        <v>0</v>
      </c>
    </row>
    <row r="627" spans="1:10" ht="15" customHeight="1">
      <c r="A627" t="s">
        <v>102</v>
      </c>
      <c r="B627" t="s">
        <v>103</v>
      </c>
      <c r="C627">
        <v>2</v>
      </c>
      <c r="D627">
        <v>1</v>
      </c>
      <c r="E627">
        <v>2</v>
      </c>
      <c r="F627" s="5" t="str">
        <f>IFERROR(ROUND(COUNTIFS(Tasks!$A:$A,$A627,Tasks!$B:$B,$B627,Tasks!$I:$I,"&lt;="&amp;INDEX(Weeks!$D:$D,MATCH($C627,Weeks!$A:$A,0)),Tasks!$I:$I,"&lt;&gt;")/COUNTIFS(Tasks!$A:$A,$A627,Tasks!$B:$B,$B627)*100,0),"")</f>
        <v/>
      </c>
      <c r="G627" s="5" t="str">
        <f>IFERROR(ROUND(COUNTIFS(Tasks!$A:$A,$A627,Tasks!$B:$B,$B627,Tasks!$H:$H,"&lt;="&amp;INDEX(Weeks!$D:$D,MATCH($C627,Weeks!$A:$A,0)))/COUNTIFS(Tasks!$A:$A,$A627,Tasks!$B:$B,$B627)*100,0),"")</f>
        <v/>
      </c>
      <c r="H627" t="s">
        <v>91</v>
      </c>
      <c r="I627">
        <f>COUNTIFS(Tasks!$A:$A,$A627,Tasks!$B:$B,$B627,Tasks!$G:$G,"&lt;="&amp;INDEX(Weeks!$D:$D,MATCH($C627,Weeks!$A:$A,0)))-COUNTIFS(Tasks!$A:$A,$A627,Tasks!$B:$B,$B627,Tasks!$I:$I,"&lt;="&amp;INDEX(Weeks!$D:$D,MATCH($C627,Weeks!$A:$A,0)),Tasks!$I:$I,"&lt;&gt;")</f>
        <v>0</v>
      </c>
      <c r="J627">
        <f>COUNTIFS(Tasks!$A:$A,$A627,Tasks!$B:$B,$B627,
Tasks!$I:$I,"&gt;"&amp;IFERROR(INDEX(Weeks!$D:$D,MATCH($C627-1,Weeks!$A:$A,0)),DATE(2000,1,1)),
Tasks!$I:$I,"&lt;="&amp;INDEX(Weeks!$D:$D,MATCH($C627,Weeks!$A:$A,0)),
Tasks!$I:$I,"&lt;&gt;")</f>
        <v>0</v>
      </c>
    </row>
    <row r="628" spans="1:10" ht="15" customHeight="1">
      <c r="A628" t="s">
        <v>102</v>
      </c>
      <c r="B628" t="s">
        <v>103</v>
      </c>
      <c r="C628">
        <v>3</v>
      </c>
      <c r="D628">
        <v>1</v>
      </c>
      <c r="E628">
        <v>3</v>
      </c>
      <c r="F628" s="5" t="str">
        <f>IFERROR(ROUND(COUNTIFS(Tasks!$A:$A,$A628,Tasks!$B:$B,$B628,Tasks!$I:$I,"&lt;="&amp;INDEX(Weeks!$D:$D,MATCH($C628,Weeks!$A:$A,0)),Tasks!$I:$I,"&lt;&gt;")/COUNTIFS(Tasks!$A:$A,$A628,Tasks!$B:$B,$B628)*100,0),"")</f>
        <v/>
      </c>
      <c r="G628" s="5" t="str">
        <f>IFERROR(ROUND(COUNTIFS(Tasks!$A:$A,$A628,Tasks!$B:$B,$B628,Tasks!$H:$H,"&lt;="&amp;INDEX(Weeks!$D:$D,MATCH($C628,Weeks!$A:$A,0)))/COUNTIFS(Tasks!$A:$A,$A628,Tasks!$B:$B,$B628)*100,0),"")</f>
        <v/>
      </c>
      <c r="H628" t="s">
        <v>91</v>
      </c>
      <c r="I628">
        <f>COUNTIFS(Tasks!$A:$A,$A628,Tasks!$B:$B,$B628,Tasks!$G:$G,"&lt;="&amp;INDEX(Weeks!$D:$D,MATCH($C628,Weeks!$A:$A,0)))-COUNTIFS(Tasks!$A:$A,$A628,Tasks!$B:$B,$B628,Tasks!$I:$I,"&lt;="&amp;INDEX(Weeks!$D:$D,MATCH($C628,Weeks!$A:$A,0)),Tasks!$I:$I,"&lt;&gt;")</f>
        <v>0</v>
      </c>
      <c r="J628">
        <f>COUNTIFS(Tasks!$A:$A,$A628,Tasks!$B:$B,$B628,
Tasks!$I:$I,"&gt;"&amp;IFERROR(INDEX(Weeks!$D:$D,MATCH($C628-1,Weeks!$A:$A,0)),DATE(2000,1,1)),
Tasks!$I:$I,"&lt;="&amp;INDEX(Weeks!$D:$D,MATCH($C628,Weeks!$A:$A,0)),
Tasks!$I:$I,"&lt;&gt;")</f>
        <v>0</v>
      </c>
    </row>
    <row r="629" spans="1:10" ht="15" customHeight="1">
      <c r="A629" t="s">
        <v>102</v>
      </c>
      <c r="B629" t="s">
        <v>103</v>
      </c>
      <c r="C629">
        <v>4</v>
      </c>
      <c r="D629">
        <v>1</v>
      </c>
      <c r="E629">
        <v>4</v>
      </c>
      <c r="F629" s="5" t="str">
        <f>IFERROR(ROUND(COUNTIFS(Tasks!$A:$A,$A629,Tasks!$B:$B,$B629,Tasks!$I:$I,"&lt;="&amp;INDEX(Weeks!$D:$D,MATCH($C629,Weeks!$A:$A,0)),Tasks!$I:$I,"&lt;&gt;")/COUNTIFS(Tasks!$A:$A,$A629,Tasks!$B:$B,$B629)*100,0),"")</f>
        <v/>
      </c>
      <c r="G629" s="5" t="str">
        <f>IFERROR(ROUND(COUNTIFS(Tasks!$A:$A,$A629,Tasks!$B:$B,$B629,Tasks!$H:$H,"&lt;="&amp;INDEX(Weeks!$D:$D,MATCH($C629,Weeks!$A:$A,0)))/COUNTIFS(Tasks!$A:$A,$A629,Tasks!$B:$B,$B629)*100,0),"")</f>
        <v/>
      </c>
      <c r="H629" t="s">
        <v>91</v>
      </c>
      <c r="I629">
        <f>COUNTIFS(Tasks!$A:$A,$A629,Tasks!$B:$B,$B629,Tasks!$G:$G,"&lt;="&amp;INDEX(Weeks!$D:$D,MATCH($C629,Weeks!$A:$A,0)))-COUNTIFS(Tasks!$A:$A,$A629,Tasks!$B:$B,$B629,Tasks!$I:$I,"&lt;="&amp;INDEX(Weeks!$D:$D,MATCH($C629,Weeks!$A:$A,0)),Tasks!$I:$I,"&lt;&gt;")</f>
        <v>0</v>
      </c>
      <c r="J629">
        <f>COUNTIFS(Tasks!$A:$A,$A629,Tasks!$B:$B,$B629,
Tasks!$I:$I,"&gt;"&amp;IFERROR(INDEX(Weeks!$D:$D,MATCH($C629-1,Weeks!$A:$A,0)),DATE(2000,1,1)),
Tasks!$I:$I,"&lt;="&amp;INDEX(Weeks!$D:$D,MATCH($C629,Weeks!$A:$A,0)),
Tasks!$I:$I,"&lt;&gt;")</f>
        <v>0</v>
      </c>
    </row>
    <row r="630" spans="1:10" ht="15" customHeight="1">
      <c r="A630" t="s">
        <v>102</v>
      </c>
      <c r="B630" t="s">
        <v>103</v>
      </c>
      <c r="C630">
        <v>5</v>
      </c>
      <c r="D630">
        <v>1</v>
      </c>
      <c r="E630">
        <v>5</v>
      </c>
      <c r="F630" s="5" t="str">
        <f>IFERROR(ROUND(COUNTIFS(Tasks!$A:$A,$A630,Tasks!$B:$B,$B630,Tasks!$I:$I,"&lt;="&amp;INDEX(Weeks!$D:$D,MATCH($C630,Weeks!$A:$A,0)),Tasks!$I:$I,"&lt;&gt;")/COUNTIFS(Tasks!$A:$A,$A630,Tasks!$B:$B,$B630)*100,0),"")</f>
        <v/>
      </c>
      <c r="G630" s="5" t="str">
        <f>IFERROR(ROUND(COUNTIFS(Tasks!$A:$A,$A630,Tasks!$B:$B,$B630,Tasks!$H:$H,"&lt;="&amp;INDEX(Weeks!$D:$D,MATCH($C630,Weeks!$A:$A,0)))/COUNTIFS(Tasks!$A:$A,$A630,Tasks!$B:$B,$B630)*100,0),"")</f>
        <v/>
      </c>
      <c r="H630" t="s">
        <v>91</v>
      </c>
      <c r="I630">
        <f>COUNTIFS(Tasks!$A:$A,$A630,Tasks!$B:$B,$B630,Tasks!$G:$G,"&lt;="&amp;INDEX(Weeks!$D:$D,MATCH($C630,Weeks!$A:$A,0)))-COUNTIFS(Tasks!$A:$A,$A630,Tasks!$B:$B,$B630,Tasks!$I:$I,"&lt;="&amp;INDEX(Weeks!$D:$D,MATCH($C630,Weeks!$A:$A,0)),Tasks!$I:$I,"&lt;&gt;")</f>
        <v>0</v>
      </c>
      <c r="J630">
        <f>COUNTIFS(Tasks!$A:$A,$A630,Tasks!$B:$B,$B630,
Tasks!$I:$I,"&gt;"&amp;IFERROR(INDEX(Weeks!$D:$D,MATCH($C630-1,Weeks!$A:$A,0)),DATE(2000,1,1)),
Tasks!$I:$I,"&lt;="&amp;INDEX(Weeks!$D:$D,MATCH($C630,Weeks!$A:$A,0)),
Tasks!$I:$I,"&lt;&gt;")</f>
        <v>0</v>
      </c>
    </row>
    <row r="631" spans="1:10" ht="15" customHeight="1">
      <c r="A631" t="s">
        <v>102</v>
      </c>
      <c r="B631" t="s">
        <v>103</v>
      </c>
      <c r="C631">
        <v>6</v>
      </c>
      <c r="D631">
        <v>2</v>
      </c>
      <c r="E631">
        <v>1</v>
      </c>
      <c r="F631" s="5" t="str">
        <f>IFERROR(ROUND(COUNTIFS(Tasks!$A:$A,$A631,Tasks!$B:$B,$B631,Tasks!$I:$I,"&lt;="&amp;INDEX(Weeks!$D:$D,MATCH($C631,Weeks!$A:$A,0)),Tasks!$I:$I,"&lt;&gt;")/COUNTIFS(Tasks!$A:$A,$A631,Tasks!$B:$B,$B631)*100,0),"")</f>
        <v/>
      </c>
      <c r="G631" s="5" t="str">
        <f>IFERROR(ROUND(COUNTIFS(Tasks!$A:$A,$A631,Tasks!$B:$B,$B631,Tasks!$H:$H,"&lt;="&amp;INDEX(Weeks!$D:$D,MATCH($C631,Weeks!$A:$A,0)))/COUNTIFS(Tasks!$A:$A,$A631,Tasks!$B:$B,$B631)*100,0),"")</f>
        <v/>
      </c>
      <c r="H631" t="s">
        <v>91</v>
      </c>
      <c r="I631">
        <f>COUNTIFS(Tasks!$A:$A,$A631,Tasks!$B:$B,$B631,Tasks!$G:$G,"&lt;="&amp;INDEX(Weeks!$D:$D,MATCH($C631,Weeks!$A:$A,0)))-COUNTIFS(Tasks!$A:$A,$A631,Tasks!$B:$B,$B631,Tasks!$I:$I,"&lt;="&amp;INDEX(Weeks!$D:$D,MATCH($C631,Weeks!$A:$A,0)),Tasks!$I:$I,"&lt;&gt;")</f>
        <v>0</v>
      </c>
      <c r="J631">
        <f>COUNTIFS(Tasks!$A:$A,$A631,Tasks!$B:$B,$B631,
Tasks!$I:$I,"&gt;"&amp;IFERROR(INDEX(Weeks!$D:$D,MATCH($C631-1,Weeks!$A:$A,0)),DATE(2000,1,1)),
Tasks!$I:$I,"&lt;="&amp;INDEX(Weeks!$D:$D,MATCH($C631,Weeks!$A:$A,0)),
Tasks!$I:$I,"&lt;&gt;")</f>
        <v>0</v>
      </c>
    </row>
    <row r="632" spans="1:10" ht="15" customHeight="1">
      <c r="A632" t="s">
        <v>102</v>
      </c>
      <c r="B632" t="s">
        <v>103</v>
      </c>
      <c r="C632">
        <v>7</v>
      </c>
      <c r="D632">
        <v>2</v>
      </c>
      <c r="E632">
        <v>2</v>
      </c>
      <c r="F632" s="5" t="str">
        <f>IFERROR(ROUND(COUNTIFS(Tasks!$A:$A,$A632,Tasks!$B:$B,$B632,Tasks!$I:$I,"&lt;="&amp;INDEX(Weeks!$D:$D,MATCH($C632,Weeks!$A:$A,0)),Tasks!$I:$I,"&lt;&gt;")/COUNTIFS(Tasks!$A:$A,$A632,Tasks!$B:$B,$B632)*100,0),"")</f>
        <v/>
      </c>
      <c r="G632" s="5" t="str">
        <f>IFERROR(ROUND(COUNTIFS(Tasks!$A:$A,$A632,Tasks!$B:$B,$B632,Tasks!$H:$H,"&lt;="&amp;INDEX(Weeks!$D:$D,MATCH($C632,Weeks!$A:$A,0)))/COUNTIFS(Tasks!$A:$A,$A632,Tasks!$B:$B,$B632)*100,0),"")</f>
        <v/>
      </c>
      <c r="H632" t="s">
        <v>91</v>
      </c>
      <c r="I632">
        <f>COUNTIFS(Tasks!$A:$A,$A632,Tasks!$B:$B,$B632,Tasks!$G:$G,"&lt;="&amp;INDEX(Weeks!$D:$D,MATCH($C632,Weeks!$A:$A,0)))-COUNTIFS(Tasks!$A:$A,$A632,Tasks!$B:$B,$B632,Tasks!$I:$I,"&lt;="&amp;INDEX(Weeks!$D:$D,MATCH($C632,Weeks!$A:$A,0)),Tasks!$I:$I,"&lt;&gt;")</f>
        <v>0</v>
      </c>
      <c r="J632">
        <f>COUNTIFS(Tasks!$A:$A,$A632,Tasks!$B:$B,$B632,
Tasks!$I:$I,"&gt;"&amp;IFERROR(INDEX(Weeks!$D:$D,MATCH($C632-1,Weeks!$A:$A,0)),DATE(2000,1,1)),
Tasks!$I:$I,"&lt;="&amp;INDEX(Weeks!$D:$D,MATCH($C632,Weeks!$A:$A,0)),
Tasks!$I:$I,"&lt;&gt;")</f>
        <v>0</v>
      </c>
    </row>
    <row r="633" spans="1:10" ht="15" customHeight="1">
      <c r="A633" t="s">
        <v>102</v>
      </c>
      <c r="B633" t="s">
        <v>103</v>
      </c>
      <c r="C633">
        <v>8</v>
      </c>
      <c r="D633">
        <v>2</v>
      </c>
      <c r="E633">
        <v>3</v>
      </c>
      <c r="F633" s="5" t="str">
        <f>IFERROR(ROUND(COUNTIFS(Tasks!$A:$A,$A633,Tasks!$B:$B,$B633,Tasks!$I:$I,"&lt;="&amp;INDEX(Weeks!$D:$D,MATCH($C633,Weeks!$A:$A,0)),Tasks!$I:$I,"&lt;&gt;")/COUNTIFS(Tasks!$A:$A,$A633,Tasks!$B:$B,$B633)*100,0),"")</f>
        <v/>
      </c>
      <c r="G633" s="5" t="str">
        <f>IFERROR(ROUND(COUNTIFS(Tasks!$A:$A,$A633,Tasks!$B:$B,$B633,Tasks!$H:$H,"&lt;="&amp;INDEX(Weeks!$D:$D,MATCH($C633,Weeks!$A:$A,0)))/COUNTIFS(Tasks!$A:$A,$A633,Tasks!$B:$B,$B633)*100,0),"")</f>
        <v/>
      </c>
      <c r="H633" t="s">
        <v>91</v>
      </c>
      <c r="I633">
        <f>COUNTIFS(Tasks!$A:$A,$A633,Tasks!$B:$B,$B633,Tasks!$G:$G,"&lt;="&amp;INDEX(Weeks!$D:$D,MATCH($C633,Weeks!$A:$A,0)))-COUNTIFS(Tasks!$A:$A,$A633,Tasks!$B:$B,$B633,Tasks!$I:$I,"&lt;="&amp;INDEX(Weeks!$D:$D,MATCH($C633,Weeks!$A:$A,0)),Tasks!$I:$I,"&lt;&gt;")</f>
        <v>0</v>
      </c>
      <c r="J633">
        <f>COUNTIFS(Tasks!$A:$A,$A633,Tasks!$B:$B,$B633,
Tasks!$I:$I,"&gt;"&amp;IFERROR(INDEX(Weeks!$D:$D,MATCH($C633-1,Weeks!$A:$A,0)),DATE(2000,1,1)),
Tasks!$I:$I,"&lt;="&amp;INDEX(Weeks!$D:$D,MATCH($C633,Weeks!$A:$A,0)),
Tasks!$I:$I,"&lt;&gt;")</f>
        <v>0</v>
      </c>
    </row>
    <row r="634" spans="1:10" ht="15" customHeight="1">
      <c r="A634" t="s">
        <v>102</v>
      </c>
      <c r="B634" t="s">
        <v>103</v>
      </c>
      <c r="C634">
        <v>9</v>
      </c>
      <c r="D634">
        <v>2</v>
      </c>
      <c r="E634">
        <v>4</v>
      </c>
      <c r="F634" s="5" t="str">
        <f>IFERROR(ROUND(COUNTIFS(Tasks!$A:$A,$A634,Tasks!$B:$B,$B634,Tasks!$I:$I,"&lt;="&amp;INDEX(Weeks!$D:$D,MATCH($C634,Weeks!$A:$A,0)),Tasks!$I:$I,"&lt;&gt;")/COUNTIFS(Tasks!$A:$A,$A634,Tasks!$B:$B,$B634)*100,0),"")</f>
        <v/>
      </c>
      <c r="G634" s="5" t="str">
        <f>IFERROR(ROUND(COUNTIFS(Tasks!$A:$A,$A634,Tasks!$B:$B,$B634,Tasks!$H:$H,"&lt;="&amp;INDEX(Weeks!$D:$D,MATCH($C634,Weeks!$A:$A,0)))/COUNTIFS(Tasks!$A:$A,$A634,Tasks!$B:$B,$B634)*100,0),"")</f>
        <v/>
      </c>
      <c r="H634" t="s">
        <v>91</v>
      </c>
      <c r="I634">
        <f>COUNTIFS(Tasks!$A:$A,$A634,Tasks!$B:$B,$B634,Tasks!$G:$G,"&lt;="&amp;INDEX(Weeks!$D:$D,MATCH($C634,Weeks!$A:$A,0)))-COUNTIFS(Tasks!$A:$A,$A634,Tasks!$B:$B,$B634,Tasks!$I:$I,"&lt;="&amp;INDEX(Weeks!$D:$D,MATCH($C634,Weeks!$A:$A,0)),Tasks!$I:$I,"&lt;&gt;")</f>
        <v>0</v>
      </c>
      <c r="J634">
        <f>COUNTIFS(Tasks!$A:$A,$A634,Tasks!$B:$B,$B634,
Tasks!$I:$I,"&gt;"&amp;IFERROR(INDEX(Weeks!$D:$D,MATCH($C634-1,Weeks!$A:$A,0)),DATE(2000,1,1)),
Tasks!$I:$I,"&lt;="&amp;INDEX(Weeks!$D:$D,MATCH($C634,Weeks!$A:$A,0)),
Tasks!$I:$I,"&lt;&gt;")</f>
        <v>0</v>
      </c>
    </row>
    <row r="635" spans="1:10" ht="15" customHeight="1">
      <c r="A635" t="s">
        <v>102</v>
      </c>
      <c r="B635" t="s">
        <v>103</v>
      </c>
      <c r="C635">
        <v>10</v>
      </c>
      <c r="D635">
        <v>3</v>
      </c>
      <c r="E635">
        <v>1</v>
      </c>
      <c r="F635" s="5" t="str">
        <f>IFERROR(ROUND(COUNTIFS(Tasks!$A:$A,$A635,Tasks!$B:$B,$B635,Tasks!$I:$I,"&lt;="&amp;INDEX(Weeks!$D:$D,MATCH($C635,Weeks!$A:$A,0)),Tasks!$I:$I,"&lt;&gt;")/COUNTIFS(Tasks!$A:$A,$A635,Tasks!$B:$B,$B635)*100,0),"")</f>
        <v/>
      </c>
      <c r="G635" s="5" t="str">
        <f>IFERROR(ROUND(COUNTIFS(Tasks!$A:$A,$A635,Tasks!$B:$B,$B635,Tasks!$H:$H,"&lt;="&amp;INDEX(Weeks!$D:$D,MATCH($C635,Weeks!$A:$A,0)))/COUNTIFS(Tasks!$A:$A,$A635,Tasks!$B:$B,$B635)*100,0),"")</f>
        <v/>
      </c>
      <c r="H635" t="s">
        <v>91</v>
      </c>
      <c r="I635">
        <f>COUNTIFS(Tasks!$A:$A,$A635,Tasks!$B:$B,$B635,Tasks!$G:$G,"&lt;="&amp;INDEX(Weeks!$D:$D,MATCH($C635,Weeks!$A:$A,0)))-COUNTIFS(Tasks!$A:$A,$A635,Tasks!$B:$B,$B635,Tasks!$I:$I,"&lt;="&amp;INDEX(Weeks!$D:$D,MATCH($C635,Weeks!$A:$A,0)),Tasks!$I:$I,"&lt;&gt;")</f>
        <v>0</v>
      </c>
      <c r="J635">
        <f>COUNTIFS(Tasks!$A:$A,$A635,Tasks!$B:$B,$B635,
Tasks!$I:$I,"&gt;"&amp;IFERROR(INDEX(Weeks!$D:$D,MATCH($C635-1,Weeks!$A:$A,0)),DATE(2000,1,1)),
Tasks!$I:$I,"&lt;="&amp;INDEX(Weeks!$D:$D,MATCH($C635,Weeks!$A:$A,0)),
Tasks!$I:$I,"&lt;&gt;")</f>
        <v>0</v>
      </c>
    </row>
    <row r="636" spans="1:10" ht="15" customHeight="1">
      <c r="A636" t="s">
        <v>102</v>
      </c>
      <c r="B636" t="s">
        <v>103</v>
      </c>
      <c r="C636">
        <v>11</v>
      </c>
      <c r="D636">
        <v>3</v>
      </c>
      <c r="E636">
        <v>2</v>
      </c>
      <c r="F636" s="5" t="str">
        <f>IFERROR(ROUND(COUNTIFS(Tasks!$A:$A,$A636,Tasks!$B:$B,$B636,Tasks!$I:$I,"&lt;="&amp;INDEX(Weeks!$D:$D,MATCH($C636,Weeks!$A:$A,0)),Tasks!$I:$I,"&lt;&gt;")/COUNTIFS(Tasks!$A:$A,$A636,Tasks!$B:$B,$B636)*100,0),"")</f>
        <v/>
      </c>
      <c r="G636" s="5" t="str">
        <f>IFERROR(ROUND(COUNTIFS(Tasks!$A:$A,$A636,Tasks!$B:$B,$B636,Tasks!$H:$H,"&lt;="&amp;INDEX(Weeks!$D:$D,MATCH($C636,Weeks!$A:$A,0)))/COUNTIFS(Tasks!$A:$A,$A636,Tasks!$B:$B,$B636)*100,0),"")</f>
        <v/>
      </c>
      <c r="H636" t="s">
        <v>91</v>
      </c>
      <c r="I636">
        <f>COUNTIFS(Tasks!$A:$A,$A636,Tasks!$B:$B,$B636,Tasks!$G:$G,"&lt;="&amp;INDEX(Weeks!$D:$D,MATCH($C636,Weeks!$A:$A,0)))-COUNTIFS(Tasks!$A:$A,$A636,Tasks!$B:$B,$B636,Tasks!$I:$I,"&lt;="&amp;INDEX(Weeks!$D:$D,MATCH($C636,Weeks!$A:$A,0)),Tasks!$I:$I,"&lt;&gt;")</f>
        <v>0</v>
      </c>
      <c r="J636">
        <f>COUNTIFS(Tasks!$A:$A,$A636,Tasks!$B:$B,$B636,
Tasks!$I:$I,"&gt;"&amp;IFERROR(INDEX(Weeks!$D:$D,MATCH($C636-1,Weeks!$A:$A,0)),DATE(2000,1,1)),
Tasks!$I:$I,"&lt;="&amp;INDEX(Weeks!$D:$D,MATCH($C636,Weeks!$A:$A,0)),
Tasks!$I:$I,"&lt;&gt;")</f>
        <v>0</v>
      </c>
    </row>
    <row r="637" spans="1:10" ht="15" customHeight="1">
      <c r="A637" t="s">
        <v>102</v>
      </c>
      <c r="B637" t="s">
        <v>103</v>
      </c>
      <c r="C637">
        <v>12</v>
      </c>
      <c r="D637">
        <v>3</v>
      </c>
      <c r="E637">
        <v>3</v>
      </c>
      <c r="F637" s="5" t="str">
        <f>IFERROR(ROUND(COUNTIFS(Tasks!$A:$A,$A637,Tasks!$B:$B,$B637,Tasks!$I:$I,"&lt;="&amp;INDEX(Weeks!$D:$D,MATCH($C637,Weeks!$A:$A,0)),Tasks!$I:$I,"&lt;&gt;")/COUNTIFS(Tasks!$A:$A,$A637,Tasks!$B:$B,$B637)*100,0),"")</f>
        <v/>
      </c>
      <c r="G637" s="5" t="str">
        <f>IFERROR(ROUND(COUNTIFS(Tasks!$A:$A,$A637,Tasks!$B:$B,$B637,Tasks!$H:$H,"&lt;="&amp;INDEX(Weeks!$D:$D,MATCH($C637,Weeks!$A:$A,0)))/COUNTIFS(Tasks!$A:$A,$A637,Tasks!$B:$B,$B637)*100,0),"")</f>
        <v/>
      </c>
      <c r="H637" t="s">
        <v>91</v>
      </c>
      <c r="I637">
        <f>COUNTIFS(Tasks!$A:$A,$A637,Tasks!$B:$B,$B637,Tasks!$G:$G,"&lt;="&amp;INDEX(Weeks!$D:$D,MATCH($C637,Weeks!$A:$A,0)))-COUNTIFS(Tasks!$A:$A,$A637,Tasks!$B:$B,$B637,Tasks!$I:$I,"&lt;="&amp;INDEX(Weeks!$D:$D,MATCH($C637,Weeks!$A:$A,0)),Tasks!$I:$I,"&lt;&gt;")</f>
        <v>0</v>
      </c>
      <c r="J637">
        <f>COUNTIFS(Tasks!$A:$A,$A637,Tasks!$B:$B,$B637,
Tasks!$I:$I,"&gt;"&amp;IFERROR(INDEX(Weeks!$D:$D,MATCH($C637-1,Weeks!$A:$A,0)),DATE(2000,1,1)),
Tasks!$I:$I,"&lt;="&amp;INDEX(Weeks!$D:$D,MATCH($C637,Weeks!$A:$A,0)),
Tasks!$I:$I,"&lt;&gt;")</f>
        <v>0</v>
      </c>
    </row>
    <row r="638" spans="1:10" ht="15" customHeight="1">
      <c r="A638" t="s">
        <v>102</v>
      </c>
      <c r="B638" t="s">
        <v>103</v>
      </c>
      <c r="C638">
        <v>13</v>
      </c>
      <c r="D638">
        <v>3</v>
      </c>
      <c r="E638">
        <v>4</v>
      </c>
      <c r="F638" s="5" t="str">
        <f>IFERROR(ROUND(COUNTIFS(Tasks!$A:$A,$A638,Tasks!$B:$B,$B638,Tasks!$I:$I,"&lt;="&amp;INDEX(Weeks!$D:$D,MATCH($C638,Weeks!$A:$A,0)),Tasks!$I:$I,"&lt;&gt;")/COUNTIFS(Tasks!$A:$A,$A638,Tasks!$B:$B,$B638)*100,0),"")</f>
        <v/>
      </c>
      <c r="G638" s="5" t="str">
        <f>IFERROR(ROUND(COUNTIFS(Tasks!$A:$A,$A638,Tasks!$B:$B,$B638,Tasks!$H:$H,"&lt;="&amp;INDEX(Weeks!$D:$D,MATCH($C638,Weeks!$A:$A,0)))/COUNTIFS(Tasks!$A:$A,$A638,Tasks!$B:$B,$B638)*100,0),"")</f>
        <v/>
      </c>
      <c r="H638" t="s">
        <v>91</v>
      </c>
      <c r="I638">
        <f>COUNTIFS(Tasks!$A:$A,$A638,Tasks!$B:$B,$B638,Tasks!$G:$G,"&lt;="&amp;INDEX(Weeks!$D:$D,MATCH($C638,Weeks!$A:$A,0)))-COUNTIFS(Tasks!$A:$A,$A638,Tasks!$B:$B,$B638,Tasks!$I:$I,"&lt;="&amp;INDEX(Weeks!$D:$D,MATCH($C638,Weeks!$A:$A,0)),Tasks!$I:$I,"&lt;&gt;")</f>
        <v>0</v>
      </c>
      <c r="J638">
        <f>COUNTIFS(Tasks!$A:$A,$A638,Tasks!$B:$B,$B638,
Tasks!$I:$I,"&gt;"&amp;IFERROR(INDEX(Weeks!$D:$D,MATCH($C638-1,Weeks!$A:$A,0)),DATE(2000,1,1)),
Tasks!$I:$I,"&lt;="&amp;INDEX(Weeks!$D:$D,MATCH($C638,Weeks!$A:$A,0)),
Tasks!$I:$I,"&lt;&gt;")</f>
        <v>0</v>
      </c>
    </row>
    <row r="639" spans="1:10" ht="15" customHeight="1">
      <c r="A639" t="s">
        <v>102</v>
      </c>
      <c r="B639" t="s">
        <v>103</v>
      </c>
      <c r="C639">
        <v>14</v>
      </c>
      <c r="D639">
        <v>4</v>
      </c>
      <c r="E639">
        <v>1</v>
      </c>
      <c r="F639" s="5" t="str">
        <f>IFERROR(ROUND(COUNTIFS(Tasks!$A:$A,$A639,Tasks!$B:$B,$B639,Tasks!$I:$I,"&lt;="&amp;INDEX(Weeks!$D:$D,MATCH($C639,Weeks!$A:$A,0)),Tasks!$I:$I,"&lt;&gt;")/COUNTIFS(Tasks!$A:$A,$A639,Tasks!$B:$B,$B639)*100,0),"")</f>
        <v/>
      </c>
      <c r="G639" s="5" t="str">
        <f>IFERROR(ROUND(COUNTIFS(Tasks!$A:$A,$A639,Tasks!$B:$B,$B639,Tasks!$H:$H,"&lt;="&amp;INDEX(Weeks!$D:$D,MATCH($C639,Weeks!$A:$A,0)))/COUNTIFS(Tasks!$A:$A,$A639,Tasks!$B:$B,$B639)*100,0),"")</f>
        <v/>
      </c>
      <c r="H639" t="s">
        <v>91</v>
      </c>
      <c r="I639">
        <f>COUNTIFS(Tasks!$A:$A,$A639,Tasks!$B:$B,$B639,Tasks!$G:$G,"&lt;="&amp;INDEX(Weeks!$D:$D,MATCH($C639,Weeks!$A:$A,0)))-COUNTIFS(Tasks!$A:$A,$A639,Tasks!$B:$B,$B639,Tasks!$I:$I,"&lt;="&amp;INDEX(Weeks!$D:$D,MATCH($C639,Weeks!$A:$A,0)),Tasks!$I:$I,"&lt;&gt;")</f>
        <v>0</v>
      </c>
      <c r="J639">
        <f>COUNTIFS(Tasks!$A:$A,$A639,Tasks!$B:$B,$B639,
Tasks!$I:$I,"&gt;"&amp;IFERROR(INDEX(Weeks!$D:$D,MATCH($C639-1,Weeks!$A:$A,0)),DATE(2000,1,1)),
Tasks!$I:$I,"&lt;="&amp;INDEX(Weeks!$D:$D,MATCH($C639,Weeks!$A:$A,0)),
Tasks!$I:$I,"&lt;&gt;")</f>
        <v>0</v>
      </c>
    </row>
    <row r="640" spans="1:10" ht="15" customHeight="1">
      <c r="A640" t="s">
        <v>102</v>
      </c>
      <c r="B640" t="s">
        <v>103</v>
      </c>
      <c r="C640">
        <v>15</v>
      </c>
      <c r="D640">
        <v>4</v>
      </c>
      <c r="E640">
        <v>2</v>
      </c>
      <c r="F640" s="5" t="str">
        <f>IFERROR(ROUND(COUNTIFS(Tasks!$A:$A,$A640,Tasks!$B:$B,$B640,Tasks!$I:$I,"&lt;="&amp;INDEX(Weeks!$D:$D,MATCH($C640,Weeks!$A:$A,0)),Tasks!$I:$I,"&lt;&gt;")/COUNTIFS(Tasks!$A:$A,$A640,Tasks!$B:$B,$B640)*100,0),"")</f>
        <v/>
      </c>
      <c r="G640" s="5" t="str">
        <f>IFERROR(ROUND(COUNTIFS(Tasks!$A:$A,$A640,Tasks!$B:$B,$B640,Tasks!$H:$H,"&lt;="&amp;INDEX(Weeks!$D:$D,MATCH($C640,Weeks!$A:$A,0)))/COUNTIFS(Tasks!$A:$A,$A640,Tasks!$B:$B,$B640)*100,0),"")</f>
        <v/>
      </c>
      <c r="H640" t="s">
        <v>91</v>
      </c>
      <c r="I640">
        <f>COUNTIFS(Tasks!$A:$A,$A640,Tasks!$B:$B,$B640,Tasks!$G:$G,"&lt;="&amp;INDEX(Weeks!$D:$D,MATCH($C640,Weeks!$A:$A,0)))-COUNTIFS(Tasks!$A:$A,$A640,Tasks!$B:$B,$B640,Tasks!$I:$I,"&lt;="&amp;INDEX(Weeks!$D:$D,MATCH($C640,Weeks!$A:$A,0)),Tasks!$I:$I,"&lt;&gt;")</f>
        <v>0</v>
      </c>
      <c r="J640">
        <f>COUNTIFS(Tasks!$A:$A,$A640,Tasks!$B:$B,$B640,
Tasks!$I:$I,"&gt;"&amp;IFERROR(INDEX(Weeks!$D:$D,MATCH($C640-1,Weeks!$A:$A,0)),DATE(2000,1,1)),
Tasks!$I:$I,"&lt;="&amp;INDEX(Weeks!$D:$D,MATCH($C640,Weeks!$A:$A,0)),
Tasks!$I:$I,"&lt;&gt;")</f>
        <v>0</v>
      </c>
    </row>
    <row r="641" spans="1:10" ht="15" customHeight="1">
      <c r="A641" t="s">
        <v>102</v>
      </c>
      <c r="B641" t="s">
        <v>103</v>
      </c>
      <c r="C641">
        <v>16</v>
      </c>
      <c r="D641">
        <v>4</v>
      </c>
      <c r="E641">
        <v>3</v>
      </c>
      <c r="F641" s="5" t="str">
        <f>IFERROR(ROUND(COUNTIFS(Tasks!$A:$A,$A641,Tasks!$B:$B,$B641,Tasks!$I:$I,"&lt;="&amp;INDEX(Weeks!$D:$D,MATCH($C641,Weeks!$A:$A,0)),Tasks!$I:$I,"&lt;&gt;")/COUNTIFS(Tasks!$A:$A,$A641,Tasks!$B:$B,$B641)*100,0),"")</f>
        <v/>
      </c>
      <c r="G641" s="5" t="str">
        <f>IFERROR(ROUND(COUNTIFS(Tasks!$A:$A,$A641,Tasks!$B:$B,$B641,Tasks!$H:$H,"&lt;="&amp;INDEX(Weeks!$D:$D,MATCH($C641,Weeks!$A:$A,0)))/COUNTIFS(Tasks!$A:$A,$A641,Tasks!$B:$B,$B641)*100,0),"")</f>
        <v/>
      </c>
      <c r="H641" t="s">
        <v>91</v>
      </c>
      <c r="I641">
        <f>COUNTIFS(Tasks!$A:$A,$A641,Tasks!$B:$B,$B641,Tasks!$G:$G,"&lt;="&amp;INDEX(Weeks!$D:$D,MATCH($C641,Weeks!$A:$A,0)))-COUNTIFS(Tasks!$A:$A,$A641,Tasks!$B:$B,$B641,Tasks!$I:$I,"&lt;="&amp;INDEX(Weeks!$D:$D,MATCH($C641,Weeks!$A:$A,0)),Tasks!$I:$I,"&lt;&gt;")</f>
        <v>0</v>
      </c>
      <c r="J641">
        <f>COUNTIFS(Tasks!$A:$A,$A641,Tasks!$B:$B,$B641,
Tasks!$I:$I,"&gt;"&amp;IFERROR(INDEX(Weeks!$D:$D,MATCH($C641-1,Weeks!$A:$A,0)),DATE(2000,1,1)),
Tasks!$I:$I,"&lt;="&amp;INDEX(Weeks!$D:$D,MATCH($C641,Weeks!$A:$A,0)),
Tasks!$I:$I,"&lt;&gt;")</f>
        <v>0</v>
      </c>
    </row>
    <row r="642" spans="1:10" ht="15" customHeight="1">
      <c r="A642" t="s">
        <v>102</v>
      </c>
      <c r="B642" t="s">
        <v>103</v>
      </c>
      <c r="C642">
        <v>17</v>
      </c>
      <c r="D642">
        <v>4</v>
      </c>
      <c r="E642">
        <v>4</v>
      </c>
      <c r="F642" s="5" t="str">
        <f>IFERROR(ROUND(COUNTIFS(Tasks!$A:$A,$A642,Tasks!$B:$B,$B642,Tasks!$I:$I,"&lt;="&amp;INDEX(Weeks!$D:$D,MATCH($C642,Weeks!$A:$A,0)),Tasks!$I:$I,"&lt;&gt;")/COUNTIFS(Tasks!$A:$A,$A642,Tasks!$B:$B,$B642)*100,0),"")</f>
        <v/>
      </c>
      <c r="G642" s="5" t="str">
        <f>IFERROR(ROUND(COUNTIFS(Tasks!$A:$A,$A642,Tasks!$B:$B,$B642,Tasks!$H:$H,"&lt;="&amp;INDEX(Weeks!$D:$D,MATCH($C642,Weeks!$A:$A,0)))/COUNTIFS(Tasks!$A:$A,$A642,Tasks!$B:$B,$B642)*100,0),"")</f>
        <v/>
      </c>
      <c r="H642" t="s">
        <v>91</v>
      </c>
      <c r="I642">
        <f>COUNTIFS(Tasks!$A:$A,$A642,Tasks!$B:$B,$B642,Tasks!$G:$G,"&lt;="&amp;INDEX(Weeks!$D:$D,MATCH($C642,Weeks!$A:$A,0)))-COUNTIFS(Tasks!$A:$A,$A642,Tasks!$B:$B,$B642,Tasks!$I:$I,"&lt;="&amp;INDEX(Weeks!$D:$D,MATCH($C642,Weeks!$A:$A,0)),Tasks!$I:$I,"&lt;&gt;")</f>
        <v>0</v>
      </c>
      <c r="J642">
        <f>COUNTIFS(Tasks!$A:$A,$A642,Tasks!$B:$B,$B642,
Tasks!$I:$I,"&gt;"&amp;IFERROR(INDEX(Weeks!$D:$D,MATCH($C642-1,Weeks!$A:$A,0)),DATE(2000,1,1)),
Tasks!$I:$I,"&lt;="&amp;INDEX(Weeks!$D:$D,MATCH($C642,Weeks!$A:$A,0)),
Tasks!$I:$I,"&lt;&gt;")</f>
        <v>0</v>
      </c>
    </row>
    <row r="643" spans="1:10" ht="15" customHeight="1">
      <c r="A643" t="s">
        <v>102</v>
      </c>
      <c r="B643" t="s">
        <v>103</v>
      </c>
      <c r="C643">
        <v>18</v>
      </c>
      <c r="D643">
        <v>5</v>
      </c>
      <c r="E643">
        <v>1</v>
      </c>
      <c r="F643" s="5" t="str">
        <f>IFERROR(ROUND(COUNTIFS(Tasks!$A:$A,$A643,Tasks!$B:$B,$B643,Tasks!$I:$I,"&lt;="&amp;INDEX(Weeks!$D:$D,MATCH($C643,Weeks!$A:$A,0)),Tasks!$I:$I,"&lt;&gt;")/COUNTIFS(Tasks!$A:$A,$A643,Tasks!$B:$B,$B643)*100,0),"")</f>
        <v/>
      </c>
      <c r="G643" s="5" t="str">
        <f>IFERROR(ROUND(COUNTIFS(Tasks!$A:$A,$A643,Tasks!$B:$B,$B643,Tasks!$H:$H,"&lt;="&amp;INDEX(Weeks!$D:$D,MATCH($C643,Weeks!$A:$A,0)))/COUNTIFS(Tasks!$A:$A,$A643,Tasks!$B:$B,$B643)*100,0),"")</f>
        <v/>
      </c>
      <c r="H643" t="s">
        <v>91</v>
      </c>
      <c r="I643">
        <f>COUNTIFS(Tasks!$A:$A,$A643,Tasks!$B:$B,$B643,Tasks!$G:$G,"&lt;="&amp;INDEX(Weeks!$D:$D,MATCH($C643,Weeks!$A:$A,0)))-COUNTIFS(Tasks!$A:$A,$A643,Tasks!$B:$B,$B643,Tasks!$I:$I,"&lt;="&amp;INDEX(Weeks!$D:$D,MATCH($C643,Weeks!$A:$A,0)),Tasks!$I:$I,"&lt;&gt;")</f>
        <v>0</v>
      </c>
      <c r="J643">
        <f>COUNTIFS(Tasks!$A:$A,$A643,Tasks!$B:$B,$B643,
Tasks!$I:$I,"&gt;"&amp;IFERROR(INDEX(Weeks!$D:$D,MATCH($C643-1,Weeks!$A:$A,0)),DATE(2000,1,1)),
Tasks!$I:$I,"&lt;="&amp;INDEX(Weeks!$D:$D,MATCH($C643,Weeks!$A:$A,0)),
Tasks!$I:$I,"&lt;&gt;")</f>
        <v>0</v>
      </c>
    </row>
    <row r="644" spans="1:10" ht="15" customHeight="1">
      <c r="A644" t="s">
        <v>102</v>
      </c>
      <c r="B644" t="s">
        <v>103</v>
      </c>
      <c r="C644">
        <v>19</v>
      </c>
      <c r="D644">
        <v>5</v>
      </c>
      <c r="E644">
        <v>2</v>
      </c>
      <c r="F644" s="5" t="str">
        <f>IFERROR(ROUND(COUNTIFS(Tasks!$A:$A,$A644,Tasks!$B:$B,$B644,Tasks!$I:$I,"&lt;="&amp;INDEX(Weeks!$D:$D,MATCH($C644,Weeks!$A:$A,0)),Tasks!$I:$I,"&lt;&gt;")/COUNTIFS(Tasks!$A:$A,$A644,Tasks!$B:$B,$B644)*100,0),"")</f>
        <v/>
      </c>
      <c r="G644" s="5" t="str">
        <f>IFERROR(ROUND(COUNTIFS(Tasks!$A:$A,$A644,Tasks!$B:$B,$B644,Tasks!$H:$H,"&lt;="&amp;INDEX(Weeks!$D:$D,MATCH($C644,Weeks!$A:$A,0)))/COUNTIFS(Tasks!$A:$A,$A644,Tasks!$B:$B,$B644)*100,0),"")</f>
        <v/>
      </c>
      <c r="H644" t="s">
        <v>91</v>
      </c>
      <c r="I644">
        <f>COUNTIFS(Tasks!$A:$A,$A644,Tasks!$B:$B,$B644,Tasks!$G:$G,"&lt;="&amp;INDEX(Weeks!$D:$D,MATCH($C644,Weeks!$A:$A,0)))-COUNTIFS(Tasks!$A:$A,$A644,Tasks!$B:$B,$B644,Tasks!$I:$I,"&lt;="&amp;INDEX(Weeks!$D:$D,MATCH($C644,Weeks!$A:$A,0)),Tasks!$I:$I,"&lt;&gt;")</f>
        <v>0</v>
      </c>
      <c r="J644">
        <f>COUNTIFS(Tasks!$A:$A,$A644,Tasks!$B:$B,$B644,
Tasks!$I:$I,"&gt;"&amp;IFERROR(INDEX(Weeks!$D:$D,MATCH($C644-1,Weeks!$A:$A,0)),DATE(2000,1,1)),
Tasks!$I:$I,"&lt;="&amp;INDEX(Weeks!$D:$D,MATCH($C644,Weeks!$A:$A,0)),
Tasks!$I:$I,"&lt;&gt;")</f>
        <v>0</v>
      </c>
    </row>
    <row r="645" spans="1:10" ht="15" customHeight="1">
      <c r="A645" t="s">
        <v>102</v>
      </c>
      <c r="B645" t="s">
        <v>103</v>
      </c>
      <c r="C645">
        <v>20</v>
      </c>
      <c r="D645">
        <v>5</v>
      </c>
      <c r="E645">
        <v>3</v>
      </c>
      <c r="F645" s="5" t="str">
        <f>IFERROR(ROUND(COUNTIFS(Tasks!$A:$A,$A645,Tasks!$B:$B,$B645,Tasks!$I:$I,"&lt;="&amp;INDEX(Weeks!$D:$D,MATCH($C645,Weeks!$A:$A,0)),Tasks!$I:$I,"&lt;&gt;")/COUNTIFS(Tasks!$A:$A,$A645,Tasks!$B:$B,$B645)*100,0),"")</f>
        <v/>
      </c>
      <c r="G645" s="5" t="str">
        <f>IFERROR(ROUND(COUNTIFS(Tasks!$A:$A,$A645,Tasks!$B:$B,$B645,Tasks!$H:$H,"&lt;="&amp;INDEX(Weeks!$D:$D,MATCH($C645,Weeks!$A:$A,0)))/COUNTIFS(Tasks!$A:$A,$A645,Tasks!$B:$B,$B645)*100,0),"")</f>
        <v/>
      </c>
      <c r="H645" t="s">
        <v>91</v>
      </c>
      <c r="I645">
        <f>COUNTIFS(Tasks!$A:$A,$A645,Tasks!$B:$B,$B645,Tasks!$G:$G,"&lt;="&amp;INDEX(Weeks!$D:$D,MATCH($C645,Weeks!$A:$A,0)))-COUNTIFS(Tasks!$A:$A,$A645,Tasks!$B:$B,$B645,Tasks!$I:$I,"&lt;="&amp;INDEX(Weeks!$D:$D,MATCH($C645,Weeks!$A:$A,0)),Tasks!$I:$I,"&lt;&gt;")</f>
        <v>0</v>
      </c>
      <c r="J645">
        <f>COUNTIFS(Tasks!$A:$A,$A645,Tasks!$B:$B,$B645,
Tasks!$I:$I,"&gt;"&amp;IFERROR(INDEX(Weeks!$D:$D,MATCH($C645-1,Weeks!$A:$A,0)),DATE(2000,1,1)),
Tasks!$I:$I,"&lt;="&amp;INDEX(Weeks!$D:$D,MATCH($C645,Weeks!$A:$A,0)),
Tasks!$I:$I,"&lt;&gt;")</f>
        <v>0</v>
      </c>
    </row>
    <row r="646" spans="1:10" ht="15" customHeight="1">
      <c r="A646" t="s">
        <v>102</v>
      </c>
      <c r="B646" t="s">
        <v>103</v>
      </c>
      <c r="C646">
        <v>21</v>
      </c>
      <c r="D646">
        <v>5</v>
      </c>
      <c r="E646">
        <v>4</v>
      </c>
      <c r="F646" s="5" t="str">
        <f>IFERROR(ROUND(COUNTIFS(Tasks!$A:$A,$A646,Tasks!$B:$B,$B646,Tasks!$I:$I,"&lt;="&amp;INDEX(Weeks!$D:$D,MATCH($C646,Weeks!$A:$A,0)),Tasks!$I:$I,"&lt;&gt;")/COUNTIFS(Tasks!$A:$A,$A646,Tasks!$B:$B,$B646)*100,0),"")</f>
        <v/>
      </c>
      <c r="G646" s="5" t="str">
        <f>IFERROR(ROUND(COUNTIFS(Tasks!$A:$A,$A646,Tasks!$B:$B,$B646,Tasks!$H:$H,"&lt;="&amp;INDEX(Weeks!$D:$D,MATCH($C646,Weeks!$A:$A,0)))/COUNTIFS(Tasks!$A:$A,$A646,Tasks!$B:$B,$B646)*100,0),"")</f>
        <v/>
      </c>
      <c r="H646" t="s">
        <v>91</v>
      </c>
      <c r="I646">
        <f>COUNTIFS(Tasks!$A:$A,$A646,Tasks!$B:$B,$B646,Tasks!$G:$G,"&lt;="&amp;INDEX(Weeks!$D:$D,MATCH($C646,Weeks!$A:$A,0)))-COUNTIFS(Tasks!$A:$A,$A646,Tasks!$B:$B,$B646,Tasks!$I:$I,"&lt;="&amp;INDEX(Weeks!$D:$D,MATCH($C646,Weeks!$A:$A,0)),Tasks!$I:$I,"&lt;&gt;")</f>
        <v>0</v>
      </c>
      <c r="J646">
        <f>COUNTIFS(Tasks!$A:$A,$A646,Tasks!$B:$B,$B646,
Tasks!$I:$I,"&gt;"&amp;IFERROR(INDEX(Weeks!$D:$D,MATCH($C646-1,Weeks!$A:$A,0)),DATE(2000,1,1)),
Tasks!$I:$I,"&lt;="&amp;INDEX(Weeks!$D:$D,MATCH($C646,Weeks!$A:$A,0)),
Tasks!$I:$I,"&lt;&gt;")</f>
        <v>0</v>
      </c>
    </row>
    <row r="647" spans="1:10" ht="15" customHeight="1">
      <c r="A647" t="s">
        <v>102</v>
      </c>
      <c r="B647" t="s">
        <v>103</v>
      </c>
      <c r="C647">
        <v>22</v>
      </c>
      <c r="D647">
        <v>5</v>
      </c>
      <c r="E647">
        <v>5</v>
      </c>
      <c r="F647" s="5" t="str">
        <f>IFERROR(ROUND(COUNTIFS(Tasks!$A:$A,$A647,Tasks!$B:$B,$B647,Tasks!$I:$I,"&lt;="&amp;INDEX(Weeks!$D:$D,MATCH($C647,Weeks!$A:$A,0)),Tasks!$I:$I,"&lt;&gt;")/COUNTIFS(Tasks!$A:$A,$A647,Tasks!$B:$B,$B647)*100,0),"")</f>
        <v/>
      </c>
      <c r="G647" s="5" t="str">
        <f>IFERROR(ROUND(COUNTIFS(Tasks!$A:$A,$A647,Tasks!$B:$B,$B647,Tasks!$H:$H,"&lt;="&amp;INDEX(Weeks!$D:$D,MATCH($C647,Weeks!$A:$A,0)))/COUNTIFS(Tasks!$A:$A,$A647,Tasks!$B:$B,$B647)*100,0),"")</f>
        <v/>
      </c>
      <c r="H647" t="s">
        <v>91</v>
      </c>
      <c r="I647">
        <f>COUNTIFS(Tasks!$A:$A,$A647,Tasks!$B:$B,$B647,Tasks!$G:$G,"&lt;="&amp;INDEX(Weeks!$D:$D,MATCH($C647,Weeks!$A:$A,0)))-COUNTIFS(Tasks!$A:$A,$A647,Tasks!$B:$B,$B647,Tasks!$I:$I,"&lt;="&amp;INDEX(Weeks!$D:$D,MATCH($C647,Weeks!$A:$A,0)),Tasks!$I:$I,"&lt;&gt;")</f>
        <v>0</v>
      </c>
      <c r="J647">
        <f>COUNTIFS(Tasks!$A:$A,$A647,Tasks!$B:$B,$B647,
Tasks!$I:$I,"&gt;"&amp;IFERROR(INDEX(Weeks!$D:$D,MATCH($C647-1,Weeks!$A:$A,0)),DATE(2000,1,1)),
Tasks!$I:$I,"&lt;="&amp;INDEX(Weeks!$D:$D,MATCH($C647,Weeks!$A:$A,0)),
Tasks!$I:$I,"&lt;&gt;")</f>
        <v>0</v>
      </c>
    </row>
    <row r="648" spans="1:10" ht="15" customHeight="1">
      <c r="A648" t="s">
        <v>102</v>
      </c>
      <c r="B648" t="s">
        <v>103</v>
      </c>
      <c r="C648">
        <v>23</v>
      </c>
      <c r="D648">
        <v>6</v>
      </c>
      <c r="E648">
        <v>1</v>
      </c>
      <c r="F648" s="5" t="str">
        <f>IFERROR(ROUND(COUNTIFS(Tasks!$A:$A,$A648,Tasks!$B:$B,$B648,Tasks!$I:$I,"&lt;="&amp;INDEX(Weeks!$D:$D,MATCH($C648,Weeks!$A:$A,0)),Tasks!$I:$I,"&lt;&gt;")/COUNTIFS(Tasks!$A:$A,$A648,Tasks!$B:$B,$B648)*100,0),"")</f>
        <v/>
      </c>
      <c r="G648" s="5" t="str">
        <f>IFERROR(ROUND(COUNTIFS(Tasks!$A:$A,$A648,Tasks!$B:$B,$B648,Tasks!$H:$H,"&lt;="&amp;INDEX(Weeks!$D:$D,MATCH($C648,Weeks!$A:$A,0)))/COUNTIFS(Tasks!$A:$A,$A648,Tasks!$B:$B,$B648)*100,0),"")</f>
        <v/>
      </c>
      <c r="H648" t="s">
        <v>91</v>
      </c>
      <c r="I648">
        <f>COUNTIFS(Tasks!$A:$A,$A648,Tasks!$B:$B,$B648,Tasks!$G:$G,"&lt;="&amp;INDEX(Weeks!$D:$D,MATCH($C648,Weeks!$A:$A,0)))-COUNTIFS(Tasks!$A:$A,$A648,Tasks!$B:$B,$B648,Tasks!$I:$I,"&lt;="&amp;INDEX(Weeks!$D:$D,MATCH($C648,Weeks!$A:$A,0)),Tasks!$I:$I,"&lt;&gt;")</f>
        <v>0</v>
      </c>
      <c r="J648">
        <f>COUNTIFS(Tasks!$A:$A,$A648,Tasks!$B:$B,$B648,
Tasks!$I:$I,"&gt;"&amp;IFERROR(INDEX(Weeks!$D:$D,MATCH($C648-1,Weeks!$A:$A,0)),DATE(2000,1,1)),
Tasks!$I:$I,"&lt;="&amp;INDEX(Weeks!$D:$D,MATCH($C648,Weeks!$A:$A,0)),
Tasks!$I:$I,"&lt;&gt;")</f>
        <v>0</v>
      </c>
    </row>
    <row r="649" spans="1:10" ht="15" customHeight="1">
      <c r="A649" t="s">
        <v>102</v>
      </c>
      <c r="B649" t="s">
        <v>103</v>
      </c>
      <c r="C649">
        <v>24</v>
      </c>
      <c r="D649">
        <v>6</v>
      </c>
      <c r="E649">
        <v>2</v>
      </c>
      <c r="F649" s="5" t="str">
        <f>IFERROR(ROUND(COUNTIFS(Tasks!$A:$A,$A649,Tasks!$B:$B,$B649,Tasks!$I:$I,"&lt;="&amp;INDEX(Weeks!$D:$D,MATCH($C649,Weeks!$A:$A,0)),Tasks!$I:$I,"&lt;&gt;")/COUNTIFS(Tasks!$A:$A,$A649,Tasks!$B:$B,$B649)*100,0),"")</f>
        <v/>
      </c>
      <c r="G649" s="5" t="str">
        <f>IFERROR(ROUND(COUNTIFS(Tasks!$A:$A,$A649,Tasks!$B:$B,$B649,Tasks!$H:$H,"&lt;="&amp;INDEX(Weeks!$D:$D,MATCH($C649,Weeks!$A:$A,0)))/COUNTIFS(Tasks!$A:$A,$A649,Tasks!$B:$B,$B649)*100,0),"")</f>
        <v/>
      </c>
      <c r="H649" t="s">
        <v>91</v>
      </c>
      <c r="I649">
        <f>COUNTIFS(Tasks!$A:$A,$A649,Tasks!$B:$B,$B649,Tasks!$G:$G,"&lt;="&amp;INDEX(Weeks!$D:$D,MATCH($C649,Weeks!$A:$A,0)))-COUNTIFS(Tasks!$A:$A,$A649,Tasks!$B:$B,$B649,Tasks!$I:$I,"&lt;="&amp;INDEX(Weeks!$D:$D,MATCH($C649,Weeks!$A:$A,0)),Tasks!$I:$I,"&lt;&gt;")</f>
        <v>0</v>
      </c>
      <c r="J649">
        <f>COUNTIFS(Tasks!$A:$A,$A649,Tasks!$B:$B,$B649,
Tasks!$I:$I,"&gt;"&amp;IFERROR(INDEX(Weeks!$D:$D,MATCH($C649-1,Weeks!$A:$A,0)),DATE(2000,1,1)),
Tasks!$I:$I,"&lt;="&amp;INDEX(Weeks!$D:$D,MATCH($C649,Weeks!$A:$A,0)),
Tasks!$I:$I,"&lt;&gt;")</f>
        <v>0</v>
      </c>
    </row>
    <row r="650" spans="1:10" ht="15" customHeight="1">
      <c r="A650" t="s">
        <v>102</v>
      </c>
      <c r="B650" t="s">
        <v>103</v>
      </c>
      <c r="C650">
        <v>25</v>
      </c>
      <c r="D650">
        <v>6</v>
      </c>
      <c r="E650">
        <v>3</v>
      </c>
      <c r="F650" s="5" t="str">
        <f>IFERROR(ROUND(COUNTIFS(Tasks!$A:$A,$A650,Tasks!$B:$B,$B650,Tasks!$I:$I,"&lt;="&amp;INDEX(Weeks!$D:$D,MATCH($C650,Weeks!$A:$A,0)),Tasks!$I:$I,"&lt;&gt;")/COUNTIFS(Tasks!$A:$A,$A650,Tasks!$B:$B,$B650)*100,0),"")</f>
        <v/>
      </c>
      <c r="G650" s="5" t="str">
        <f>IFERROR(ROUND(COUNTIFS(Tasks!$A:$A,$A650,Tasks!$B:$B,$B650,Tasks!$H:$H,"&lt;="&amp;INDEX(Weeks!$D:$D,MATCH($C650,Weeks!$A:$A,0)))/COUNTIFS(Tasks!$A:$A,$A650,Tasks!$B:$B,$B650)*100,0),"")</f>
        <v/>
      </c>
      <c r="I650">
        <f>COUNTIFS(Tasks!$A:$A,$A650,Tasks!$B:$B,$B650,Tasks!$G:$G,"&lt;="&amp;INDEX(Weeks!$D:$D,MATCH($C650,Weeks!$A:$A,0)))-COUNTIFS(Tasks!$A:$A,$A650,Tasks!$B:$B,$B650,Tasks!$I:$I,"&lt;="&amp;INDEX(Weeks!$D:$D,MATCH($C650,Weeks!$A:$A,0)),Tasks!$I:$I,"&lt;&gt;")</f>
        <v>0</v>
      </c>
      <c r="J650">
        <f>COUNTIFS(Tasks!$A:$A,$A650,Tasks!$B:$B,$B650,
Tasks!$I:$I,"&gt;"&amp;IFERROR(INDEX(Weeks!$D:$D,MATCH($C650-1,Weeks!$A:$A,0)),DATE(2000,1,1)),
Tasks!$I:$I,"&lt;="&amp;INDEX(Weeks!$D:$D,MATCH($C650,Weeks!$A:$A,0)),
Tasks!$I:$I,"&lt;&gt;")</f>
        <v>0</v>
      </c>
    </row>
    <row r="651" spans="1:10" ht="15" customHeight="1">
      <c r="A651" t="s">
        <v>102</v>
      </c>
      <c r="B651" t="s">
        <v>103</v>
      </c>
      <c r="C651">
        <v>26</v>
      </c>
      <c r="D651">
        <v>6</v>
      </c>
      <c r="E651">
        <v>4</v>
      </c>
      <c r="F651" s="5" t="str">
        <f>IFERROR(ROUND(COUNTIFS(Tasks!$A:$A,$A651,Tasks!$B:$B,$B651,Tasks!$I:$I,"&lt;="&amp;INDEX(Weeks!$D:$D,MATCH($C651,Weeks!$A:$A,0)),Tasks!$I:$I,"&lt;&gt;")/COUNTIFS(Tasks!$A:$A,$A651,Tasks!$B:$B,$B651)*100,0),"")</f>
        <v/>
      </c>
      <c r="G651" s="5" t="str">
        <f>IFERROR(ROUND(COUNTIFS(Tasks!$A:$A,$A651,Tasks!$B:$B,$B651,Tasks!$H:$H,"&lt;="&amp;INDEX(Weeks!$D:$D,MATCH($C651,Weeks!$A:$A,0)))/COUNTIFS(Tasks!$A:$A,$A651,Tasks!$B:$B,$B651)*100,0),"")</f>
        <v/>
      </c>
      <c r="I651">
        <f>COUNTIFS(Tasks!$A:$A,$A651,Tasks!$B:$B,$B651,Tasks!$G:$G,"&lt;="&amp;INDEX(Weeks!$D:$D,MATCH($C651,Weeks!$A:$A,0)))-COUNTIFS(Tasks!$A:$A,$A651,Tasks!$B:$B,$B651,Tasks!$I:$I,"&lt;="&amp;INDEX(Weeks!$D:$D,MATCH($C651,Weeks!$A:$A,0)),Tasks!$I:$I,"&lt;&gt;")</f>
        <v>0</v>
      </c>
      <c r="J651">
        <f>COUNTIFS(Tasks!$A:$A,$A651,Tasks!$B:$B,$B651,
Tasks!$I:$I,"&gt;"&amp;IFERROR(INDEX(Weeks!$D:$D,MATCH($C651-1,Weeks!$A:$A,0)),DATE(2000,1,1)),
Tasks!$I:$I,"&lt;="&amp;INDEX(Weeks!$D:$D,MATCH($C651,Weeks!$A:$A,0)),
Tasks!$I:$I,"&lt;&gt;")</f>
        <v>0</v>
      </c>
    </row>
    <row r="652" spans="1:10" ht="15" customHeight="1">
      <c r="A652" t="s">
        <v>102</v>
      </c>
      <c r="B652" t="s">
        <v>103</v>
      </c>
      <c r="C652">
        <v>27</v>
      </c>
      <c r="D652">
        <v>7</v>
      </c>
      <c r="E652">
        <v>1</v>
      </c>
      <c r="F652" s="5" t="str">
        <f>IFERROR(ROUND(COUNTIFS(Tasks!$A:$A,$A652,Tasks!$B:$B,$B652,Tasks!$I:$I,"&lt;="&amp;INDEX(Weeks!$D:$D,MATCH($C652,Weeks!$A:$A,0)),Tasks!$I:$I,"&lt;&gt;")/COUNTIFS(Tasks!$A:$A,$A652,Tasks!$B:$B,$B652)*100,0),"")</f>
        <v/>
      </c>
      <c r="G652" s="5" t="str">
        <f>IFERROR(ROUND(COUNTIFS(Tasks!$A:$A,$A652,Tasks!$B:$B,$B652,Tasks!$H:$H,"&lt;="&amp;INDEX(Weeks!$D:$D,MATCH($C652,Weeks!$A:$A,0)))/COUNTIFS(Tasks!$A:$A,$A652,Tasks!$B:$B,$B652)*100,0),"")</f>
        <v/>
      </c>
      <c r="I652">
        <f>COUNTIFS(Tasks!$A:$A,$A652,Tasks!$B:$B,$B652,Tasks!$G:$G,"&lt;="&amp;INDEX(Weeks!$D:$D,MATCH($C652,Weeks!$A:$A,0)))-COUNTIFS(Tasks!$A:$A,$A652,Tasks!$B:$B,$B652,Tasks!$I:$I,"&lt;="&amp;INDEX(Weeks!$D:$D,MATCH($C652,Weeks!$A:$A,0)),Tasks!$I:$I,"&lt;&gt;")</f>
        <v>0</v>
      </c>
      <c r="J652">
        <f>COUNTIFS(Tasks!$A:$A,$A652,Tasks!$B:$B,$B652,
Tasks!$I:$I,"&gt;"&amp;IFERROR(INDEX(Weeks!$D:$D,MATCH($C652-1,Weeks!$A:$A,0)),DATE(2000,1,1)),
Tasks!$I:$I,"&lt;="&amp;INDEX(Weeks!$D:$D,MATCH($C652,Weeks!$A:$A,0)),
Tasks!$I:$I,"&lt;&gt;")</f>
        <v>0</v>
      </c>
    </row>
    <row r="653" spans="1:10" ht="15" customHeight="1">
      <c r="A653" t="s">
        <v>102</v>
      </c>
      <c r="B653" t="s">
        <v>103</v>
      </c>
      <c r="C653">
        <v>28</v>
      </c>
      <c r="D653">
        <v>7</v>
      </c>
      <c r="E653">
        <v>2</v>
      </c>
      <c r="F653" s="5" t="str">
        <f>IFERROR(ROUND(COUNTIFS(Tasks!$A:$A,$A653,Tasks!$B:$B,$B653,Tasks!$I:$I,"&lt;="&amp;INDEX(Weeks!$D:$D,MATCH($C653,Weeks!$A:$A,0)),Tasks!$I:$I,"&lt;&gt;")/COUNTIFS(Tasks!$A:$A,$A653,Tasks!$B:$B,$B653)*100,0),"")</f>
        <v/>
      </c>
      <c r="G653" s="5" t="str">
        <f>IFERROR(ROUND(COUNTIFS(Tasks!$A:$A,$A653,Tasks!$B:$B,$B653,Tasks!$H:$H,"&lt;="&amp;INDEX(Weeks!$D:$D,MATCH($C653,Weeks!$A:$A,0)))/COUNTIFS(Tasks!$A:$A,$A653,Tasks!$B:$B,$B653)*100,0),"")</f>
        <v/>
      </c>
      <c r="I653">
        <f>COUNTIFS(Tasks!$A:$A,$A653,Tasks!$B:$B,$B653,Tasks!$G:$G,"&lt;="&amp;INDEX(Weeks!$D:$D,MATCH($C653,Weeks!$A:$A,0)))-COUNTIFS(Tasks!$A:$A,$A653,Tasks!$B:$B,$B653,Tasks!$I:$I,"&lt;="&amp;INDEX(Weeks!$D:$D,MATCH($C653,Weeks!$A:$A,0)),Tasks!$I:$I,"&lt;&gt;")</f>
        <v>0</v>
      </c>
      <c r="J653">
        <f>COUNTIFS(Tasks!$A:$A,$A653,Tasks!$B:$B,$B653,
Tasks!$I:$I,"&gt;"&amp;IFERROR(INDEX(Weeks!$D:$D,MATCH($C653-1,Weeks!$A:$A,0)),DATE(2000,1,1)),
Tasks!$I:$I,"&lt;="&amp;INDEX(Weeks!$D:$D,MATCH($C653,Weeks!$A:$A,0)),
Tasks!$I:$I,"&lt;&gt;")</f>
        <v>0</v>
      </c>
    </row>
    <row r="654" spans="1:10" ht="15" customHeight="1">
      <c r="A654" t="s">
        <v>102</v>
      </c>
      <c r="B654" t="s">
        <v>103</v>
      </c>
      <c r="C654">
        <v>29</v>
      </c>
      <c r="D654">
        <v>7</v>
      </c>
      <c r="E654">
        <v>3</v>
      </c>
      <c r="F654" s="5" t="str">
        <f>IFERROR(ROUND(COUNTIFS(Tasks!$A:$A,$A654,Tasks!$B:$B,$B654,Tasks!$I:$I,"&lt;="&amp;INDEX(Weeks!$D:$D,MATCH($C654,Weeks!$A:$A,0)),Tasks!$I:$I,"&lt;&gt;")/COUNTIFS(Tasks!$A:$A,$A654,Tasks!$B:$B,$B654)*100,0),"")</f>
        <v/>
      </c>
      <c r="G654" s="5" t="str">
        <f>IFERROR(ROUND(COUNTIFS(Tasks!$A:$A,$A654,Tasks!$B:$B,$B654,Tasks!$H:$H,"&lt;="&amp;INDEX(Weeks!$D:$D,MATCH($C654,Weeks!$A:$A,0)))/COUNTIFS(Tasks!$A:$A,$A654,Tasks!$B:$B,$B654)*100,0),"")</f>
        <v/>
      </c>
      <c r="I654">
        <f>COUNTIFS(Tasks!$A:$A,$A654,Tasks!$B:$B,$B654,Tasks!$G:$G,"&lt;="&amp;INDEX(Weeks!$D:$D,MATCH($C654,Weeks!$A:$A,0)))-COUNTIFS(Tasks!$A:$A,$A654,Tasks!$B:$B,$B654,Tasks!$I:$I,"&lt;="&amp;INDEX(Weeks!$D:$D,MATCH($C654,Weeks!$A:$A,0)),Tasks!$I:$I,"&lt;&gt;")</f>
        <v>0</v>
      </c>
      <c r="J654">
        <f>COUNTIFS(Tasks!$A:$A,$A654,Tasks!$B:$B,$B654,
Tasks!$I:$I,"&gt;"&amp;IFERROR(INDEX(Weeks!$D:$D,MATCH($C654-1,Weeks!$A:$A,0)),DATE(2000,1,1)),
Tasks!$I:$I,"&lt;="&amp;INDEX(Weeks!$D:$D,MATCH($C654,Weeks!$A:$A,0)),
Tasks!$I:$I,"&lt;&gt;")</f>
        <v>0</v>
      </c>
    </row>
    <row r="655" spans="1:10" ht="15" customHeight="1">
      <c r="A655" t="s">
        <v>102</v>
      </c>
      <c r="B655" t="s">
        <v>103</v>
      </c>
      <c r="C655">
        <v>30</v>
      </c>
      <c r="D655">
        <v>7</v>
      </c>
      <c r="E655">
        <v>4</v>
      </c>
      <c r="F655" s="5" t="str">
        <f>IFERROR(ROUND(COUNTIFS(Tasks!$A:$A,$A655,Tasks!$B:$B,$B655,Tasks!$I:$I,"&lt;="&amp;INDEX(Weeks!$D:$D,MATCH($C655,Weeks!$A:$A,0)),Tasks!$I:$I,"&lt;&gt;")/COUNTIFS(Tasks!$A:$A,$A655,Tasks!$B:$B,$B655)*100,0),"")</f>
        <v/>
      </c>
      <c r="G655" s="5" t="str">
        <f>IFERROR(ROUND(COUNTIFS(Tasks!$A:$A,$A655,Tasks!$B:$B,$B655,Tasks!$H:$H,"&lt;="&amp;INDEX(Weeks!$D:$D,MATCH($C655,Weeks!$A:$A,0)))/COUNTIFS(Tasks!$A:$A,$A655,Tasks!$B:$B,$B655)*100,0),"")</f>
        <v/>
      </c>
      <c r="I655">
        <f>COUNTIFS(Tasks!$A:$A,$A655,Tasks!$B:$B,$B655,Tasks!$G:$G,"&lt;="&amp;INDEX(Weeks!$D:$D,MATCH($C655,Weeks!$A:$A,0)))-COUNTIFS(Tasks!$A:$A,$A655,Tasks!$B:$B,$B655,Tasks!$I:$I,"&lt;="&amp;INDEX(Weeks!$D:$D,MATCH($C655,Weeks!$A:$A,0)),Tasks!$I:$I,"&lt;&gt;")</f>
        <v>0</v>
      </c>
      <c r="J655">
        <f>COUNTIFS(Tasks!$A:$A,$A655,Tasks!$B:$B,$B655,
Tasks!$I:$I,"&gt;"&amp;IFERROR(INDEX(Weeks!$D:$D,MATCH($C655-1,Weeks!$A:$A,0)),DATE(2000,1,1)),
Tasks!$I:$I,"&lt;="&amp;INDEX(Weeks!$D:$D,MATCH($C655,Weeks!$A:$A,0)),
Tasks!$I:$I,"&lt;&gt;")</f>
        <v>0</v>
      </c>
    </row>
    <row r="656" spans="1:10" ht="15" customHeight="1">
      <c r="A656" t="s">
        <v>102</v>
      </c>
      <c r="B656" t="s">
        <v>103</v>
      </c>
      <c r="C656">
        <v>31</v>
      </c>
      <c r="D656">
        <v>8</v>
      </c>
      <c r="E656">
        <v>1</v>
      </c>
      <c r="F656" s="5" t="str">
        <f>IFERROR(ROUND(COUNTIFS(Tasks!$A:$A,$A656,Tasks!$B:$B,$B656,Tasks!$I:$I,"&lt;="&amp;INDEX(Weeks!$D:$D,MATCH($C656,Weeks!$A:$A,0)),Tasks!$I:$I,"&lt;&gt;")/COUNTIFS(Tasks!$A:$A,$A656,Tasks!$B:$B,$B656)*100,0),"")</f>
        <v/>
      </c>
      <c r="G656" s="5" t="str">
        <f>IFERROR(ROUND(COUNTIFS(Tasks!$A:$A,$A656,Tasks!$B:$B,$B656,Tasks!$H:$H,"&lt;="&amp;INDEX(Weeks!$D:$D,MATCH($C656,Weeks!$A:$A,0)))/COUNTIFS(Tasks!$A:$A,$A656,Tasks!$B:$B,$B656)*100,0),"")</f>
        <v/>
      </c>
      <c r="I656">
        <f>COUNTIFS(Tasks!$A:$A,$A656,Tasks!$B:$B,$B656,Tasks!$G:$G,"&lt;="&amp;INDEX(Weeks!$D:$D,MATCH($C656,Weeks!$A:$A,0)))-COUNTIFS(Tasks!$A:$A,$A656,Tasks!$B:$B,$B656,Tasks!$I:$I,"&lt;="&amp;INDEX(Weeks!$D:$D,MATCH($C656,Weeks!$A:$A,0)),Tasks!$I:$I,"&lt;&gt;")</f>
        <v>0</v>
      </c>
      <c r="J656">
        <f>COUNTIFS(Tasks!$A:$A,$A656,Tasks!$B:$B,$B656,
Tasks!$I:$I,"&gt;"&amp;IFERROR(INDEX(Weeks!$D:$D,MATCH($C656-1,Weeks!$A:$A,0)),DATE(2000,1,1)),
Tasks!$I:$I,"&lt;="&amp;INDEX(Weeks!$D:$D,MATCH($C656,Weeks!$A:$A,0)),
Tasks!$I:$I,"&lt;&gt;")</f>
        <v>0</v>
      </c>
    </row>
    <row r="657" spans="1:10" ht="15" customHeight="1">
      <c r="A657" t="s">
        <v>102</v>
      </c>
      <c r="B657" t="s">
        <v>103</v>
      </c>
      <c r="C657">
        <v>32</v>
      </c>
      <c r="D657">
        <v>8</v>
      </c>
      <c r="E657">
        <v>2</v>
      </c>
      <c r="F657" s="5" t="str">
        <f>IFERROR(ROUND(COUNTIFS(Tasks!$A:$A,$A657,Tasks!$B:$B,$B657,Tasks!$I:$I,"&lt;="&amp;INDEX(Weeks!$D:$D,MATCH($C657,Weeks!$A:$A,0)),Tasks!$I:$I,"&lt;&gt;")/COUNTIFS(Tasks!$A:$A,$A657,Tasks!$B:$B,$B657)*100,0),"")</f>
        <v/>
      </c>
      <c r="G657" s="5" t="str">
        <f>IFERROR(ROUND(COUNTIFS(Tasks!$A:$A,$A657,Tasks!$B:$B,$B657,Tasks!$H:$H,"&lt;="&amp;INDEX(Weeks!$D:$D,MATCH($C657,Weeks!$A:$A,0)))/COUNTIFS(Tasks!$A:$A,$A657,Tasks!$B:$B,$B657)*100,0),"")</f>
        <v/>
      </c>
      <c r="I657">
        <f>COUNTIFS(Tasks!$A:$A,$A657,Tasks!$B:$B,$B657,Tasks!$G:$G,"&lt;="&amp;INDEX(Weeks!$D:$D,MATCH($C657,Weeks!$A:$A,0)))-COUNTIFS(Tasks!$A:$A,$A657,Tasks!$B:$B,$B657,Tasks!$I:$I,"&lt;="&amp;INDEX(Weeks!$D:$D,MATCH($C657,Weeks!$A:$A,0)),Tasks!$I:$I,"&lt;&gt;")</f>
        <v>0</v>
      </c>
      <c r="J657">
        <f>COUNTIFS(Tasks!$A:$A,$A657,Tasks!$B:$B,$B657,
Tasks!$I:$I,"&gt;"&amp;IFERROR(INDEX(Weeks!$D:$D,MATCH($C657-1,Weeks!$A:$A,0)),DATE(2000,1,1)),
Tasks!$I:$I,"&lt;="&amp;INDEX(Weeks!$D:$D,MATCH($C657,Weeks!$A:$A,0)),
Tasks!$I:$I,"&lt;&gt;")</f>
        <v>0</v>
      </c>
    </row>
    <row r="658" spans="1:10" ht="15" customHeight="1">
      <c r="A658" t="s">
        <v>102</v>
      </c>
      <c r="B658" t="s">
        <v>103</v>
      </c>
      <c r="C658">
        <v>33</v>
      </c>
      <c r="D658">
        <v>8</v>
      </c>
      <c r="E658">
        <v>3</v>
      </c>
      <c r="F658" s="5" t="str">
        <f>IFERROR(ROUND(COUNTIFS(Tasks!$A:$A,$A658,Tasks!$B:$B,$B658,Tasks!$I:$I,"&lt;="&amp;INDEX(Weeks!$D:$D,MATCH($C658,Weeks!$A:$A,0)),Tasks!$I:$I,"&lt;&gt;")/COUNTIFS(Tasks!$A:$A,$A658,Tasks!$B:$B,$B658)*100,0),"")</f>
        <v/>
      </c>
      <c r="G658" s="5" t="str">
        <f>IFERROR(ROUND(COUNTIFS(Tasks!$A:$A,$A658,Tasks!$B:$B,$B658,Tasks!$H:$H,"&lt;="&amp;INDEX(Weeks!$D:$D,MATCH($C658,Weeks!$A:$A,0)))/COUNTIFS(Tasks!$A:$A,$A658,Tasks!$B:$B,$B658)*100,0),"")</f>
        <v/>
      </c>
      <c r="I658">
        <f>COUNTIFS(Tasks!$A:$A,$A658,Tasks!$B:$B,$B658,Tasks!$G:$G,"&lt;="&amp;INDEX(Weeks!$D:$D,MATCH($C658,Weeks!$A:$A,0)))-COUNTIFS(Tasks!$A:$A,$A658,Tasks!$B:$B,$B658,Tasks!$I:$I,"&lt;="&amp;INDEX(Weeks!$D:$D,MATCH($C658,Weeks!$A:$A,0)),Tasks!$I:$I,"&lt;&gt;")</f>
        <v>0</v>
      </c>
      <c r="J658">
        <f>COUNTIFS(Tasks!$A:$A,$A658,Tasks!$B:$B,$B658,
Tasks!$I:$I,"&gt;"&amp;IFERROR(INDEX(Weeks!$D:$D,MATCH($C658-1,Weeks!$A:$A,0)),DATE(2000,1,1)),
Tasks!$I:$I,"&lt;="&amp;INDEX(Weeks!$D:$D,MATCH($C658,Weeks!$A:$A,0)),
Tasks!$I:$I,"&lt;&gt;")</f>
        <v>0</v>
      </c>
    </row>
    <row r="659" spans="1:10" ht="15" customHeight="1">
      <c r="A659" t="s">
        <v>102</v>
      </c>
      <c r="B659" t="s">
        <v>103</v>
      </c>
      <c r="C659">
        <v>34</v>
      </c>
      <c r="D659">
        <v>8</v>
      </c>
      <c r="E659">
        <v>4</v>
      </c>
      <c r="F659" s="5" t="str">
        <f>IFERROR(ROUND(COUNTIFS(Tasks!$A:$A,$A659,Tasks!$B:$B,$B659,Tasks!$I:$I,"&lt;="&amp;INDEX(Weeks!$D:$D,MATCH($C659,Weeks!$A:$A,0)),Tasks!$I:$I,"&lt;&gt;")/COUNTIFS(Tasks!$A:$A,$A659,Tasks!$B:$B,$B659)*100,0),"")</f>
        <v/>
      </c>
      <c r="G659" s="5" t="str">
        <f>IFERROR(ROUND(COUNTIFS(Tasks!$A:$A,$A659,Tasks!$B:$B,$B659,Tasks!$H:$H,"&lt;="&amp;INDEX(Weeks!$D:$D,MATCH($C659,Weeks!$A:$A,0)))/COUNTIFS(Tasks!$A:$A,$A659,Tasks!$B:$B,$B659)*100,0),"")</f>
        <v/>
      </c>
      <c r="I659">
        <f>COUNTIFS(Tasks!$A:$A,$A659,Tasks!$B:$B,$B659,Tasks!$G:$G,"&lt;="&amp;INDEX(Weeks!$D:$D,MATCH($C659,Weeks!$A:$A,0)))-COUNTIFS(Tasks!$A:$A,$A659,Tasks!$B:$B,$B659,Tasks!$I:$I,"&lt;="&amp;INDEX(Weeks!$D:$D,MATCH($C659,Weeks!$A:$A,0)),Tasks!$I:$I,"&lt;&gt;")</f>
        <v>0</v>
      </c>
      <c r="J659">
        <f>COUNTIFS(Tasks!$A:$A,$A659,Tasks!$B:$B,$B659,
Tasks!$I:$I,"&gt;"&amp;IFERROR(INDEX(Weeks!$D:$D,MATCH($C659-1,Weeks!$A:$A,0)),DATE(2000,1,1)),
Tasks!$I:$I,"&lt;="&amp;INDEX(Weeks!$D:$D,MATCH($C659,Weeks!$A:$A,0)),
Tasks!$I:$I,"&lt;&gt;")</f>
        <v>0</v>
      </c>
    </row>
    <row r="660" spans="1:10" ht="15" customHeight="1">
      <c r="A660" t="s">
        <v>102</v>
      </c>
      <c r="B660" t="s">
        <v>103</v>
      </c>
      <c r="C660">
        <v>35</v>
      </c>
      <c r="D660">
        <v>8</v>
      </c>
      <c r="E660">
        <v>5</v>
      </c>
      <c r="F660" s="5" t="str">
        <f>IFERROR(ROUND(COUNTIFS(Tasks!$A:$A,$A660,Tasks!$B:$B,$B660,Tasks!$I:$I,"&lt;="&amp;INDEX(Weeks!$D:$D,MATCH($C660,Weeks!$A:$A,0)),Tasks!$I:$I,"&lt;&gt;")/COUNTIFS(Tasks!$A:$A,$A660,Tasks!$B:$B,$B660)*100,0),"")</f>
        <v/>
      </c>
      <c r="G660" s="5" t="str">
        <f>IFERROR(ROUND(COUNTIFS(Tasks!$A:$A,$A660,Tasks!$B:$B,$B660,Tasks!$H:$H,"&lt;="&amp;INDEX(Weeks!$D:$D,MATCH($C660,Weeks!$A:$A,0)))/COUNTIFS(Tasks!$A:$A,$A660,Tasks!$B:$B,$B660)*100,0),"")</f>
        <v/>
      </c>
      <c r="I660">
        <f>COUNTIFS(Tasks!$A:$A,$A660,Tasks!$B:$B,$B660,Tasks!$G:$G,"&lt;="&amp;INDEX(Weeks!$D:$D,MATCH($C660,Weeks!$A:$A,0)))-COUNTIFS(Tasks!$A:$A,$A660,Tasks!$B:$B,$B660,Tasks!$I:$I,"&lt;="&amp;INDEX(Weeks!$D:$D,MATCH($C660,Weeks!$A:$A,0)),Tasks!$I:$I,"&lt;&gt;")</f>
        <v>0</v>
      </c>
      <c r="J660">
        <f>COUNTIFS(Tasks!$A:$A,$A660,Tasks!$B:$B,$B660,
Tasks!$I:$I,"&gt;"&amp;IFERROR(INDEX(Weeks!$D:$D,MATCH($C660-1,Weeks!$A:$A,0)),DATE(2000,1,1)),
Tasks!$I:$I,"&lt;="&amp;INDEX(Weeks!$D:$D,MATCH($C660,Weeks!$A:$A,0)),
Tasks!$I:$I,"&lt;&gt;")</f>
        <v>0</v>
      </c>
    </row>
    <row r="661" spans="1:10" ht="15" customHeight="1">
      <c r="A661" t="s">
        <v>102</v>
      </c>
      <c r="B661" t="s">
        <v>103</v>
      </c>
      <c r="C661">
        <v>36</v>
      </c>
      <c r="D661">
        <v>9</v>
      </c>
      <c r="E661">
        <v>1</v>
      </c>
      <c r="F661" s="5" t="str">
        <f>IFERROR(ROUND(COUNTIFS(Tasks!$A:$A,$A661,Tasks!$B:$B,$B661,Tasks!$I:$I,"&lt;="&amp;INDEX(Weeks!$D:$D,MATCH($C661,Weeks!$A:$A,0)),Tasks!$I:$I,"&lt;&gt;")/COUNTIFS(Tasks!$A:$A,$A661,Tasks!$B:$B,$B661)*100,0),"")</f>
        <v/>
      </c>
      <c r="G661" s="5" t="str">
        <f>IFERROR(ROUND(COUNTIFS(Tasks!$A:$A,$A661,Tasks!$B:$B,$B661,Tasks!$H:$H,"&lt;="&amp;INDEX(Weeks!$D:$D,MATCH($C661,Weeks!$A:$A,0)))/COUNTIFS(Tasks!$A:$A,$A661,Tasks!$B:$B,$B661)*100,0),"")</f>
        <v/>
      </c>
      <c r="I661">
        <f>COUNTIFS(Tasks!$A:$A,$A661,Tasks!$B:$B,$B661,Tasks!$G:$G,"&lt;="&amp;INDEX(Weeks!$D:$D,MATCH($C661,Weeks!$A:$A,0)))-COUNTIFS(Tasks!$A:$A,$A661,Tasks!$B:$B,$B661,Tasks!$I:$I,"&lt;="&amp;INDEX(Weeks!$D:$D,MATCH($C661,Weeks!$A:$A,0)),Tasks!$I:$I,"&lt;&gt;")</f>
        <v>0</v>
      </c>
      <c r="J661">
        <f>COUNTIFS(Tasks!$A:$A,$A661,Tasks!$B:$B,$B661,
Tasks!$I:$I,"&gt;"&amp;IFERROR(INDEX(Weeks!$D:$D,MATCH($C661-1,Weeks!$A:$A,0)),DATE(2000,1,1)),
Tasks!$I:$I,"&lt;="&amp;INDEX(Weeks!$D:$D,MATCH($C661,Weeks!$A:$A,0)),
Tasks!$I:$I,"&lt;&gt;")</f>
        <v>0</v>
      </c>
    </row>
    <row r="662" spans="1:10" ht="15" customHeight="1">
      <c r="A662" t="s">
        <v>102</v>
      </c>
      <c r="B662" t="s">
        <v>103</v>
      </c>
      <c r="C662">
        <v>37</v>
      </c>
      <c r="D662">
        <v>9</v>
      </c>
      <c r="E662">
        <v>2</v>
      </c>
      <c r="F662" s="5" t="str">
        <f>IFERROR(ROUND(COUNTIFS(Tasks!$A:$A,$A662,Tasks!$B:$B,$B662,Tasks!$I:$I,"&lt;="&amp;INDEX(Weeks!$D:$D,MATCH($C662,Weeks!$A:$A,0)),Tasks!$I:$I,"&lt;&gt;")/COUNTIFS(Tasks!$A:$A,$A662,Tasks!$B:$B,$B662)*100,0),"")</f>
        <v/>
      </c>
      <c r="G662" s="5" t="str">
        <f>IFERROR(ROUND(COUNTIFS(Tasks!$A:$A,$A662,Tasks!$B:$B,$B662,Tasks!$H:$H,"&lt;="&amp;INDEX(Weeks!$D:$D,MATCH($C662,Weeks!$A:$A,0)))/COUNTIFS(Tasks!$A:$A,$A662,Tasks!$B:$B,$B662)*100,0),"")</f>
        <v/>
      </c>
      <c r="I662">
        <f>COUNTIFS(Tasks!$A:$A,$A662,Tasks!$B:$B,$B662,Tasks!$G:$G,"&lt;="&amp;INDEX(Weeks!$D:$D,MATCH($C662,Weeks!$A:$A,0)))-COUNTIFS(Tasks!$A:$A,$A662,Tasks!$B:$B,$B662,Tasks!$I:$I,"&lt;="&amp;INDEX(Weeks!$D:$D,MATCH($C662,Weeks!$A:$A,0)),Tasks!$I:$I,"&lt;&gt;")</f>
        <v>0</v>
      </c>
      <c r="J662">
        <f>COUNTIFS(Tasks!$A:$A,$A662,Tasks!$B:$B,$B662,
Tasks!$I:$I,"&gt;"&amp;IFERROR(INDEX(Weeks!$D:$D,MATCH($C662-1,Weeks!$A:$A,0)),DATE(2000,1,1)),
Tasks!$I:$I,"&lt;="&amp;INDEX(Weeks!$D:$D,MATCH($C662,Weeks!$A:$A,0)),
Tasks!$I:$I,"&lt;&gt;")</f>
        <v>0</v>
      </c>
    </row>
    <row r="663" spans="1:10" ht="15" customHeight="1">
      <c r="A663" t="s">
        <v>102</v>
      </c>
      <c r="B663" t="s">
        <v>103</v>
      </c>
      <c r="C663">
        <v>38</v>
      </c>
      <c r="D663">
        <v>9</v>
      </c>
      <c r="E663">
        <v>3</v>
      </c>
      <c r="F663" s="5" t="str">
        <f>IFERROR(ROUND(COUNTIFS(Tasks!$A:$A,$A663,Tasks!$B:$B,$B663,Tasks!$I:$I,"&lt;="&amp;INDEX(Weeks!$D:$D,MATCH($C663,Weeks!$A:$A,0)),Tasks!$I:$I,"&lt;&gt;")/COUNTIFS(Tasks!$A:$A,$A663,Tasks!$B:$B,$B663)*100,0),"")</f>
        <v/>
      </c>
      <c r="G663" s="5" t="str">
        <f>IFERROR(ROUND(COUNTIFS(Tasks!$A:$A,$A663,Tasks!$B:$B,$B663,Tasks!$H:$H,"&lt;="&amp;INDEX(Weeks!$D:$D,MATCH($C663,Weeks!$A:$A,0)))/COUNTIFS(Tasks!$A:$A,$A663,Tasks!$B:$B,$B663)*100,0),"")</f>
        <v/>
      </c>
      <c r="I663">
        <f>COUNTIFS(Tasks!$A:$A,$A663,Tasks!$B:$B,$B663,Tasks!$G:$G,"&lt;="&amp;INDEX(Weeks!$D:$D,MATCH($C663,Weeks!$A:$A,0)))-COUNTIFS(Tasks!$A:$A,$A663,Tasks!$B:$B,$B663,Tasks!$I:$I,"&lt;="&amp;INDEX(Weeks!$D:$D,MATCH($C663,Weeks!$A:$A,0)),Tasks!$I:$I,"&lt;&gt;")</f>
        <v>0</v>
      </c>
      <c r="J663">
        <f>COUNTIFS(Tasks!$A:$A,$A663,Tasks!$B:$B,$B663,
Tasks!$I:$I,"&gt;"&amp;IFERROR(INDEX(Weeks!$D:$D,MATCH($C663-1,Weeks!$A:$A,0)),DATE(2000,1,1)),
Tasks!$I:$I,"&lt;="&amp;INDEX(Weeks!$D:$D,MATCH($C663,Weeks!$A:$A,0)),
Tasks!$I:$I,"&lt;&gt;")</f>
        <v>0</v>
      </c>
    </row>
    <row r="664" spans="1:10" ht="15" customHeight="1">
      <c r="A664" t="s">
        <v>102</v>
      </c>
      <c r="B664" t="s">
        <v>103</v>
      </c>
      <c r="C664">
        <v>39</v>
      </c>
      <c r="D664">
        <v>9</v>
      </c>
      <c r="E664">
        <v>4</v>
      </c>
      <c r="F664" s="5" t="str">
        <f>IFERROR(ROUND(COUNTIFS(Tasks!$A:$A,$A664,Tasks!$B:$B,$B664,Tasks!$I:$I,"&lt;="&amp;INDEX(Weeks!$D:$D,MATCH($C664,Weeks!$A:$A,0)),Tasks!$I:$I,"&lt;&gt;")/COUNTIFS(Tasks!$A:$A,$A664,Tasks!$B:$B,$B664)*100,0),"")</f>
        <v/>
      </c>
      <c r="G664" s="5" t="str">
        <f>IFERROR(ROUND(COUNTIFS(Tasks!$A:$A,$A664,Tasks!$B:$B,$B664,Tasks!$H:$H,"&lt;="&amp;INDEX(Weeks!$D:$D,MATCH($C664,Weeks!$A:$A,0)))/COUNTIFS(Tasks!$A:$A,$A664,Tasks!$B:$B,$B664)*100,0),"")</f>
        <v/>
      </c>
      <c r="I664">
        <f>COUNTIFS(Tasks!$A:$A,$A664,Tasks!$B:$B,$B664,Tasks!$G:$G,"&lt;="&amp;INDEX(Weeks!$D:$D,MATCH($C664,Weeks!$A:$A,0)))-COUNTIFS(Tasks!$A:$A,$A664,Tasks!$B:$B,$B664,Tasks!$I:$I,"&lt;="&amp;INDEX(Weeks!$D:$D,MATCH($C664,Weeks!$A:$A,0)),Tasks!$I:$I,"&lt;&gt;")</f>
        <v>0</v>
      </c>
      <c r="J664">
        <f>COUNTIFS(Tasks!$A:$A,$A664,Tasks!$B:$B,$B664,
Tasks!$I:$I,"&gt;"&amp;IFERROR(INDEX(Weeks!$D:$D,MATCH($C664-1,Weeks!$A:$A,0)),DATE(2000,1,1)),
Tasks!$I:$I,"&lt;="&amp;INDEX(Weeks!$D:$D,MATCH($C664,Weeks!$A:$A,0)),
Tasks!$I:$I,"&lt;&gt;")</f>
        <v>0</v>
      </c>
    </row>
    <row r="665" spans="1:10" ht="15" customHeight="1">
      <c r="A665" t="s">
        <v>102</v>
      </c>
      <c r="B665" t="s">
        <v>103</v>
      </c>
      <c r="C665">
        <v>40</v>
      </c>
      <c r="D665">
        <v>10</v>
      </c>
      <c r="E665">
        <v>1</v>
      </c>
      <c r="F665" s="5" t="str">
        <f>IFERROR(ROUND(COUNTIFS(Tasks!$A:$A,$A665,Tasks!$B:$B,$B665,Tasks!$I:$I,"&lt;="&amp;INDEX(Weeks!$D:$D,MATCH($C665,Weeks!$A:$A,0)),Tasks!$I:$I,"&lt;&gt;")/COUNTIFS(Tasks!$A:$A,$A665,Tasks!$B:$B,$B665)*100,0),"")</f>
        <v/>
      </c>
      <c r="G665" s="5" t="str">
        <f>IFERROR(ROUND(COUNTIFS(Tasks!$A:$A,$A665,Tasks!$B:$B,$B665,Tasks!$H:$H,"&lt;="&amp;INDEX(Weeks!$D:$D,MATCH($C665,Weeks!$A:$A,0)))/COUNTIFS(Tasks!$A:$A,$A665,Tasks!$B:$B,$B665)*100,0),"")</f>
        <v/>
      </c>
      <c r="I665">
        <f>COUNTIFS(Tasks!$A:$A,$A665,Tasks!$B:$B,$B665,Tasks!$G:$G,"&lt;="&amp;INDEX(Weeks!$D:$D,MATCH($C665,Weeks!$A:$A,0)))-COUNTIFS(Tasks!$A:$A,$A665,Tasks!$B:$B,$B665,Tasks!$I:$I,"&lt;="&amp;INDEX(Weeks!$D:$D,MATCH($C665,Weeks!$A:$A,0)),Tasks!$I:$I,"&lt;&gt;")</f>
        <v>0</v>
      </c>
      <c r="J665">
        <f>COUNTIFS(Tasks!$A:$A,$A665,Tasks!$B:$B,$B665,
Tasks!$I:$I,"&gt;"&amp;IFERROR(INDEX(Weeks!$D:$D,MATCH($C665-1,Weeks!$A:$A,0)),DATE(2000,1,1)),
Tasks!$I:$I,"&lt;="&amp;INDEX(Weeks!$D:$D,MATCH($C665,Weeks!$A:$A,0)),
Tasks!$I:$I,"&lt;&gt;")</f>
        <v>0</v>
      </c>
    </row>
    <row r="666" spans="1:10" ht="15" customHeight="1">
      <c r="A666" t="s">
        <v>102</v>
      </c>
      <c r="B666" t="s">
        <v>103</v>
      </c>
      <c r="C666">
        <v>41</v>
      </c>
      <c r="D666">
        <v>10</v>
      </c>
      <c r="E666">
        <v>2</v>
      </c>
      <c r="F666" s="5" t="str">
        <f>IFERROR(ROUND(COUNTIFS(Tasks!$A:$A,$A666,Tasks!$B:$B,$B666,Tasks!$I:$I,"&lt;="&amp;INDEX(Weeks!$D:$D,MATCH($C666,Weeks!$A:$A,0)),Tasks!$I:$I,"&lt;&gt;")/COUNTIFS(Tasks!$A:$A,$A666,Tasks!$B:$B,$B666)*100,0),"")</f>
        <v/>
      </c>
      <c r="G666" s="5" t="str">
        <f>IFERROR(ROUND(COUNTIFS(Tasks!$A:$A,$A666,Tasks!$B:$B,$B666,Tasks!$H:$H,"&lt;="&amp;INDEX(Weeks!$D:$D,MATCH($C666,Weeks!$A:$A,0)))/COUNTIFS(Tasks!$A:$A,$A666,Tasks!$B:$B,$B666)*100,0),"")</f>
        <v/>
      </c>
      <c r="I666">
        <f>COUNTIFS(Tasks!$A:$A,$A666,Tasks!$B:$B,$B666,Tasks!$G:$G,"&lt;="&amp;INDEX(Weeks!$D:$D,MATCH($C666,Weeks!$A:$A,0)))-COUNTIFS(Tasks!$A:$A,$A666,Tasks!$B:$B,$B666,Tasks!$I:$I,"&lt;="&amp;INDEX(Weeks!$D:$D,MATCH($C666,Weeks!$A:$A,0)),Tasks!$I:$I,"&lt;&gt;")</f>
        <v>0</v>
      </c>
      <c r="J666">
        <f>COUNTIFS(Tasks!$A:$A,$A666,Tasks!$B:$B,$B666,
Tasks!$I:$I,"&gt;"&amp;IFERROR(INDEX(Weeks!$D:$D,MATCH($C666-1,Weeks!$A:$A,0)),DATE(2000,1,1)),
Tasks!$I:$I,"&lt;="&amp;INDEX(Weeks!$D:$D,MATCH($C666,Weeks!$A:$A,0)),
Tasks!$I:$I,"&lt;&gt;")</f>
        <v>0</v>
      </c>
    </row>
    <row r="667" spans="1:10" ht="15" customHeight="1">
      <c r="A667" t="s">
        <v>102</v>
      </c>
      <c r="B667" t="s">
        <v>103</v>
      </c>
      <c r="C667">
        <v>42</v>
      </c>
      <c r="D667">
        <v>10</v>
      </c>
      <c r="E667">
        <v>3</v>
      </c>
      <c r="F667" s="5" t="str">
        <f>IFERROR(ROUND(COUNTIFS(Tasks!$A:$A,$A667,Tasks!$B:$B,$B667,Tasks!$I:$I,"&lt;="&amp;INDEX(Weeks!$D:$D,MATCH($C667,Weeks!$A:$A,0)),Tasks!$I:$I,"&lt;&gt;")/COUNTIFS(Tasks!$A:$A,$A667,Tasks!$B:$B,$B667)*100,0),"")</f>
        <v/>
      </c>
      <c r="G667" s="5" t="str">
        <f>IFERROR(ROUND(COUNTIFS(Tasks!$A:$A,$A667,Tasks!$B:$B,$B667,Tasks!$H:$H,"&lt;="&amp;INDEX(Weeks!$D:$D,MATCH($C667,Weeks!$A:$A,0)))/COUNTIFS(Tasks!$A:$A,$A667,Tasks!$B:$B,$B667)*100,0),"")</f>
        <v/>
      </c>
      <c r="I667">
        <f>COUNTIFS(Tasks!$A:$A,$A667,Tasks!$B:$B,$B667,Tasks!$G:$G,"&lt;="&amp;INDEX(Weeks!$D:$D,MATCH($C667,Weeks!$A:$A,0)))-COUNTIFS(Tasks!$A:$A,$A667,Tasks!$B:$B,$B667,Tasks!$I:$I,"&lt;="&amp;INDEX(Weeks!$D:$D,MATCH($C667,Weeks!$A:$A,0)),Tasks!$I:$I,"&lt;&gt;")</f>
        <v>0</v>
      </c>
      <c r="J667">
        <f>COUNTIFS(Tasks!$A:$A,$A667,Tasks!$B:$B,$B667,
Tasks!$I:$I,"&gt;"&amp;IFERROR(INDEX(Weeks!$D:$D,MATCH($C667-1,Weeks!$A:$A,0)),DATE(2000,1,1)),
Tasks!$I:$I,"&lt;="&amp;INDEX(Weeks!$D:$D,MATCH($C667,Weeks!$A:$A,0)),
Tasks!$I:$I,"&lt;&gt;")</f>
        <v>0</v>
      </c>
    </row>
    <row r="668" spans="1:10" ht="15" customHeight="1">
      <c r="A668" t="s">
        <v>102</v>
      </c>
      <c r="B668" t="s">
        <v>103</v>
      </c>
      <c r="C668">
        <v>43</v>
      </c>
      <c r="D668">
        <v>10</v>
      </c>
      <c r="E668">
        <v>4</v>
      </c>
      <c r="F668" s="5" t="str">
        <f>IFERROR(ROUND(COUNTIFS(Tasks!$A:$A,$A668,Tasks!$B:$B,$B668,Tasks!$I:$I,"&lt;="&amp;INDEX(Weeks!$D:$D,MATCH($C668,Weeks!$A:$A,0)),Tasks!$I:$I,"&lt;&gt;")/COUNTIFS(Tasks!$A:$A,$A668,Tasks!$B:$B,$B668)*100,0),"")</f>
        <v/>
      </c>
      <c r="G668" s="5" t="str">
        <f>IFERROR(ROUND(COUNTIFS(Tasks!$A:$A,$A668,Tasks!$B:$B,$B668,Tasks!$H:$H,"&lt;="&amp;INDEX(Weeks!$D:$D,MATCH($C668,Weeks!$A:$A,0)))/COUNTIFS(Tasks!$A:$A,$A668,Tasks!$B:$B,$B668)*100,0),"")</f>
        <v/>
      </c>
      <c r="I668">
        <f>COUNTIFS(Tasks!$A:$A,$A668,Tasks!$B:$B,$B668,Tasks!$G:$G,"&lt;="&amp;INDEX(Weeks!$D:$D,MATCH($C668,Weeks!$A:$A,0)))-COUNTIFS(Tasks!$A:$A,$A668,Tasks!$B:$B,$B668,Tasks!$I:$I,"&lt;="&amp;INDEX(Weeks!$D:$D,MATCH($C668,Weeks!$A:$A,0)),Tasks!$I:$I,"&lt;&gt;")</f>
        <v>0</v>
      </c>
      <c r="J668">
        <f>COUNTIFS(Tasks!$A:$A,$A668,Tasks!$B:$B,$B668,
Tasks!$I:$I,"&gt;"&amp;IFERROR(INDEX(Weeks!$D:$D,MATCH($C668-1,Weeks!$A:$A,0)),DATE(2000,1,1)),
Tasks!$I:$I,"&lt;="&amp;INDEX(Weeks!$D:$D,MATCH($C668,Weeks!$A:$A,0)),
Tasks!$I:$I,"&lt;&gt;")</f>
        <v>0</v>
      </c>
    </row>
    <row r="669" spans="1:10" ht="15" customHeight="1">
      <c r="A669" t="s">
        <v>102</v>
      </c>
      <c r="B669" t="s">
        <v>103</v>
      </c>
      <c r="C669">
        <v>44</v>
      </c>
      <c r="D669">
        <v>10</v>
      </c>
      <c r="E669">
        <v>5</v>
      </c>
      <c r="F669" s="5" t="str">
        <f>IFERROR(ROUND(COUNTIFS(Tasks!$A:$A,$A669,Tasks!$B:$B,$B669,Tasks!$I:$I,"&lt;="&amp;INDEX(Weeks!$D:$D,MATCH($C669,Weeks!$A:$A,0)),Tasks!$I:$I,"&lt;&gt;")/COUNTIFS(Tasks!$A:$A,$A669,Tasks!$B:$B,$B669)*100,0),"")</f>
        <v/>
      </c>
      <c r="G669" s="5" t="str">
        <f>IFERROR(ROUND(COUNTIFS(Tasks!$A:$A,$A669,Tasks!$B:$B,$B669,Tasks!$H:$H,"&lt;="&amp;INDEX(Weeks!$D:$D,MATCH($C669,Weeks!$A:$A,0)))/COUNTIFS(Tasks!$A:$A,$A669,Tasks!$B:$B,$B669)*100,0),"")</f>
        <v/>
      </c>
      <c r="I669">
        <f>COUNTIFS(Tasks!$A:$A,$A669,Tasks!$B:$B,$B669,Tasks!$G:$G,"&lt;="&amp;INDEX(Weeks!$D:$D,MATCH($C669,Weeks!$A:$A,0)))-COUNTIFS(Tasks!$A:$A,$A669,Tasks!$B:$B,$B669,Tasks!$I:$I,"&lt;="&amp;INDEX(Weeks!$D:$D,MATCH($C669,Weeks!$A:$A,0)),Tasks!$I:$I,"&lt;&gt;")</f>
        <v>0</v>
      </c>
      <c r="J669">
        <f>COUNTIFS(Tasks!$A:$A,$A669,Tasks!$B:$B,$B669,
Tasks!$I:$I,"&gt;"&amp;IFERROR(INDEX(Weeks!$D:$D,MATCH($C669-1,Weeks!$A:$A,0)),DATE(2000,1,1)),
Tasks!$I:$I,"&lt;="&amp;INDEX(Weeks!$D:$D,MATCH($C669,Weeks!$A:$A,0)),
Tasks!$I:$I,"&lt;&gt;")</f>
        <v>0</v>
      </c>
    </row>
    <row r="670" spans="1:10" ht="15" customHeight="1">
      <c r="A670" t="s">
        <v>102</v>
      </c>
      <c r="B670" t="s">
        <v>103</v>
      </c>
      <c r="C670">
        <v>45</v>
      </c>
      <c r="D670">
        <v>11</v>
      </c>
      <c r="E670">
        <v>1</v>
      </c>
      <c r="F670" s="5" t="str">
        <f>IFERROR(ROUND(COUNTIFS(Tasks!$A:$A,$A670,Tasks!$B:$B,$B670,Tasks!$I:$I,"&lt;="&amp;INDEX(Weeks!$D:$D,MATCH($C670,Weeks!$A:$A,0)),Tasks!$I:$I,"&lt;&gt;")/COUNTIFS(Tasks!$A:$A,$A670,Tasks!$B:$B,$B670)*100,0),"")</f>
        <v/>
      </c>
      <c r="G670" s="5" t="str">
        <f>IFERROR(ROUND(COUNTIFS(Tasks!$A:$A,$A670,Tasks!$B:$B,$B670,Tasks!$H:$H,"&lt;="&amp;INDEX(Weeks!$D:$D,MATCH($C670,Weeks!$A:$A,0)))/COUNTIFS(Tasks!$A:$A,$A670,Tasks!$B:$B,$B670)*100,0),"")</f>
        <v/>
      </c>
      <c r="I670">
        <f>COUNTIFS(Tasks!$A:$A,$A670,Tasks!$B:$B,$B670,Tasks!$G:$G,"&lt;="&amp;INDEX(Weeks!$D:$D,MATCH($C670,Weeks!$A:$A,0)))-COUNTIFS(Tasks!$A:$A,$A670,Tasks!$B:$B,$B670,Tasks!$I:$I,"&lt;="&amp;INDEX(Weeks!$D:$D,MATCH($C670,Weeks!$A:$A,0)),Tasks!$I:$I,"&lt;&gt;")</f>
        <v>0</v>
      </c>
      <c r="J670">
        <f>COUNTIFS(Tasks!$A:$A,$A670,Tasks!$B:$B,$B670,
Tasks!$I:$I,"&gt;"&amp;IFERROR(INDEX(Weeks!$D:$D,MATCH($C670-1,Weeks!$A:$A,0)),DATE(2000,1,1)),
Tasks!$I:$I,"&lt;="&amp;INDEX(Weeks!$D:$D,MATCH($C670,Weeks!$A:$A,0)),
Tasks!$I:$I,"&lt;&gt;")</f>
        <v>0</v>
      </c>
    </row>
    <row r="671" spans="1:10" ht="15" customHeight="1">
      <c r="A671" t="s">
        <v>102</v>
      </c>
      <c r="B671" t="s">
        <v>103</v>
      </c>
      <c r="C671">
        <v>46</v>
      </c>
      <c r="D671">
        <v>11</v>
      </c>
      <c r="E671">
        <v>2</v>
      </c>
      <c r="F671" s="5" t="str">
        <f>IFERROR(ROUND(COUNTIFS(Tasks!$A:$A,$A671,Tasks!$B:$B,$B671,Tasks!$I:$I,"&lt;="&amp;INDEX(Weeks!$D:$D,MATCH($C671,Weeks!$A:$A,0)),Tasks!$I:$I,"&lt;&gt;")/COUNTIFS(Tasks!$A:$A,$A671,Tasks!$B:$B,$B671)*100,0),"")</f>
        <v/>
      </c>
      <c r="G671" s="5" t="str">
        <f>IFERROR(ROUND(COUNTIFS(Tasks!$A:$A,$A671,Tasks!$B:$B,$B671,Tasks!$H:$H,"&lt;="&amp;INDEX(Weeks!$D:$D,MATCH($C671,Weeks!$A:$A,0)))/COUNTIFS(Tasks!$A:$A,$A671,Tasks!$B:$B,$B671)*100,0),"")</f>
        <v/>
      </c>
      <c r="I671">
        <f>COUNTIFS(Tasks!$A:$A,$A671,Tasks!$B:$B,$B671,Tasks!$G:$G,"&lt;="&amp;INDEX(Weeks!$D:$D,MATCH($C671,Weeks!$A:$A,0)))-COUNTIFS(Tasks!$A:$A,$A671,Tasks!$B:$B,$B671,Tasks!$I:$I,"&lt;="&amp;INDEX(Weeks!$D:$D,MATCH($C671,Weeks!$A:$A,0)),Tasks!$I:$I,"&lt;&gt;")</f>
        <v>0</v>
      </c>
      <c r="J671">
        <f>COUNTIFS(Tasks!$A:$A,$A671,Tasks!$B:$B,$B671,
Tasks!$I:$I,"&gt;"&amp;IFERROR(INDEX(Weeks!$D:$D,MATCH($C671-1,Weeks!$A:$A,0)),DATE(2000,1,1)),
Tasks!$I:$I,"&lt;="&amp;INDEX(Weeks!$D:$D,MATCH($C671,Weeks!$A:$A,0)),
Tasks!$I:$I,"&lt;&gt;")</f>
        <v>0</v>
      </c>
    </row>
    <row r="672" spans="1:10" ht="15" customHeight="1">
      <c r="A672" t="s">
        <v>102</v>
      </c>
      <c r="B672" t="s">
        <v>103</v>
      </c>
      <c r="C672">
        <v>47</v>
      </c>
      <c r="D672">
        <v>11</v>
      </c>
      <c r="E672">
        <v>3</v>
      </c>
      <c r="F672" s="5" t="str">
        <f>IFERROR(ROUND(COUNTIFS(Tasks!$A:$A,$A672,Tasks!$B:$B,$B672,Tasks!$I:$I,"&lt;="&amp;INDEX(Weeks!$D:$D,MATCH($C672,Weeks!$A:$A,0)),Tasks!$I:$I,"&lt;&gt;")/COUNTIFS(Tasks!$A:$A,$A672,Tasks!$B:$B,$B672)*100,0),"")</f>
        <v/>
      </c>
      <c r="G672" s="5" t="str">
        <f>IFERROR(ROUND(COUNTIFS(Tasks!$A:$A,$A672,Tasks!$B:$B,$B672,Tasks!$H:$H,"&lt;="&amp;INDEX(Weeks!$D:$D,MATCH($C672,Weeks!$A:$A,0)))/COUNTIFS(Tasks!$A:$A,$A672,Tasks!$B:$B,$B672)*100,0),"")</f>
        <v/>
      </c>
      <c r="I672">
        <f>COUNTIFS(Tasks!$A:$A,$A672,Tasks!$B:$B,$B672,Tasks!$G:$G,"&lt;="&amp;INDEX(Weeks!$D:$D,MATCH($C672,Weeks!$A:$A,0)))-COUNTIFS(Tasks!$A:$A,$A672,Tasks!$B:$B,$B672,Tasks!$I:$I,"&lt;="&amp;INDEX(Weeks!$D:$D,MATCH($C672,Weeks!$A:$A,0)),Tasks!$I:$I,"&lt;&gt;")</f>
        <v>0</v>
      </c>
      <c r="J672">
        <f>COUNTIFS(Tasks!$A:$A,$A672,Tasks!$B:$B,$B672,
Tasks!$I:$I,"&gt;"&amp;IFERROR(INDEX(Weeks!$D:$D,MATCH($C672-1,Weeks!$A:$A,0)),DATE(2000,1,1)),
Tasks!$I:$I,"&lt;="&amp;INDEX(Weeks!$D:$D,MATCH($C672,Weeks!$A:$A,0)),
Tasks!$I:$I,"&lt;&gt;")</f>
        <v>0</v>
      </c>
    </row>
    <row r="673" spans="1:10" ht="15" customHeight="1">
      <c r="A673" t="s">
        <v>102</v>
      </c>
      <c r="B673" t="s">
        <v>103</v>
      </c>
      <c r="C673">
        <v>48</v>
      </c>
      <c r="D673">
        <v>11</v>
      </c>
      <c r="E673">
        <v>4</v>
      </c>
      <c r="F673" s="5" t="str">
        <f>IFERROR(ROUND(COUNTIFS(Tasks!$A:$A,$A673,Tasks!$B:$B,$B673,Tasks!$I:$I,"&lt;="&amp;INDEX(Weeks!$D:$D,MATCH($C673,Weeks!$A:$A,0)),Tasks!$I:$I,"&lt;&gt;")/COUNTIFS(Tasks!$A:$A,$A673,Tasks!$B:$B,$B673)*100,0),"")</f>
        <v/>
      </c>
      <c r="G673" s="5" t="str">
        <f>IFERROR(ROUND(COUNTIFS(Tasks!$A:$A,$A673,Tasks!$B:$B,$B673,Tasks!$H:$H,"&lt;="&amp;INDEX(Weeks!$D:$D,MATCH($C673,Weeks!$A:$A,0)))/COUNTIFS(Tasks!$A:$A,$A673,Tasks!$B:$B,$B673)*100,0),"")</f>
        <v/>
      </c>
      <c r="I673">
        <f>COUNTIFS(Tasks!$A:$A,$A673,Tasks!$B:$B,$B673,Tasks!$G:$G,"&lt;="&amp;INDEX(Weeks!$D:$D,MATCH($C673,Weeks!$A:$A,0)))-COUNTIFS(Tasks!$A:$A,$A673,Tasks!$B:$B,$B673,Tasks!$I:$I,"&lt;="&amp;INDEX(Weeks!$D:$D,MATCH($C673,Weeks!$A:$A,0)),Tasks!$I:$I,"&lt;&gt;")</f>
        <v>0</v>
      </c>
      <c r="J673">
        <f>COUNTIFS(Tasks!$A:$A,$A673,Tasks!$B:$B,$B673,
Tasks!$I:$I,"&gt;"&amp;IFERROR(INDEX(Weeks!$D:$D,MATCH($C673-1,Weeks!$A:$A,0)),DATE(2000,1,1)),
Tasks!$I:$I,"&lt;="&amp;INDEX(Weeks!$D:$D,MATCH($C673,Weeks!$A:$A,0)),
Tasks!$I:$I,"&lt;&gt;")</f>
        <v>0</v>
      </c>
    </row>
    <row r="674" spans="1:10" ht="15" customHeight="1">
      <c r="A674" t="s">
        <v>102</v>
      </c>
      <c r="B674" t="s">
        <v>103</v>
      </c>
      <c r="C674">
        <v>49</v>
      </c>
      <c r="D674">
        <v>12</v>
      </c>
      <c r="E674">
        <v>1</v>
      </c>
      <c r="F674" s="5" t="str">
        <f>IFERROR(ROUND(COUNTIFS(Tasks!$A:$A,$A674,Tasks!$B:$B,$B674,Tasks!$I:$I,"&lt;="&amp;INDEX(Weeks!$D:$D,MATCH($C674,Weeks!$A:$A,0)),Tasks!$I:$I,"&lt;&gt;")/COUNTIFS(Tasks!$A:$A,$A674,Tasks!$B:$B,$B674)*100,0),"")</f>
        <v/>
      </c>
      <c r="G674" s="5" t="str">
        <f>IFERROR(ROUND(COUNTIFS(Tasks!$A:$A,$A674,Tasks!$B:$B,$B674,Tasks!$H:$H,"&lt;="&amp;INDEX(Weeks!$D:$D,MATCH($C674,Weeks!$A:$A,0)))/COUNTIFS(Tasks!$A:$A,$A674,Tasks!$B:$B,$B674)*100,0),"")</f>
        <v/>
      </c>
      <c r="I674">
        <f>COUNTIFS(Tasks!$A:$A,$A674,Tasks!$B:$B,$B674,Tasks!$G:$G,"&lt;="&amp;INDEX(Weeks!$D:$D,MATCH($C674,Weeks!$A:$A,0)))-COUNTIFS(Tasks!$A:$A,$A674,Tasks!$B:$B,$B674,Tasks!$I:$I,"&lt;="&amp;INDEX(Weeks!$D:$D,MATCH($C674,Weeks!$A:$A,0)),Tasks!$I:$I,"&lt;&gt;")</f>
        <v>0</v>
      </c>
      <c r="J674">
        <f>COUNTIFS(Tasks!$A:$A,$A674,Tasks!$B:$B,$B674,
Tasks!$I:$I,"&gt;"&amp;IFERROR(INDEX(Weeks!$D:$D,MATCH($C674-1,Weeks!$A:$A,0)),DATE(2000,1,1)),
Tasks!$I:$I,"&lt;="&amp;INDEX(Weeks!$D:$D,MATCH($C674,Weeks!$A:$A,0)),
Tasks!$I:$I,"&lt;&gt;")</f>
        <v>0</v>
      </c>
    </row>
    <row r="675" spans="1:10" ht="15" customHeight="1">
      <c r="A675" t="s">
        <v>102</v>
      </c>
      <c r="B675" t="s">
        <v>103</v>
      </c>
      <c r="C675">
        <v>50</v>
      </c>
      <c r="D675">
        <v>12</v>
      </c>
      <c r="E675">
        <v>2</v>
      </c>
      <c r="F675" s="5" t="str">
        <f>IFERROR(ROUND(COUNTIFS(Tasks!$A:$A,$A675,Tasks!$B:$B,$B675,Tasks!$I:$I,"&lt;="&amp;INDEX(Weeks!$D:$D,MATCH($C675,Weeks!$A:$A,0)),Tasks!$I:$I,"&lt;&gt;")/COUNTIFS(Tasks!$A:$A,$A675,Tasks!$B:$B,$B675)*100,0),"")</f>
        <v/>
      </c>
      <c r="G675" s="5" t="str">
        <f>IFERROR(ROUND(COUNTIFS(Tasks!$A:$A,$A675,Tasks!$B:$B,$B675,Tasks!$H:$H,"&lt;="&amp;INDEX(Weeks!$D:$D,MATCH($C675,Weeks!$A:$A,0)))/COUNTIFS(Tasks!$A:$A,$A675,Tasks!$B:$B,$B675)*100,0),"")</f>
        <v/>
      </c>
      <c r="I675">
        <f>COUNTIFS(Tasks!$A:$A,$A675,Tasks!$B:$B,$B675,Tasks!$G:$G,"&lt;="&amp;INDEX(Weeks!$D:$D,MATCH($C675,Weeks!$A:$A,0)))-COUNTIFS(Tasks!$A:$A,$A675,Tasks!$B:$B,$B675,Tasks!$I:$I,"&lt;="&amp;INDEX(Weeks!$D:$D,MATCH($C675,Weeks!$A:$A,0)),Tasks!$I:$I,"&lt;&gt;")</f>
        <v>0</v>
      </c>
      <c r="J675">
        <f>COUNTIFS(Tasks!$A:$A,$A675,Tasks!$B:$B,$B675,
Tasks!$I:$I,"&gt;"&amp;IFERROR(INDEX(Weeks!$D:$D,MATCH($C675-1,Weeks!$A:$A,0)),DATE(2000,1,1)),
Tasks!$I:$I,"&lt;="&amp;INDEX(Weeks!$D:$D,MATCH($C675,Weeks!$A:$A,0)),
Tasks!$I:$I,"&lt;&gt;")</f>
        <v>0</v>
      </c>
    </row>
    <row r="676" spans="1:10" ht="15" customHeight="1">
      <c r="A676" t="s">
        <v>102</v>
      </c>
      <c r="B676" t="s">
        <v>103</v>
      </c>
      <c r="C676">
        <v>51</v>
      </c>
      <c r="D676">
        <v>12</v>
      </c>
      <c r="E676">
        <v>3</v>
      </c>
      <c r="F676" s="5" t="str">
        <f>IFERROR(ROUND(COUNTIFS(Tasks!$A:$A,$A676,Tasks!$B:$B,$B676,Tasks!$I:$I,"&lt;="&amp;INDEX(Weeks!$D:$D,MATCH($C676,Weeks!$A:$A,0)),Tasks!$I:$I,"&lt;&gt;")/COUNTIFS(Tasks!$A:$A,$A676,Tasks!$B:$B,$B676)*100,0),"")</f>
        <v/>
      </c>
      <c r="G676" s="5" t="str">
        <f>IFERROR(ROUND(COUNTIFS(Tasks!$A:$A,$A676,Tasks!$B:$B,$B676,Tasks!$H:$H,"&lt;="&amp;INDEX(Weeks!$D:$D,MATCH($C676,Weeks!$A:$A,0)))/COUNTIFS(Tasks!$A:$A,$A676,Tasks!$B:$B,$B676)*100,0),"")</f>
        <v/>
      </c>
      <c r="I676">
        <f>COUNTIFS(Tasks!$A:$A,$A676,Tasks!$B:$B,$B676,Tasks!$G:$G,"&lt;="&amp;INDEX(Weeks!$D:$D,MATCH($C676,Weeks!$A:$A,0)))-COUNTIFS(Tasks!$A:$A,$A676,Tasks!$B:$B,$B676,Tasks!$I:$I,"&lt;="&amp;INDEX(Weeks!$D:$D,MATCH($C676,Weeks!$A:$A,0)),Tasks!$I:$I,"&lt;&gt;")</f>
        <v>0</v>
      </c>
      <c r="J676">
        <f>COUNTIFS(Tasks!$A:$A,$A676,Tasks!$B:$B,$B676,
Tasks!$I:$I,"&gt;"&amp;IFERROR(INDEX(Weeks!$D:$D,MATCH($C676-1,Weeks!$A:$A,0)),DATE(2000,1,1)),
Tasks!$I:$I,"&lt;="&amp;INDEX(Weeks!$D:$D,MATCH($C676,Weeks!$A:$A,0)),
Tasks!$I:$I,"&lt;&gt;")</f>
        <v>0</v>
      </c>
    </row>
    <row r="677" spans="1:10" ht="15" customHeight="1">
      <c r="A677" t="s">
        <v>102</v>
      </c>
      <c r="B677" t="s">
        <v>103</v>
      </c>
      <c r="C677">
        <v>52</v>
      </c>
      <c r="D677">
        <v>12</v>
      </c>
      <c r="E677">
        <v>4</v>
      </c>
      <c r="F677" s="5" t="str">
        <f>IFERROR(ROUND(COUNTIFS(Tasks!$A:$A,$A677,Tasks!$B:$B,$B677,Tasks!$I:$I,"&lt;="&amp;INDEX(Weeks!$D:$D,MATCH($C677,Weeks!$A:$A,0)),Tasks!$I:$I,"&lt;&gt;")/COUNTIFS(Tasks!$A:$A,$A677,Tasks!$B:$B,$B677)*100,0),"")</f>
        <v/>
      </c>
      <c r="G677" s="5" t="str">
        <f>IFERROR(ROUND(COUNTIFS(Tasks!$A:$A,$A677,Tasks!$B:$B,$B677,Tasks!$H:$H,"&lt;="&amp;INDEX(Weeks!$D:$D,MATCH($C677,Weeks!$A:$A,0)))/COUNTIFS(Tasks!$A:$A,$A677,Tasks!$B:$B,$B677)*100,0),"")</f>
        <v/>
      </c>
      <c r="I677">
        <f>COUNTIFS(Tasks!$A:$A,$A677,Tasks!$B:$B,$B677,Tasks!$G:$G,"&lt;="&amp;INDEX(Weeks!$D:$D,MATCH($C677,Weeks!$A:$A,0)))-COUNTIFS(Tasks!$A:$A,$A677,Tasks!$B:$B,$B677,Tasks!$I:$I,"&lt;="&amp;INDEX(Weeks!$D:$D,MATCH($C677,Weeks!$A:$A,0)),Tasks!$I:$I,"&lt;&gt;")</f>
        <v>0</v>
      </c>
      <c r="J677">
        <f>COUNTIFS(Tasks!$A:$A,$A677,Tasks!$B:$B,$B677,
Tasks!$I:$I,"&gt;"&amp;IFERROR(INDEX(Weeks!$D:$D,MATCH($C677-1,Weeks!$A:$A,0)),DATE(2000,1,1)),
Tasks!$I:$I,"&lt;="&amp;INDEX(Weeks!$D:$D,MATCH($C677,Weeks!$A:$A,0)),
Tasks!$I:$I,"&lt;&gt;")</f>
        <v>0</v>
      </c>
    </row>
    <row r="678" spans="1:10" ht="15" customHeight="1">
      <c r="A678" t="s">
        <v>102</v>
      </c>
      <c r="B678" t="s">
        <v>104</v>
      </c>
      <c r="C678">
        <v>1</v>
      </c>
      <c r="D678">
        <v>1</v>
      </c>
      <c r="E678">
        <v>1</v>
      </c>
      <c r="F678" s="5" t="str">
        <f>IFERROR(ROUND(COUNTIFS(Tasks!$A:$A,$A678,Tasks!$B:$B,$B678,Tasks!$I:$I,"&lt;="&amp;INDEX(Weeks!$D:$D,MATCH($C678,Weeks!$A:$A,0)),Tasks!$I:$I,"&lt;&gt;")/COUNTIFS(Tasks!$A:$A,$A678,Tasks!$B:$B,$B678)*100,0),"")</f>
        <v/>
      </c>
      <c r="G678" s="5" t="str">
        <f>IFERROR(ROUND(COUNTIFS(Tasks!$A:$A,$A678,Tasks!$B:$B,$B678,Tasks!$H:$H,"&lt;="&amp;INDEX(Weeks!$D:$D,MATCH($C678,Weeks!$A:$A,0)))/COUNTIFS(Tasks!$A:$A,$A678,Tasks!$B:$B,$B678)*100,0),"")</f>
        <v/>
      </c>
      <c r="H678" t="s">
        <v>101</v>
      </c>
      <c r="I678">
        <f>COUNTIFS(Tasks!$A:$A,$A678,Tasks!$B:$B,$B678,Tasks!$G:$G,"&lt;="&amp;INDEX(Weeks!$D:$D,MATCH($C678,Weeks!$A:$A,0)))-COUNTIFS(Tasks!$A:$A,$A678,Tasks!$B:$B,$B678,Tasks!$I:$I,"&lt;="&amp;INDEX(Weeks!$D:$D,MATCH($C678,Weeks!$A:$A,0)),Tasks!$I:$I,"&lt;&gt;")</f>
        <v>0</v>
      </c>
      <c r="J678">
        <f>COUNTIFS(Tasks!$A:$A,$A678,Tasks!$B:$B,$B678,
Tasks!$I:$I,"&gt;"&amp;IFERROR(INDEX(Weeks!$D:$D,MATCH($C678-1,Weeks!$A:$A,0)),DATE(2000,1,1)),
Tasks!$I:$I,"&lt;="&amp;INDEX(Weeks!$D:$D,MATCH($C678,Weeks!$A:$A,0)),
Tasks!$I:$I,"&lt;&gt;")</f>
        <v>0</v>
      </c>
    </row>
    <row r="679" spans="1:10" ht="15" customHeight="1">
      <c r="A679" t="s">
        <v>102</v>
      </c>
      <c r="B679" t="s">
        <v>104</v>
      </c>
      <c r="C679">
        <v>2</v>
      </c>
      <c r="D679">
        <v>1</v>
      </c>
      <c r="E679">
        <v>2</v>
      </c>
      <c r="F679" s="5" t="str">
        <f>IFERROR(ROUND(COUNTIFS(Tasks!$A:$A,$A679,Tasks!$B:$B,$B679,Tasks!$I:$I,"&lt;="&amp;INDEX(Weeks!$D:$D,MATCH($C679,Weeks!$A:$A,0)),Tasks!$I:$I,"&lt;&gt;")/COUNTIFS(Tasks!$A:$A,$A679,Tasks!$B:$B,$B679)*100,0),"")</f>
        <v/>
      </c>
      <c r="G679" s="5" t="str">
        <f>IFERROR(ROUND(COUNTIFS(Tasks!$A:$A,$A679,Tasks!$B:$B,$B679,Tasks!$H:$H,"&lt;="&amp;INDEX(Weeks!$D:$D,MATCH($C679,Weeks!$A:$A,0)))/COUNTIFS(Tasks!$A:$A,$A679,Tasks!$B:$B,$B679)*100,0),"")</f>
        <v/>
      </c>
      <c r="H679" t="s">
        <v>101</v>
      </c>
      <c r="I679">
        <f>COUNTIFS(Tasks!$A:$A,$A679,Tasks!$B:$B,$B679,Tasks!$G:$G,"&lt;="&amp;INDEX(Weeks!$D:$D,MATCH($C679,Weeks!$A:$A,0)))-COUNTIFS(Tasks!$A:$A,$A679,Tasks!$B:$B,$B679,Tasks!$I:$I,"&lt;="&amp;INDEX(Weeks!$D:$D,MATCH($C679,Weeks!$A:$A,0)),Tasks!$I:$I,"&lt;&gt;")</f>
        <v>0</v>
      </c>
      <c r="J679">
        <f>COUNTIFS(Tasks!$A:$A,$A679,Tasks!$B:$B,$B679,
Tasks!$I:$I,"&gt;"&amp;IFERROR(INDEX(Weeks!$D:$D,MATCH($C679-1,Weeks!$A:$A,0)),DATE(2000,1,1)),
Tasks!$I:$I,"&lt;="&amp;INDEX(Weeks!$D:$D,MATCH($C679,Weeks!$A:$A,0)),
Tasks!$I:$I,"&lt;&gt;")</f>
        <v>0</v>
      </c>
    </row>
    <row r="680" spans="1:10" ht="15" customHeight="1">
      <c r="A680" t="s">
        <v>102</v>
      </c>
      <c r="B680" t="s">
        <v>104</v>
      </c>
      <c r="C680">
        <v>3</v>
      </c>
      <c r="D680">
        <v>1</v>
      </c>
      <c r="E680">
        <v>3</v>
      </c>
      <c r="F680" s="5" t="str">
        <f>IFERROR(ROUND(COUNTIFS(Tasks!$A:$A,$A680,Tasks!$B:$B,$B680,Tasks!$I:$I,"&lt;="&amp;INDEX(Weeks!$D:$D,MATCH($C680,Weeks!$A:$A,0)),Tasks!$I:$I,"&lt;&gt;")/COUNTIFS(Tasks!$A:$A,$A680,Tasks!$B:$B,$B680)*100,0),"")</f>
        <v/>
      </c>
      <c r="G680" s="5" t="str">
        <f>IFERROR(ROUND(COUNTIFS(Tasks!$A:$A,$A680,Tasks!$B:$B,$B680,Tasks!$H:$H,"&lt;="&amp;INDEX(Weeks!$D:$D,MATCH($C680,Weeks!$A:$A,0)))/COUNTIFS(Tasks!$A:$A,$A680,Tasks!$B:$B,$B680)*100,0),"")</f>
        <v/>
      </c>
      <c r="H680" t="s">
        <v>101</v>
      </c>
      <c r="I680">
        <f>COUNTIFS(Tasks!$A:$A,$A680,Tasks!$B:$B,$B680,Tasks!$G:$G,"&lt;="&amp;INDEX(Weeks!$D:$D,MATCH($C680,Weeks!$A:$A,0)))-COUNTIFS(Tasks!$A:$A,$A680,Tasks!$B:$B,$B680,Tasks!$I:$I,"&lt;="&amp;INDEX(Weeks!$D:$D,MATCH($C680,Weeks!$A:$A,0)),Tasks!$I:$I,"&lt;&gt;")</f>
        <v>0</v>
      </c>
      <c r="J680">
        <f>COUNTIFS(Tasks!$A:$A,$A680,Tasks!$B:$B,$B680,
Tasks!$I:$I,"&gt;"&amp;IFERROR(INDEX(Weeks!$D:$D,MATCH($C680-1,Weeks!$A:$A,0)),DATE(2000,1,1)),
Tasks!$I:$I,"&lt;="&amp;INDEX(Weeks!$D:$D,MATCH($C680,Weeks!$A:$A,0)),
Tasks!$I:$I,"&lt;&gt;")</f>
        <v>0</v>
      </c>
    </row>
    <row r="681" spans="1:10" ht="15" customHeight="1">
      <c r="A681" t="s">
        <v>102</v>
      </c>
      <c r="B681" t="s">
        <v>104</v>
      </c>
      <c r="C681">
        <v>4</v>
      </c>
      <c r="D681">
        <v>1</v>
      </c>
      <c r="E681">
        <v>4</v>
      </c>
      <c r="F681" s="5" t="str">
        <f>IFERROR(ROUND(COUNTIFS(Tasks!$A:$A,$A681,Tasks!$B:$B,$B681,Tasks!$I:$I,"&lt;="&amp;INDEX(Weeks!$D:$D,MATCH($C681,Weeks!$A:$A,0)),Tasks!$I:$I,"&lt;&gt;")/COUNTIFS(Tasks!$A:$A,$A681,Tasks!$B:$B,$B681)*100,0),"")</f>
        <v/>
      </c>
      <c r="G681" s="5" t="str">
        <f>IFERROR(ROUND(COUNTIFS(Tasks!$A:$A,$A681,Tasks!$B:$B,$B681,Tasks!$H:$H,"&lt;="&amp;INDEX(Weeks!$D:$D,MATCH($C681,Weeks!$A:$A,0)))/COUNTIFS(Tasks!$A:$A,$A681,Tasks!$B:$B,$B681)*100,0),"")</f>
        <v/>
      </c>
      <c r="H681" t="s">
        <v>101</v>
      </c>
      <c r="I681">
        <f>COUNTIFS(Tasks!$A:$A,$A681,Tasks!$B:$B,$B681,Tasks!$G:$G,"&lt;="&amp;INDEX(Weeks!$D:$D,MATCH($C681,Weeks!$A:$A,0)))-COUNTIFS(Tasks!$A:$A,$A681,Tasks!$B:$B,$B681,Tasks!$I:$I,"&lt;="&amp;INDEX(Weeks!$D:$D,MATCH($C681,Weeks!$A:$A,0)),Tasks!$I:$I,"&lt;&gt;")</f>
        <v>0</v>
      </c>
      <c r="J681">
        <f>COUNTIFS(Tasks!$A:$A,$A681,Tasks!$B:$B,$B681,
Tasks!$I:$I,"&gt;"&amp;IFERROR(INDEX(Weeks!$D:$D,MATCH($C681-1,Weeks!$A:$A,0)),DATE(2000,1,1)),
Tasks!$I:$I,"&lt;="&amp;INDEX(Weeks!$D:$D,MATCH($C681,Weeks!$A:$A,0)),
Tasks!$I:$I,"&lt;&gt;")</f>
        <v>0</v>
      </c>
    </row>
    <row r="682" spans="1:10" ht="15" customHeight="1">
      <c r="A682" t="s">
        <v>102</v>
      </c>
      <c r="B682" t="s">
        <v>104</v>
      </c>
      <c r="C682">
        <v>5</v>
      </c>
      <c r="D682">
        <v>1</v>
      </c>
      <c r="E682">
        <v>5</v>
      </c>
      <c r="F682" s="5" t="str">
        <f>IFERROR(ROUND(COUNTIFS(Tasks!$A:$A,$A682,Tasks!$B:$B,$B682,Tasks!$I:$I,"&lt;="&amp;INDEX(Weeks!$D:$D,MATCH($C682,Weeks!$A:$A,0)),Tasks!$I:$I,"&lt;&gt;")/COUNTIFS(Tasks!$A:$A,$A682,Tasks!$B:$B,$B682)*100,0),"")</f>
        <v/>
      </c>
      <c r="G682" s="5" t="str">
        <f>IFERROR(ROUND(COUNTIFS(Tasks!$A:$A,$A682,Tasks!$B:$B,$B682,Tasks!$H:$H,"&lt;="&amp;INDEX(Weeks!$D:$D,MATCH($C682,Weeks!$A:$A,0)))/COUNTIFS(Tasks!$A:$A,$A682,Tasks!$B:$B,$B682)*100,0),"")</f>
        <v/>
      </c>
      <c r="H682" t="s">
        <v>101</v>
      </c>
      <c r="I682">
        <f>COUNTIFS(Tasks!$A:$A,$A682,Tasks!$B:$B,$B682,Tasks!$G:$G,"&lt;="&amp;INDEX(Weeks!$D:$D,MATCH($C682,Weeks!$A:$A,0)))-COUNTIFS(Tasks!$A:$A,$A682,Tasks!$B:$B,$B682,Tasks!$I:$I,"&lt;="&amp;INDEX(Weeks!$D:$D,MATCH($C682,Weeks!$A:$A,0)),Tasks!$I:$I,"&lt;&gt;")</f>
        <v>0</v>
      </c>
      <c r="J682">
        <f>COUNTIFS(Tasks!$A:$A,$A682,Tasks!$B:$B,$B682,
Tasks!$I:$I,"&gt;"&amp;IFERROR(INDEX(Weeks!$D:$D,MATCH($C682-1,Weeks!$A:$A,0)),DATE(2000,1,1)),
Tasks!$I:$I,"&lt;="&amp;INDEX(Weeks!$D:$D,MATCH($C682,Weeks!$A:$A,0)),
Tasks!$I:$I,"&lt;&gt;")</f>
        <v>0</v>
      </c>
    </row>
    <row r="683" spans="1:10" ht="15" customHeight="1">
      <c r="A683" t="s">
        <v>102</v>
      </c>
      <c r="B683" t="s">
        <v>104</v>
      </c>
      <c r="C683">
        <v>6</v>
      </c>
      <c r="D683">
        <v>2</v>
      </c>
      <c r="E683">
        <v>1</v>
      </c>
      <c r="F683" s="5" t="str">
        <f>IFERROR(ROUND(COUNTIFS(Tasks!$A:$A,$A683,Tasks!$B:$B,$B683,Tasks!$I:$I,"&lt;="&amp;INDEX(Weeks!$D:$D,MATCH($C683,Weeks!$A:$A,0)),Tasks!$I:$I,"&lt;&gt;")/COUNTIFS(Tasks!$A:$A,$A683,Tasks!$B:$B,$B683)*100,0),"")</f>
        <v/>
      </c>
      <c r="G683" s="5" t="str">
        <f>IFERROR(ROUND(COUNTIFS(Tasks!$A:$A,$A683,Tasks!$B:$B,$B683,Tasks!$H:$H,"&lt;="&amp;INDEX(Weeks!$D:$D,MATCH($C683,Weeks!$A:$A,0)))/COUNTIFS(Tasks!$A:$A,$A683,Tasks!$B:$B,$B683)*100,0),"")</f>
        <v/>
      </c>
      <c r="H683" t="s">
        <v>101</v>
      </c>
      <c r="I683">
        <f>COUNTIFS(Tasks!$A:$A,$A683,Tasks!$B:$B,$B683,Tasks!$G:$G,"&lt;="&amp;INDEX(Weeks!$D:$D,MATCH($C683,Weeks!$A:$A,0)))-COUNTIFS(Tasks!$A:$A,$A683,Tasks!$B:$B,$B683,Tasks!$I:$I,"&lt;="&amp;INDEX(Weeks!$D:$D,MATCH($C683,Weeks!$A:$A,0)),Tasks!$I:$I,"&lt;&gt;")</f>
        <v>0</v>
      </c>
      <c r="J683">
        <f>COUNTIFS(Tasks!$A:$A,$A683,Tasks!$B:$B,$B683,
Tasks!$I:$I,"&gt;"&amp;IFERROR(INDEX(Weeks!$D:$D,MATCH($C683-1,Weeks!$A:$A,0)),DATE(2000,1,1)),
Tasks!$I:$I,"&lt;="&amp;INDEX(Weeks!$D:$D,MATCH($C683,Weeks!$A:$A,0)),
Tasks!$I:$I,"&lt;&gt;")</f>
        <v>0</v>
      </c>
    </row>
    <row r="684" spans="1:10" ht="15" customHeight="1">
      <c r="A684" t="s">
        <v>102</v>
      </c>
      <c r="B684" t="s">
        <v>104</v>
      </c>
      <c r="C684">
        <v>7</v>
      </c>
      <c r="D684">
        <v>2</v>
      </c>
      <c r="E684">
        <v>2</v>
      </c>
      <c r="F684" s="5" t="str">
        <f>IFERROR(ROUND(COUNTIFS(Tasks!$A:$A,$A684,Tasks!$B:$B,$B684,Tasks!$I:$I,"&lt;="&amp;INDEX(Weeks!$D:$D,MATCH($C684,Weeks!$A:$A,0)),Tasks!$I:$I,"&lt;&gt;")/COUNTIFS(Tasks!$A:$A,$A684,Tasks!$B:$B,$B684)*100,0),"")</f>
        <v/>
      </c>
      <c r="G684" s="5" t="str">
        <f>IFERROR(ROUND(COUNTIFS(Tasks!$A:$A,$A684,Tasks!$B:$B,$B684,Tasks!$H:$H,"&lt;="&amp;INDEX(Weeks!$D:$D,MATCH($C684,Weeks!$A:$A,0)))/COUNTIFS(Tasks!$A:$A,$A684,Tasks!$B:$B,$B684)*100,0),"")</f>
        <v/>
      </c>
      <c r="H684" t="s">
        <v>101</v>
      </c>
      <c r="I684">
        <f>COUNTIFS(Tasks!$A:$A,$A684,Tasks!$B:$B,$B684,Tasks!$G:$G,"&lt;="&amp;INDEX(Weeks!$D:$D,MATCH($C684,Weeks!$A:$A,0)))-COUNTIFS(Tasks!$A:$A,$A684,Tasks!$B:$B,$B684,Tasks!$I:$I,"&lt;="&amp;INDEX(Weeks!$D:$D,MATCH($C684,Weeks!$A:$A,0)),Tasks!$I:$I,"&lt;&gt;")</f>
        <v>0</v>
      </c>
      <c r="J684">
        <f>COUNTIFS(Tasks!$A:$A,$A684,Tasks!$B:$B,$B684,
Tasks!$I:$I,"&gt;"&amp;IFERROR(INDEX(Weeks!$D:$D,MATCH($C684-1,Weeks!$A:$A,0)),DATE(2000,1,1)),
Tasks!$I:$I,"&lt;="&amp;INDEX(Weeks!$D:$D,MATCH($C684,Weeks!$A:$A,0)),
Tasks!$I:$I,"&lt;&gt;")</f>
        <v>0</v>
      </c>
    </row>
    <row r="685" spans="1:10" ht="15" customHeight="1">
      <c r="A685" t="s">
        <v>102</v>
      </c>
      <c r="B685" t="s">
        <v>104</v>
      </c>
      <c r="C685">
        <v>8</v>
      </c>
      <c r="D685">
        <v>2</v>
      </c>
      <c r="E685">
        <v>3</v>
      </c>
      <c r="F685" s="5" t="str">
        <f>IFERROR(ROUND(COUNTIFS(Tasks!$A:$A,$A685,Tasks!$B:$B,$B685,Tasks!$I:$I,"&lt;="&amp;INDEX(Weeks!$D:$D,MATCH($C685,Weeks!$A:$A,0)),Tasks!$I:$I,"&lt;&gt;")/COUNTIFS(Tasks!$A:$A,$A685,Tasks!$B:$B,$B685)*100,0),"")</f>
        <v/>
      </c>
      <c r="G685" s="5" t="str">
        <f>IFERROR(ROUND(COUNTIFS(Tasks!$A:$A,$A685,Tasks!$B:$B,$B685,Tasks!$H:$H,"&lt;="&amp;INDEX(Weeks!$D:$D,MATCH($C685,Weeks!$A:$A,0)))/COUNTIFS(Tasks!$A:$A,$A685,Tasks!$B:$B,$B685)*100,0),"")</f>
        <v/>
      </c>
      <c r="H685" t="s">
        <v>101</v>
      </c>
      <c r="I685">
        <f>COUNTIFS(Tasks!$A:$A,$A685,Tasks!$B:$B,$B685,Tasks!$G:$G,"&lt;="&amp;INDEX(Weeks!$D:$D,MATCH($C685,Weeks!$A:$A,0)))-COUNTIFS(Tasks!$A:$A,$A685,Tasks!$B:$B,$B685,Tasks!$I:$I,"&lt;="&amp;INDEX(Weeks!$D:$D,MATCH($C685,Weeks!$A:$A,0)),Tasks!$I:$I,"&lt;&gt;")</f>
        <v>0</v>
      </c>
      <c r="J685">
        <f>COUNTIFS(Tasks!$A:$A,$A685,Tasks!$B:$B,$B685,
Tasks!$I:$I,"&gt;"&amp;IFERROR(INDEX(Weeks!$D:$D,MATCH($C685-1,Weeks!$A:$A,0)),DATE(2000,1,1)),
Tasks!$I:$I,"&lt;="&amp;INDEX(Weeks!$D:$D,MATCH($C685,Weeks!$A:$A,0)),
Tasks!$I:$I,"&lt;&gt;")</f>
        <v>0</v>
      </c>
    </row>
    <row r="686" spans="1:10" ht="15" customHeight="1">
      <c r="A686" t="s">
        <v>102</v>
      </c>
      <c r="B686" t="s">
        <v>104</v>
      </c>
      <c r="C686">
        <v>9</v>
      </c>
      <c r="D686">
        <v>2</v>
      </c>
      <c r="E686">
        <v>4</v>
      </c>
      <c r="F686" s="5" t="str">
        <f>IFERROR(ROUND(COUNTIFS(Tasks!$A:$A,$A686,Tasks!$B:$B,$B686,Tasks!$I:$I,"&lt;="&amp;INDEX(Weeks!$D:$D,MATCH($C686,Weeks!$A:$A,0)),Tasks!$I:$I,"&lt;&gt;")/COUNTIFS(Tasks!$A:$A,$A686,Tasks!$B:$B,$B686)*100,0),"")</f>
        <v/>
      </c>
      <c r="G686" s="5" t="str">
        <f>IFERROR(ROUND(COUNTIFS(Tasks!$A:$A,$A686,Tasks!$B:$B,$B686,Tasks!$H:$H,"&lt;="&amp;INDEX(Weeks!$D:$D,MATCH($C686,Weeks!$A:$A,0)))/COUNTIFS(Tasks!$A:$A,$A686,Tasks!$B:$B,$B686)*100,0),"")</f>
        <v/>
      </c>
      <c r="H686" t="s">
        <v>101</v>
      </c>
      <c r="I686">
        <f>COUNTIFS(Tasks!$A:$A,$A686,Tasks!$B:$B,$B686,Tasks!$G:$G,"&lt;="&amp;INDEX(Weeks!$D:$D,MATCH($C686,Weeks!$A:$A,0)))-COUNTIFS(Tasks!$A:$A,$A686,Tasks!$B:$B,$B686,Tasks!$I:$I,"&lt;="&amp;INDEX(Weeks!$D:$D,MATCH($C686,Weeks!$A:$A,0)),Tasks!$I:$I,"&lt;&gt;")</f>
        <v>0</v>
      </c>
      <c r="J686">
        <f>COUNTIFS(Tasks!$A:$A,$A686,Tasks!$B:$B,$B686,
Tasks!$I:$I,"&gt;"&amp;IFERROR(INDEX(Weeks!$D:$D,MATCH($C686-1,Weeks!$A:$A,0)),DATE(2000,1,1)),
Tasks!$I:$I,"&lt;="&amp;INDEX(Weeks!$D:$D,MATCH($C686,Weeks!$A:$A,0)),
Tasks!$I:$I,"&lt;&gt;")</f>
        <v>0</v>
      </c>
    </row>
    <row r="687" spans="1:10" ht="15" customHeight="1">
      <c r="A687" t="s">
        <v>102</v>
      </c>
      <c r="B687" t="s">
        <v>104</v>
      </c>
      <c r="C687">
        <v>10</v>
      </c>
      <c r="D687">
        <v>3</v>
      </c>
      <c r="E687">
        <v>1</v>
      </c>
      <c r="F687" s="5" t="str">
        <f>IFERROR(ROUND(COUNTIFS(Tasks!$A:$A,$A687,Tasks!$B:$B,$B687,Tasks!$I:$I,"&lt;="&amp;INDEX(Weeks!$D:$D,MATCH($C687,Weeks!$A:$A,0)),Tasks!$I:$I,"&lt;&gt;")/COUNTIFS(Tasks!$A:$A,$A687,Tasks!$B:$B,$B687)*100,0),"")</f>
        <v/>
      </c>
      <c r="G687" s="5" t="str">
        <f>IFERROR(ROUND(COUNTIFS(Tasks!$A:$A,$A687,Tasks!$B:$B,$B687,Tasks!$H:$H,"&lt;="&amp;INDEX(Weeks!$D:$D,MATCH($C687,Weeks!$A:$A,0)))/COUNTIFS(Tasks!$A:$A,$A687,Tasks!$B:$B,$B687)*100,0),"")</f>
        <v/>
      </c>
      <c r="H687" t="s">
        <v>101</v>
      </c>
      <c r="I687">
        <f>COUNTIFS(Tasks!$A:$A,$A687,Tasks!$B:$B,$B687,Tasks!$G:$G,"&lt;="&amp;INDEX(Weeks!$D:$D,MATCH($C687,Weeks!$A:$A,0)))-COUNTIFS(Tasks!$A:$A,$A687,Tasks!$B:$B,$B687,Tasks!$I:$I,"&lt;="&amp;INDEX(Weeks!$D:$D,MATCH($C687,Weeks!$A:$A,0)),Tasks!$I:$I,"&lt;&gt;")</f>
        <v>0</v>
      </c>
      <c r="J687">
        <f>COUNTIFS(Tasks!$A:$A,$A687,Tasks!$B:$B,$B687,
Tasks!$I:$I,"&gt;"&amp;IFERROR(INDEX(Weeks!$D:$D,MATCH($C687-1,Weeks!$A:$A,0)),DATE(2000,1,1)),
Tasks!$I:$I,"&lt;="&amp;INDEX(Weeks!$D:$D,MATCH($C687,Weeks!$A:$A,0)),
Tasks!$I:$I,"&lt;&gt;")</f>
        <v>0</v>
      </c>
    </row>
    <row r="688" spans="1:10" ht="15" customHeight="1">
      <c r="A688" t="s">
        <v>102</v>
      </c>
      <c r="B688" t="s">
        <v>104</v>
      </c>
      <c r="C688">
        <v>11</v>
      </c>
      <c r="D688">
        <v>3</v>
      </c>
      <c r="E688">
        <v>2</v>
      </c>
      <c r="F688" s="5" t="str">
        <f>IFERROR(ROUND(COUNTIFS(Tasks!$A:$A,$A688,Tasks!$B:$B,$B688,Tasks!$I:$I,"&lt;="&amp;INDEX(Weeks!$D:$D,MATCH($C688,Weeks!$A:$A,0)),Tasks!$I:$I,"&lt;&gt;")/COUNTIFS(Tasks!$A:$A,$A688,Tasks!$B:$B,$B688)*100,0),"")</f>
        <v/>
      </c>
      <c r="G688" s="5" t="str">
        <f>IFERROR(ROUND(COUNTIFS(Tasks!$A:$A,$A688,Tasks!$B:$B,$B688,Tasks!$H:$H,"&lt;="&amp;INDEX(Weeks!$D:$D,MATCH($C688,Weeks!$A:$A,0)))/COUNTIFS(Tasks!$A:$A,$A688,Tasks!$B:$B,$B688)*100,0),"")</f>
        <v/>
      </c>
      <c r="H688" t="s">
        <v>101</v>
      </c>
      <c r="I688">
        <f>COUNTIFS(Tasks!$A:$A,$A688,Tasks!$B:$B,$B688,Tasks!$G:$G,"&lt;="&amp;INDEX(Weeks!$D:$D,MATCH($C688,Weeks!$A:$A,0)))-COUNTIFS(Tasks!$A:$A,$A688,Tasks!$B:$B,$B688,Tasks!$I:$I,"&lt;="&amp;INDEX(Weeks!$D:$D,MATCH($C688,Weeks!$A:$A,0)),Tasks!$I:$I,"&lt;&gt;")</f>
        <v>0</v>
      </c>
      <c r="J688">
        <f>COUNTIFS(Tasks!$A:$A,$A688,Tasks!$B:$B,$B688,
Tasks!$I:$I,"&gt;"&amp;IFERROR(INDEX(Weeks!$D:$D,MATCH($C688-1,Weeks!$A:$A,0)),DATE(2000,1,1)),
Tasks!$I:$I,"&lt;="&amp;INDEX(Weeks!$D:$D,MATCH($C688,Weeks!$A:$A,0)),
Tasks!$I:$I,"&lt;&gt;")</f>
        <v>0</v>
      </c>
    </row>
    <row r="689" spans="1:10" ht="15" customHeight="1">
      <c r="A689" t="s">
        <v>102</v>
      </c>
      <c r="B689" t="s">
        <v>104</v>
      </c>
      <c r="C689">
        <v>12</v>
      </c>
      <c r="D689">
        <v>3</v>
      </c>
      <c r="E689">
        <v>3</v>
      </c>
      <c r="F689" s="5" t="str">
        <f>IFERROR(ROUND(COUNTIFS(Tasks!$A:$A,$A689,Tasks!$B:$B,$B689,Tasks!$I:$I,"&lt;="&amp;INDEX(Weeks!$D:$D,MATCH($C689,Weeks!$A:$A,0)),Tasks!$I:$I,"&lt;&gt;")/COUNTIFS(Tasks!$A:$A,$A689,Tasks!$B:$B,$B689)*100,0),"")</f>
        <v/>
      </c>
      <c r="G689" s="5" t="str">
        <f>IFERROR(ROUND(COUNTIFS(Tasks!$A:$A,$A689,Tasks!$B:$B,$B689,Tasks!$H:$H,"&lt;="&amp;INDEX(Weeks!$D:$D,MATCH($C689,Weeks!$A:$A,0)))/COUNTIFS(Tasks!$A:$A,$A689,Tasks!$B:$B,$B689)*100,0),"")</f>
        <v/>
      </c>
      <c r="H689" t="s">
        <v>101</v>
      </c>
      <c r="I689">
        <f>COUNTIFS(Tasks!$A:$A,$A689,Tasks!$B:$B,$B689,Tasks!$G:$G,"&lt;="&amp;INDEX(Weeks!$D:$D,MATCH($C689,Weeks!$A:$A,0)))-COUNTIFS(Tasks!$A:$A,$A689,Tasks!$B:$B,$B689,Tasks!$I:$I,"&lt;="&amp;INDEX(Weeks!$D:$D,MATCH($C689,Weeks!$A:$A,0)),Tasks!$I:$I,"&lt;&gt;")</f>
        <v>0</v>
      </c>
      <c r="J689">
        <f>COUNTIFS(Tasks!$A:$A,$A689,Tasks!$B:$B,$B689,
Tasks!$I:$I,"&gt;"&amp;IFERROR(INDEX(Weeks!$D:$D,MATCH($C689-1,Weeks!$A:$A,0)),DATE(2000,1,1)),
Tasks!$I:$I,"&lt;="&amp;INDEX(Weeks!$D:$D,MATCH($C689,Weeks!$A:$A,0)),
Tasks!$I:$I,"&lt;&gt;")</f>
        <v>0</v>
      </c>
    </row>
    <row r="690" spans="1:10" ht="15" customHeight="1">
      <c r="A690" t="s">
        <v>102</v>
      </c>
      <c r="B690" t="s">
        <v>104</v>
      </c>
      <c r="C690">
        <v>13</v>
      </c>
      <c r="D690">
        <v>3</v>
      </c>
      <c r="E690">
        <v>4</v>
      </c>
      <c r="F690" s="5" t="str">
        <f>IFERROR(ROUND(COUNTIFS(Tasks!$A:$A,$A690,Tasks!$B:$B,$B690,Tasks!$I:$I,"&lt;="&amp;INDEX(Weeks!$D:$D,MATCH($C690,Weeks!$A:$A,0)),Tasks!$I:$I,"&lt;&gt;")/COUNTIFS(Tasks!$A:$A,$A690,Tasks!$B:$B,$B690)*100,0),"")</f>
        <v/>
      </c>
      <c r="G690" s="5" t="str">
        <f>IFERROR(ROUND(COUNTIFS(Tasks!$A:$A,$A690,Tasks!$B:$B,$B690,Tasks!$H:$H,"&lt;="&amp;INDEX(Weeks!$D:$D,MATCH($C690,Weeks!$A:$A,0)))/COUNTIFS(Tasks!$A:$A,$A690,Tasks!$B:$B,$B690)*100,0),"")</f>
        <v/>
      </c>
      <c r="H690" t="s">
        <v>101</v>
      </c>
      <c r="I690">
        <f>COUNTIFS(Tasks!$A:$A,$A690,Tasks!$B:$B,$B690,Tasks!$G:$G,"&lt;="&amp;INDEX(Weeks!$D:$D,MATCH($C690,Weeks!$A:$A,0)))-COUNTIFS(Tasks!$A:$A,$A690,Tasks!$B:$B,$B690,Tasks!$I:$I,"&lt;="&amp;INDEX(Weeks!$D:$D,MATCH($C690,Weeks!$A:$A,0)),Tasks!$I:$I,"&lt;&gt;")</f>
        <v>0</v>
      </c>
      <c r="J690">
        <f>COUNTIFS(Tasks!$A:$A,$A690,Tasks!$B:$B,$B690,
Tasks!$I:$I,"&gt;"&amp;IFERROR(INDEX(Weeks!$D:$D,MATCH($C690-1,Weeks!$A:$A,0)),DATE(2000,1,1)),
Tasks!$I:$I,"&lt;="&amp;INDEX(Weeks!$D:$D,MATCH($C690,Weeks!$A:$A,0)),
Tasks!$I:$I,"&lt;&gt;")</f>
        <v>0</v>
      </c>
    </row>
    <row r="691" spans="1:10" ht="15" customHeight="1">
      <c r="A691" t="s">
        <v>102</v>
      </c>
      <c r="B691" t="s">
        <v>104</v>
      </c>
      <c r="C691">
        <v>14</v>
      </c>
      <c r="D691">
        <v>4</v>
      </c>
      <c r="E691">
        <v>1</v>
      </c>
      <c r="F691" s="5" t="str">
        <f>IFERROR(ROUND(COUNTIFS(Tasks!$A:$A,$A691,Tasks!$B:$B,$B691,Tasks!$I:$I,"&lt;="&amp;INDEX(Weeks!$D:$D,MATCH($C691,Weeks!$A:$A,0)),Tasks!$I:$I,"&lt;&gt;")/COUNTIFS(Tasks!$A:$A,$A691,Tasks!$B:$B,$B691)*100,0),"")</f>
        <v/>
      </c>
      <c r="G691" s="5" t="str">
        <f>IFERROR(ROUND(COUNTIFS(Tasks!$A:$A,$A691,Tasks!$B:$B,$B691,Tasks!$H:$H,"&lt;="&amp;INDEX(Weeks!$D:$D,MATCH($C691,Weeks!$A:$A,0)))/COUNTIFS(Tasks!$A:$A,$A691,Tasks!$B:$B,$B691)*100,0),"")</f>
        <v/>
      </c>
      <c r="H691" t="s">
        <v>101</v>
      </c>
      <c r="I691">
        <f>COUNTIFS(Tasks!$A:$A,$A691,Tasks!$B:$B,$B691,Tasks!$G:$G,"&lt;="&amp;INDEX(Weeks!$D:$D,MATCH($C691,Weeks!$A:$A,0)))-COUNTIFS(Tasks!$A:$A,$A691,Tasks!$B:$B,$B691,Tasks!$I:$I,"&lt;="&amp;INDEX(Weeks!$D:$D,MATCH($C691,Weeks!$A:$A,0)),Tasks!$I:$I,"&lt;&gt;")</f>
        <v>0</v>
      </c>
      <c r="J691">
        <f>COUNTIFS(Tasks!$A:$A,$A691,Tasks!$B:$B,$B691,
Tasks!$I:$I,"&gt;"&amp;IFERROR(INDEX(Weeks!$D:$D,MATCH($C691-1,Weeks!$A:$A,0)),DATE(2000,1,1)),
Tasks!$I:$I,"&lt;="&amp;INDEX(Weeks!$D:$D,MATCH($C691,Weeks!$A:$A,0)),
Tasks!$I:$I,"&lt;&gt;")</f>
        <v>0</v>
      </c>
    </row>
    <row r="692" spans="1:10" ht="15" customHeight="1">
      <c r="A692" t="s">
        <v>102</v>
      </c>
      <c r="B692" t="s">
        <v>104</v>
      </c>
      <c r="C692">
        <v>15</v>
      </c>
      <c r="D692">
        <v>4</v>
      </c>
      <c r="E692">
        <v>2</v>
      </c>
      <c r="F692" s="5" t="str">
        <f>IFERROR(ROUND(COUNTIFS(Tasks!$A:$A,$A692,Tasks!$B:$B,$B692,Tasks!$I:$I,"&lt;="&amp;INDEX(Weeks!$D:$D,MATCH($C692,Weeks!$A:$A,0)),Tasks!$I:$I,"&lt;&gt;")/COUNTIFS(Tasks!$A:$A,$A692,Tasks!$B:$B,$B692)*100,0),"")</f>
        <v/>
      </c>
      <c r="G692" s="5" t="str">
        <f>IFERROR(ROUND(COUNTIFS(Tasks!$A:$A,$A692,Tasks!$B:$B,$B692,Tasks!$H:$H,"&lt;="&amp;INDEX(Weeks!$D:$D,MATCH($C692,Weeks!$A:$A,0)))/COUNTIFS(Tasks!$A:$A,$A692,Tasks!$B:$B,$B692)*100,0),"")</f>
        <v/>
      </c>
      <c r="H692" t="s">
        <v>101</v>
      </c>
      <c r="I692">
        <f>COUNTIFS(Tasks!$A:$A,$A692,Tasks!$B:$B,$B692,Tasks!$G:$G,"&lt;="&amp;INDEX(Weeks!$D:$D,MATCH($C692,Weeks!$A:$A,0)))-COUNTIFS(Tasks!$A:$A,$A692,Tasks!$B:$B,$B692,Tasks!$I:$I,"&lt;="&amp;INDEX(Weeks!$D:$D,MATCH($C692,Weeks!$A:$A,0)),Tasks!$I:$I,"&lt;&gt;")</f>
        <v>0</v>
      </c>
      <c r="J692">
        <f>COUNTIFS(Tasks!$A:$A,$A692,Tasks!$B:$B,$B692,
Tasks!$I:$I,"&gt;"&amp;IFERROR(INDEX(Weeks!$D:$D,MATCH($C692-1,Weeks!$A:$A,0)),DATE(2000,1,1)),
Tasks!$I:$I,"&lt;="&amp;INDEX(Weeks!$D:$D,MATCH($C692,Weeks!$A:$A,0)),
Tasks!$I:$I,"&lt;&gt;")</f>
        <v>0</v>
      </c>
    </row>
    <row r="693" spans="1:10" ht="15" customHeight="1">
      <c r="A693" t="s">
        <v>102</v>
      </c>
      <c r="B693" t="s">
        <v>104</v>
      </c>
      <c r="C693">
        <v>16</v>
      </c>
      <c r="D693">
        <v>4</v>
      </c>
      <c r="E693">
        <v>3</v>
      </c>
      <c r="F693" s="5" t="str">
        <f>IFERROR(ROUND(COUNTIFS(Tasks!$A:$A,$A693,Tasks!$B:$B,$B693,Tasks!$I:$I,"&lt;="&amp;INDEX(Weeks!$D:$D,MATCH($C693,Weeks!$A:$A,0)),Tasks!$I:$I,"&lt;&gt;")/COUNTIFS(Tasks!$A:$A,$A693,Tasks!$B:$B,$B693)*100,0),"")</f>
        <v/>
      </c>
      <c r="G693" s="5" t="str">
        <f>IFERROR(ROUND(COUNTIFS(Tasks!$A:$A,$A693,Tasks!$B:$B,$B693,Tasks!$H:$H,"&lt;="&amp;INDEX(Weeks!$D:$D,MATCH($C693,Weeks!$A:$A,0)))/COUNTIFS(Tasks!$A:$A,$A693,Tasks!$B:$B,$B693)*100,0),"")</f>
        <v/>
      </c>
      <c r="H693" t="s">
        <v>101</v>
      </c>
      <c r="I693">
        <f>COUNTIFS(Tasks!$A:$A,$A693,Tasks!$B:$B,$B693,Tasks!$G:$G,"&lt;="&amp;INDEX(Weeks!$D:$D,MATCH($C693,Weeks!$A:$A,0)))-COUNTIFS(Tasks!$A:$A,$A693,Tasks!$B:$B,$B693,Tasks!$I:$I,"&lt;="&amp;INDEX(Weeks!$D:$D,MATCH($C693,Weeks!$A:$A,0)),Tasks!$I:$I,"&lt;&gt;")</f>
        <v>0</v>
      </c>
      <c r="J693">
        <f>COUNTIFS(Tasks!$A:$A,$A693,Tasks!$B:$B,$B693,
Tasks!$I:$I,"&gt;"&amp;IFERROR(INDEX(Weeks!$D:$D,MATCH($C693-1,Weeks!$A:$A,0)),DATE(2000,1,1)),
Tasks!$I:$I,"&lt;="&amp;INDEX(Weeks!$D:$D,MATCH($C693,Weeks!$A:$A,0)),
Tasks!$I:$I,"&lt;&gt;")</f>
        <v>0</v>
      </c>
    </row>
    <row r="694" spans="1:10" ht="15" customHeight="1">
      <c r="A694" t="s">
        <v>102</v>
      </c>
      <c r="B694" t="s">
        <v>104</v>
      </c>
      <c r="C694">
        <v>17</v>
      </c>
      <c r="D694">
        <v>4</v>
      </c>
      <c r="E694">
        <v>4</v>
      </c>
      <c r="F694" s="5" t="str">
        <f>IFERROR(ROUND(COUNTIFS(Tasks!$A:$A,$A694,Tasks!$B:$B,$B694,Tasks!$I:$I,"&lt;="&amp;INDEX(Weeks!$D:$D,MATCH($C694,Weeks!$A:$A,0)),Tasks!$I:$I,"&lt;&gt;")/COUNTIFS(Tasks!$A:$A,$A694,Tasks!$B:$B,$B694)*100,0),"")</f>
        <v/>
      </c>
      <c r="G694" s="5" t="str">
        <f>IFERROR(ROUND(COUNTIFS(Tasks!$A:$A,$A694,Tasks!$B:$B,$B694,Tasks!$H:$H,"&lt;="&amp;INDEX(Weeks!$D:$D,MATCH($C694,Weeks!$A:$A,0)))/COUNTIFS(Tasks!$A:$A,$A694,Tasks!$B:$B,$B694)*100,0),"")</f>
        <v/>
      </c>
      <c r="H694" t="s">
        <v>101</v>
      </c>
      <c r="I694">
        <f>COUNTIFS(Tasks!$A:$A,$A694,Tasks!$B:$B,$B694,Tasks!$G:$G,"&lt;="&amp;INDEX(Weeks!$D:$D,MATCH($C694,Weeks!$A:$A,0)))-COUNTIFS(Tasks!$A:$A,$A694,Tasks!$B:$B,$B694,Tasks!$I:$I,"&lt;="&amp;INDEX(Weeks!$D:$D,MATCH($C694,Weeks!$A:$A,0)),Tasks!$I:$I,"&lt;&gt;")</f>
        <v>0</v>
      </c>
      <c r="J694">
        <f>COUNTIFS(Tasks!$A:$A,$A694,Tasks!$B:$B,$B694,
Tasks!$I:$I,"&gt;"&amp;IFERROR(INDEX(Weeks!$D:$D,MATCH($C694-1,Weeks!$A:$A,0)),DATE(2000,1,1)),
Tasks!$I:$I,"&lt;="&amp;INDEX(Weeks!$D:$D,MATCH($C694,Weeks!$A:$A,0)),
Tasks!$I:$I,"&lt;&gt;")</f>
        <v>0</v>
      </c>
    </row>
    <row r="695" spans="1:10" ht="15" customHeight="1">
      <c r="A695" t="s">
        <v>102</v>
      </c>
      <c r="B695" t="s">
        <v>104</v>
      </c>
      <c r="C695">
        <v>18</v>
      </c>
      <c r="D695">
        <v>5</v>
      </c>
      <c r="E695">
        <v>1</v>
      </c>
      <c r="F695" s="5" t="str">
        <f>IFERROR(ROUND(COUNTIFS(Tasks!$A:$A,$A695,Tasks!$B:$B,$B695,Tasks!$I:$I,"&lt;="&amp;INDEX(Weeks!$D:$D,MATCH($C695,Weeks!$A:$A,0)),Tasks!$I:$I,"&lt;&gt;")/COUNTIFS(Tasks!$A:$A,$A695,Tasks!$B:$B,$B695)*100,0),"")</f>
        <v/>
      </c>
      <c r="G695" s="5" t="str">
        <f>IFERROR(ROUND(COUNTIFS(Tasks!$A:$A,$A695,Tasks!$B:$B,$B695,Tasks!$H:$H,"&lt;="&amp;INDEX(Weeks!$D:$D,MATCH($C695,Weeks!$A:$A,0)))/COUNTIFS(Tasks!$A:$A,$A695,Tasks!$B:$B,$B695)*100,0),"")</f>
        <v/>
      </c>
      <c r="H695" t="s">
        <v>101</v>
      </c>
      <c r="I695">
        <f>COUNTIFS(Tasks!$A:$A,$A695,Tasks!$B:$B,$B695,Tasks!$G:$G,"&lt;="&amp;INDEX(Weeks!$D:$D,MATCH($C695,Weeks!$A:$A,0)))-COUNTIFS(Tasks!$A:$A,$A695,Tasks!$B:$B,$B695,Tasks!$I:$I,"&lt;="&amp;INDEX(Weeks!$D:$D,MATCH($C695,Weeks!$A:$A,0)),Tasks!$I:$I,"&lt;&gt;")</f>
        <v>0</v>
      </c>
      <c r="J695">
        <f>COUNTIFS(Tasks!$A:$A,$A695,Tasks!$B:$B,$B695,
Tasks!$I:$I,"&gt;"&amp;IFERROR(INDEX(Weeks!$D:$D,MATCH($C695-1,Weeks!$A:$A,0)),DATE(2000,1,1)),
Tasks!$I:$I,"&lt;="&amp;INDEX(Weeks!$D:$D,MATCH($C695,Weeks!$A:$A,0)),
Tasks!$I:$I,"&lt;&gt;")</f>
        <v>0</v>
      </c>
    </row>
    <row r="696" spans="1:10" ht="15" customHeight="1">
      <c r="A696" t="s">
        <v>102</v>
      </c>
      <c r="B696" t="s">
        <v>104</v>
      </c>
      <c r="C696">
        <v>19</v>
      </c>
      <c r="D696">
        <v>5</v>
      </c>
      <c r="E696">
        <v>2</v>
      </c>
      <c r="F696" s="5" t="str">
        <f>IFERROR(ROUND(COUNTIFS(Tasks!$A:$A,$A696,Tasks!$B:$B,$B696,Tasks!$I:$I,"&lt;="&amp;INDEX(Weeks!$D:$D,MATCH($C696,Weeks!$A:$A,0)),Tasks!$I:$I,"&lt;&gt;")/COUNTIFS(Tasks!$A:$A,$A696,Tasks!$B:$B,$B696)*100,0),"")</f>
        <v/>
      </c>
      <c r="G696" s="5" t="str">
        <f>IFERROR(ROUND(COUNTIFS(Tasks!$A:$A,$A696,Tasks!$B:$B,$B696,Tasks!$H:$H,"&lt;="&amp;INDEX(Weeks!$D:$D,MATCH($C696,Weeks!$A:$A,0)))/COUNTIFS(Tasks!$A:$A,$A696,Tasks!$B:$B,$B696)*100,0),"")</f>
        <v/>
      </c>
      <c r="H696" t="s">
        <v>101</v>
      </c>
      <c r="I696">
        <f>COUNTIFS(Tasks!$A:$A,$A696,Tasks!$B:$B,$B696,Tasks!$G:$G,"&lt;="&amp;INDEX(Weeks!$D:$D,MATCH($C696,Weeks!$A:$A,0)))-COUNTIFS(Tasks!$A:$A,$A696,Tasks!$B:$B,$B696,Tasks!$I:$I,"&lt;="&amp;INDEX(Weeks!$D:$D,MATCH($C696,Weeks!$A:$A,0)),Tasks!$I:$I,"&lt;&gt;")</f>
        <v>0</v>
      </c>
      <c r="J696">
        <f>COUNTIFS(Tasks!$A:$A,$A696,Tasks!$B:$B,$B696,
Tasks!$I:$I,"&gt;"&amp;IFERROR(INDEX(Weeks!$D:$D,MATCH($C696-1,Weeks!$A:$A,0)),DATE(2000,1,1)),
Tasks!$I:$I,"&lt;="&amp;INDEX(Weeks!$D:$D,MATCH($C696,Weeks!$A:$A,0)),
Tasks!$I:$I,"&lt;&gt;")</f>
        <v>0</v>
      </c>
    </row>
    <row r="697" spans="1:10" ht="15" customHeight="1">
      <c r="A697" t="s">
        <v>102</v>
      </c>
      <c r="B697" t="s">
        <v>104</v>
      </c>
      <c r="C697">
        <v>20</v>
      </c>
      <c r="D697">
        <v>5</v>
      </c>
      <c r="E697">
        <v>3</v>
      </c>
      <c r="F697" s="5" t="str">
        <f>IFERROR(ROUND(COUNTIFS(Tasks!$A:$A,$A697,Tasks!$B:$B,$B697,Tasks!$I:$I,"&lt;="&amp;INDEX(Weeks!$D:$D,MATCH($C697,Weeks!$A:$A,0)),Tasks!$I:$I,"&lt;&gt;")/COUNTIFS(Tasks!$A:$A,$A697,Tasks!$B:$B,$B697)*100,0),"")</f>
        <v/>
      </c>
      <c r="G697" s="5" t="str">
        <f>IFERROR(ROUND(COUNTIFS(Tasks!$A:$A,$A697,Tasks!$B:$B,$B697,Tasks!$H:$H,"&lt;="&amp;INDEX(Weeks!$D:$D,MATCH($C697,Weeks!$A:$A,0)))/COUNTIFS(Tasks!$A:$A,$A697,Tasks!$B:$B,$B697)*100,0),"")</f>
        <v/>
      </c>
      <c r="H697" t="s">
        <v>101</v>
      </c>
      <c r="I697">
        <f>COUNTIFS(Tasks!$A:$A,$A697,Tasks!$B:$B,$B697,Tasks!$G:$G,"&lt;="&amp;INDEX(Weeks!$D:$D,MATCH($C697,Weeks!$A:$A,0)))-COUNTIFS(Tasks!$A:$A,$A697,Tasks!$B:$B,$B697,Tasks!$I:$I,"&lt;="&amp;INDEX(Weeks!$D:$D,MATCH($C697,Weeks!$A:$A,0)),Tasks!$I:$I,"&lt;&gt;")</f>
        <v>0</v>
      </c>
      <c r="J697">
        <f>COUNTIFS(Tasks!$A:$A,$A697,Tasks!$B:$B,$B697,
Tasks!$I:$I,"&gt;"&amp;IFERROR(INDEX(Weeks!$D:$D,MATCH($C697-1,Weeks!$A:$A,0)),DATE(2000,1,1)),
Tasks!$I:$I,"&lt;="&amp;INDEX(Weeks!$D:$D,MATCH($C697,Weeks!$A:$A,0)),
Tasks!$I:$I,"&lt;&gt;")</f>
        <v>0</v>
      </c>
    </row>
    <row r="698" spans="1:10" ht="15" customHeight="1">
      <c r="A698" t="s">
        <v>102</v>
      </c>
      <c r="B698" t="s">
        <v>104</v>
      </c>
      <c r="C698">
        <v>21</v>
      </c>
      <c r="D698">
        <v>5</v>
      </c>
      <c r="E698">
        <v>4</v>
      </c>
      <c r="F698" s="5" t="str">
        <f>IFERROR(ROUND(COUNTIFS(Tasks!$A:$A,$A698,Tasks!$B:$B,$B698,Tasks!$I:$I,"&lt;="&amp;INDEX(Weeks!$D:$D,MATCH($C698,Weeks!$A:$A,0)),Tasks!$I:$I,"&lt;&gt;")/COUNTIFS(Tasks!$A:$A,$A698,Tasks!$B:$B,$B698)*100,0),"")</f>
        <v/>
      </c>
      <c r="G698" s="5" t="str">
        <f>IFERROR(ROUND(COUNTIFS(Tasks!$A:$A,$A698,Tasks!$B:$B,$B698,Tasks!$H:$H,"&lt;="&amp;INDEX(Weeks!$D:$D,MATCH($C698,Weeks!$A:$A,0)))/COUNTIFS(Tasks!$A:$A,$A698,Tasks!$B:$B,$B698)*100,0),"")</f>
        <v/>
      </c>
      <c r="H698" t="s">
        <v>101</v>
      </c>
      <c r="I698">
        <f>COUNTIFS(Tasks!$A:$A,$A698,Tasks!$B:$B,$B698,Tasks!$G:$G,"&lt;="&amp;INDEX(Weeks!$D:$D,MATCH($C698,Weeks!$A:$A,0)))-COUNTIFS(Tasks!$A:$A,$A698,Tasks!$B:$B,$B698,Tasks!$I:$I,"&lt;="&amp;INDEX(Weeks!$D:$D,MATCH($C698,Weeks!$A:$A,0)),Tasks!$I:$I,"&lt;&gt;")</f>
        <v>0</v>
      </c>
      <c r="J698">
        <f>COUNTIFS(Tasks!$A:$A,$A698,Tasks!$B:$B,$B698,
Tasks!$I:$I,"&gt;"&amp;IFERROR(INDEX(Weeks!$D:$D,MATCH($C698-1,Weeks!$A:$A,0)),DATE(2000,1,1)),
Tasks!$I:$I,"&lt;="&amp;INDEX(Weeks!$D:$D,MATCH($C698,Weeks!$A:$A,0)),
Tasks!$I:$I,"&lt;&gt;")</f>
        <v>0</v>
      </c>
    </row>
    <row r="699" spans="1:10" ht="15" customHeight="1">
      <c r="A699" t="s">
        <v>102</v>
      </c>
      <c r="B699" t="s">
        <v>104</v>
      </c>
      <c r="C699">
        <v>22</v>
      </c>
      <c r="D699">
        <v>5</v>
      </c>
      <c r="E699">
        <v>5</v>
      </c>
      <c r="F699" s="5" t="str">
        <f>IFERROR(ROUND(COUNTIFS(Tasks!$A:$A,$A699,Tasks!$B:$B,$B699,Tasks!$I:$I,"&lt;="&amp;INDEX(Weeks!$D:$D,MATCH($C699,Weeks!$A:$A,0)),Tasks!$I:$I,"&lt;&gt;")/COUNTIFS(Tasks!$A:$A,$A699,Tasks!$B:$B,$B699)*100,0),"")</f>
        <v/>
      </c>
      <c r="G699" s="5" t="str">
        <f>IFERROR(ROUND(COUNTIFS(Tasks!$A:$A,$A699,Tasks!$B:$B,$B699,Tasks!$H:$H,"&lt;="&amp;INDEX(Weeks!$D:$D,MATCH($C699,Weeks!$A:$A,0)))/COUNTIFS(Tasks!$A:$A,$A699,Tasks!$B:$B,$B699)*100,0),"")</f>
        <v/>
      </c>
      <c r="H699" t="s">
        <v>101</v>
      </c>
      <c r="I699">
        <f>COUNTIFS(Tasks!$A:$A,$A699,Tasks!$B:$B,$B699,Tasks!$G:$G,"&lt;="&amp;INDEX(Weeks!$D:$D,MATCH($C699,Weeks!$A:$A,0)))-COUNTIFS(Tasks!$A:$A,$A699,Tasks!$B:$B,$B699,Tasks!$I:$I,"&lt;="&amp;INDEX(Weeks!$D:$D,MATCH($C699,Weeks!$A:$A,0)),Tasks!$I:$I,"&lt;&gt;")</f>
        <v>0</v>
      </c>
      <c r="J699">
        <f>COUNTIFS(Tasks!$A:$A,$A699,Tasks!$B:$B,$B699,
Tasks!$I:$I,"&gt;"&amp;IFERROR(INDEX(Weeks!$D:$D,MATCH($C699-1,Weeks!$A:$A,0)),DATE(2000,1,1)),
Tasks!$I:$I,"&lt;="&amp;INDEX(Weeks!$D:$D,MATCH($C699,Weeks!$A:$A,0)),
Tasks!$I:$I,"&lt;&gt;")</f>
        <v>0</v>
      </c>
    </row>
    <row r="700" spans="1:10" ht="15" customHeight="1">
      <c r="A700" t="s">
        <v>102</v>
      </c>
      <c r="B700" t="s">
        <v>104</v>
      </c>
      <c r="C700">
        <v>23</v>
      </c>
      <c r="D700">
        <v>6</v>
      </c>
      <c r="E700">
        <v>1</v>
      </c>
      <c r="F700" s="5" t="str">
        <f>IFERROR(ROUND(COUNTIFS(Tasks!$A:$A,$A700,Tasks!$B:$B,$B700,Tasks!$I:$I,"&lt;="&amp;INDEX(Weeks!$D:$D,MATCH($C700,Weeks!$A:$A,0)),Tasks!$I:$I,"&lt;&gt;")/COUNTIFS(Tasks!$A:$A,$A700,Tasks!$B:$B,$B700)*100,0),"")</f>
        <v/>
      </c>
      <c r="G700" s="5" t="str">
        <f>IFERROR(ROUND(COUNTIFS(Tasks!$A:$A,$A700,Tasks!$B:$B,$B700,Tasks!$H:$H,"&lt;="&amp;INDEX(Weeks!$D:$D,MATCH($C700,Weeks!$A:$A,0)))/COUNTIFS(Tasks!$A:$A,$A700,Tasks!$B:$B,$B700)*100,0),"")</f>
        <v/>
      </c>
      <c r="H700" t="s">
        <v>101</v>
      </c>
      <c r="I700">
        <f>COUNTIFS(Tasks!$A:$A,$A700,Tasks!$B:$B,$B700,Tasks!$G:$G,"&lt;="&amp;INDEX(Weeks!$D:$D,MATCH($C700,Weeks!$A:$A,0)))-COUNTIFS(Tasks!$A:$A,$A700,Tasks!$B:$B,$B700,Tasks!$I:$I,"&lt;="&amp;INDEX(Weeks!$D:$D,MATCH($C700,Weeks!$A:$A,0)),Tasks!$I:$I,"&lt;&gt;")</f>
        <v>0</v>
      </c>
      <c r="J700">
        <f>COUNTIFS(Tasks!$A:$A,$A700,Tasks!$B:$B,$B700,
Tasks!$I:$I,"&gt;"&amp;IFERROR(INDEX(Weeks!$D:$D,MATCH($C700-1,Weeks!$A:$A,0)),DATE(2000,1,1)),
Tasks!$I:$I,"&lt;="&amp;INDEX(Weeks!$D:$D,MATCH($C700,Weeks!$A:$A,0)),
Tasks!$I:$I,"&lt;&gt;")</f>
        <v>0</v>
      </c>
    </row>
    <row r="701" spans="1:10" ht="15" customHeight="1">
      <c r="A701" t="s">
        <v>102</v>
      </c>
      <c r="B701" t="s">
        <v>104</v>
      </c>
      <c r="C701">
        <v>24</v>
      </c>
      <c r="D701">
        <v>6</v>
      </c>
      <c r="E701">
        <v>2</v>
      </c>
      <c r="F701" s="5" t="str">
        <f>IFERROR(ROUND(COUNTIFS(Tasks!$A:$A,$A701,Tasks!$B:$B,$B701,Tasks!$I:$I,"&lt;="&amp;INDEX(Weeks!$D:$D,MATCH($C701,Weeks!$A:$A,0)),Tasks!$I:$I,"&lt;&gt;")/COUNTIFS(Tasks!$A:$A,$A701,Tasks!$B:$B,$B701)*100,0),"")</f>
        <v/>
      </c>
      <c r="G701" s="5" t="str">
        <f>IFERROR(ROUND(COUNTIFS(Tasks!$A:$A,$A701,Tasks!$B:$B,$B701,Tasks!$H:$H,"&lt;="&amp;INDEX(Weeks!$D:$D,MATCH($C701,Weeks!$A:$A,0)))/COUNTIFS(Tasks!$A:$A,$A701,Tasks!$B:$B,$B701)*100,0),"")</f>
        <v/>
      </c>
      <c r="H701" t="s">
        <v>101</v>
      </c>
      <c r="I701">
        <f>COUNTIFS(Tasks!$A:$A,$A701,Tasks!$B:$B,$B701,Tasks!$G:$G,"&lt;="&amp;INDEX(Weeks!$D:$D,MATCH($C701,Weeks!$A:$A,0)))-COUNTIFS(Tasks!$A:$A,$A701,Tasks!$B:$B,$B701,Tasks!$I:$I,"&lt;="&amp;INDEX(Weeks!$D:$D,MATCH($C701,Weeks!$A:$A,0)),Tasks!$I:$I,"&lt;&gt;")</f>
        <v>0</v>
      </c>
      <c r="J701">
        <f>COUNTIFS(Tasks!$A:$A,$A701,Tasks!$B:$B,$B701,
Tasks!$I:$I,"&gt;"&amp;IFERROR(INDEX(Weeks!$D:$D,MATCH($C701-1,Weeks!$A:$A,0)),DATE(2000,1,1)),
Tasks!$I:$I,"&lt;="&amp;INDEX(Weeks!$D:$D,MATCH($C701,Weeks!$A:$A,0)),
Tasks!$I:$I,"&lt;&gt;")</f>
        <v>0</v>
      </c>
    </row>
    <row r="702" spans="1:10" ht="15" customHeight="1">
      <c r="A702" t="s">
        <v>102</v>
      </c>
      <c r="B702" t="s">
        <v>104</v>
      </c>
      <c r="C702">
        <v>25</v>
      </c>
      <c r="D702">
        <v>6</v>
      </c>
      <c r="E702">
        <v>3</v>
      </c>
      <c r="F702" s="5" t="str">
        <f>IFERROR(ROUND(COUNTIFS(Tasks!$A:$A,$A702,Tasks!$B:$B,$B702,Tasks!$I:$I,"&lt;="&amp;INDEX(Weeks!$D:$D,MATCH($C702,Weeks!$A:$A,0)),Tasks!$I:$I,"&lt;&gt;")/COUNTIFS(Tasks!$A:$A,$A702,Tasks!$B:$B,$B702)*100,0),"")</f>
        <v/>
      </c>
      <c r="G702" s="5" t="str">
        <f>IFERROR(ROUND(COUNTIFS(Tasks!$A:$A,$A702,Tasks!$B:$B,$B702,Tasks!$H:$H,"&lt;="&amp;INDEX(Weeks!$D:$D,MATCH($C702,Weeks!$A:$A,0)))/COUNTIFS(Tasks!$A:$A,$A702,Tasks!$B:$B,$B702)*100,0),"")</f>
        <v/>
      </c>
      <c r="I702">
        <f>COUNTIFS(Tasks!$A:$A,$A702,Tasks!$B:$B,$B702,Tasks!$G:$G,"&lt;="&amp;INDEX(Weeks!$D:$D,MATCH($C702,Weeks!$A:$A,0)))-COUNTIFS(Tasks!$A:$A,$A702,Tasks!$B:$B,$B702,Tasks!$I:$I,"&lt;="&amp;INDEX(Weeks!$D:$D,MATCH($C702,Weeks!$A:$A,0)),Tasks!$I:$I,"&lt;&gt;")</f>
        <v>0</v>
      </c>
      <c r="J702">
        <f>COUNTIFS(Tasks!$A:$A,$A702,Tasks!$B:$B,$B702,
Tasks!$I:$I,"&gt;"&amp;IFERROR(INDEX(Weeks!$D:$D,MATCH($C702-1,Weeks!$A:$A,0)),DATE(2000,1,1)),
Tasks!$I:$I,"&lt;="&amp;INDEX(Weeks!$D:$D,MATCH($C702,Weeks!$A:$A,0)),
Tasks!$I:$I,"&lt;&gt;")</f>
        <v>0</v>
      </c>
    </row>
    <row r="703" spans="1:10" ht="15" customHeight="1">
      <c r="A703" t="s">
        <v>102</v>
      </c>
      <c r="B703" t="s">
        <v>104</v>
      </c>
      <c r="C703">
        <v>26</v>
      </c>
      <c r="D703">
        <v>6</v>
      </c>
      <c r="E703">
        <v>4</v>
      </c>
      <c r="F703" s="5" t="str">
        <f>IFERROR(ROUND(COUNTIFS(Tasks!$A:$A,$A703,Tasks!$B:$B,$B703,Tasks!$I:$I,"&lt;="&amp;INDEX(Weeks!$D:$D,MATCH($C703,Weeks!$A:$A,0)),Tasks!$I:$I,"&lt;&gt;")/COUNTIFS(Tasks!$A:$A,$A703,Tasks!$B:$B,$B703)*100,0),"")</f>
        <v/>
      </c>
      <c r="G703" s="5" t="str">
        <f>IFERROR(ROUND(COUNTIFS(Tasks!$A:$A,$A703,Tasks!$B:$B,$B703,Tasks!$H:$H,"&lt;="&amp;INDEX(Weeks!$D:$D,MATCH($C703,Weeks!$A:$A,0)))/COUNTIFS(Tasks!$A:$A,$A703,Tasks!$B:$B,$B703)*100,0),"")</f>
        <v/>
      </c>
      <c r="I703">
        <f>COUNTIFS(Tasks!$A:$A,$A703,Tasks!$B:$B,$B703,Tasks!$G:$G,"&lt;="&amp;INDEX(Weeks!$D:$D,MATCH($C703,Weeks!$A:$A,0)))-COUNTIFS(Tasks!$A:$A,$A703,Tasks!$B:$B,$B703,Tasks!$I:$I,"&lt;="&amp;INDEX(Weeks!$D:$D,MATCH($C703,Weeks!$A:$A,0)),Tasks!$I:$I,"&lt;&gt;")</f>
        <v>0</v>
      </c>
      <c r="J703">
        <f>COUNTIFS(Tasks!$A:$A,$A703,Tasks!$B:$B,$B703,
Tasks!$I:$I,"&gt;"&amp;IFERROR(INDEX(Weeks!$D:$D,MATCH($C703-1,Weeks!$A:$A,0)),DATE(2000,1,1)),
Tasks!$I:$I,"&lt;="&amp;INDEX(Weeks!$D:$D,MATCH($C703,Weeks!$A:$A,0)),
Tasks!$I:$I,"&lt;&gt;")</f>
        <v>0</v>
      </c>
    </row>
    <row r="704" spans="1:10" ht="15" customHeight="1">
      <c r="A704" t="s">
        <v>102</v>
      </c>
      <c r="B704" t="s">
        <v>104</v>
      </c>
      <c r="C704">
        <v>27</v>
      </c>
      <c r="D704">
        <v>7</v>
      </c>
      <c r="E704">
        <v>1</v>
      </c>
      <c r="F704" s="5" t="str">
        <f>IFERROR(ROUND(COUNTIFS(Tasks!$A:$A,$A704,Tasks!$B:$B,$B704,Tasks!$I:$I,"&lt;="&amp;INDEX(Weeks!$D:$D,MATCH($C704,Weeks!$A:$A,0)),Tasks!$I:$I,"&lt;&gt;")/COUNTIFS(Tasks!$A:$A,$A704,Tasks!$B:$B,$B704)*100,0),"")</f>
        <v/>
      </c>
      <c r="G704" s="5" t="str">
        <f>IFERROR(ROUND(COUNTIFS(Tasks!$A:$A,$A704,Tasks!$B:$B,$B704,Tasks!$H:$H,"&lt;="&amp;INDEX(Weeks!$D:$D,MATCH($C704,Weeks!$A:$A,0)))/COUNTIFS(Tasks!$A:$A,$A704,Tasks!$B:$B,$B704)*100,0),"")</f>
        <v/>
      </c>
      <c r="I704">
        <f>COUNTIFS(Tasks!$A:$A,$A704,Tasks!$B:$B,$B704,Tasks!$G:$G,"&lt;="&amp;INDEX(Weeks!$D:$D,MATCH($C704,Weeks!$A:$A,0)))-COUNTIFS(Tasks!$A:$A,$A704,Tasks!$B:$B,$B704,Tasks!$I:$I,"&lt;="&amp;INDEX(Weeks!$D:$D,MATCH($C704,Weeks!$A:$A,0)),Tasks!$I:$I,"&lt;&gt;")</f>
        <v>0</v>
      </c>
      <c r="J704">
        <f>COUNTIFS(Tasks!$A:$A,$A704,Tasks!$B:$B,$B704,
Tasks!$I:$I,"&gt;"&amp;IFERROR(INDEX(Weeks!$D:$D,MATCH($C704-1,Weeks!$A:$A,0)),DATE(2000,1,1)),
Tasks!$I:$I,"&lt;="&amp;INDEX(Weeks!$D:$D,MATCH($C704,Weeks!$A:$A,0)),
Tasks!$I:$I,"&lt;&gt;")</f>
        <v>0</v>
      </c>
    </row>
    <row r="705" spans="1:10" ht="15" customHeight="1">
      <c r="A705" t="s">
        <v>102</v>
      </c>
      <c r="B705" t="s">
        <v>104</v>
      </c>
      <c r="C705">
        <v>28</v>
      </c>
      <c r="D705">
        <v>7</v>
      </c>
      <c r="E705">
        <v>2</v>
      </c>
      <c r="F705" s="5" t="str">
        <f>IFERROR(ROUND(COUNTIFS(Tasks!$A:$A,$A705,Tasks!$B:$B,$B705,Tasks!$I:$I,"&lt;="&amp;INDEX(Weeks!$D:$D,MATCH($C705,Weeks!$A:$A,0)),Tasks!$I:$I,"&lt;&gt;")/COUNTIFS(Tasks!$A:$A,$A705,Tasks!$B:$B,$B705)*100,0),"")</f>
        <v/>
      </c>
      <c r="G705" s="5" t="str">
        <f>IFERROR(ROUND(COUNTIFS(Tasks!$A:$A,$A705,Tasks!$B:$B,$B705,Tasks!$H:$H,"&lt;="&amp;INDEX(Weeks!$D:$D,MATCH($C705,Weeks!$A:$A,0)))/COUNTIFS(Tasks!$A:$A,$A705,Tasks!$B:$B,$B705)*100,0),"")</f>
        <v/>
      </c>
      <c r="I705">
        <f>COUNTIFS(Tasks!$A:$A,$A705,Tasks!$B:$B,$B705,Tasks!$G:$G,"&lt;="&amp;INDEX(Weeks!$D:$D,MATCH($C705,Weeks!$A:$A,0)))-COUNTIFS(Tasks!$A:$A,$A705,Tasks!$B:$B,$B705,Tasks!$I:$I,"&lt;="&amp;INDEX(Weeks!$D:$D,MATCH($C705,Weeks!$A:$A,0)),Tasks!$I:$I,"&lt;&gt;")</f>
        <v>0</v>
      </c>
      <c r="J705">
        <f>COUNTIFS(Tasks!$A:$A,$A705,Tasks!$B:$B,$B705,
Tasks!$I:$I,"&gt;"&amp;IFERROR(INDEX(Weeks!$D:$D,MATCH($C705-1,Weeks!$A:$A,0)),DATE(2000,1,1)),
Tasks!$I:$I,"&lt;="&amp;INDEX(Weeks!$D:$D,MATCH($C705,Weeks!$A:$A,0)),
Tasks!$I:$I,"&lt;&gt;")</f>
        <v>0</v>
      </c>
    </row>
    <row r="706" spans="1:10" ht="15" customHeight="1">
      <c r="A706" t="s">
        <v>102</v>
      </c>
      <c r="B706" t="s">
        <v>104</v>
      </c>
      <c r="C706">
        <v>29</v>
      </c>
      <c r="D706">
        <v>7</v>
      </c>
      <c r="E706">
        <v>3</v>
      </c>
      <c r="F706" s="5" t="str">
        <f>IFERROR(ROUND(COUNTIFS(Tasks!$A:$A,$A706,Tasks!$B:$B,$B706,Tasks!$I:$I,"&lt;="&amp;INDEX(Weeks!$D:$D,MATCH($C706,Weeks!$A:$A,0)),Tasks!$I:$I,"&lt;&gt;")/COUNTIFS(Tasks!$A:$A,$A706,Tasks!$B:$B,$B706)*100,0),"")</f>
        <v/>
      </c>
      <c r="G706" s="5" t="str">
        <f>IFERROR(ROUND(COUNTIFS(Tasks!$A:$A,$A706,Tasks!$B:$B,$B706,Tasks!$H:$H,"&lt;="&amp;INDEX(Weeks!$D:$D,MATCH($C706,Weeks!$A:$A,0)))/COUNTIFS(Tasks!$A:$A,$A706,Tasks!$B:$B,$B706)*100,0),"")</f>
        <v/>
      </c>
      <c r="I706">
        <f>COUNTIFS(Tasks!$A:$A,$A706,Tasks!$B:$B,$B706,Tasks!$G:$G,"&lt;="&amp;INDEX(Weeks!$D:$D,MATCH($C706,Weeks!$A:$A,0)))-COUNTIFS(Tasks!$A:$A,$A706,Tasks!$B:$B,$B706,Tasks!$I:$I,"&lt;="&amp;INDEX(Weeks!$D:$D,MATCH($C706,Weeks!$A:$A,0)),Tasks!$I:$I,"&lt;&gt;")</f>
        <v>0</v>
      </c>
      <c r="J706">
        <f>COUNTIFS(Tasks!$A:$A,$A706,Tasks!$B:$B,$B706,
Tasks!$I:$I,"&gt;"&amp;IFERROR(INDEX(Weeks!$D:$D,MATCH($C706-1,Weeks!$A:$A,0)),DATE(2000,1,1)),
Tasks!$I:$I,"&lt;="&amp;INDEX(Weeks!$D:$D,MATCH($C706,Weeks!$A:$A,0)),
Tasks!$I:$I,"&lt;&gt;")</f>
        <v>0</v>
      </c>
    </row>
    <row r="707" spans="1:10" ht="15" customHeight="1">
      <c r="A707" t="s">
        <v>102</v>
      </c>
      <c r="B707" t="s">
        <v>104</v>
      </c>
      <c r="C707">
        <v>30</v>
      </c>
      <c r="D707">
        <v>7</v>
      </c>
      <c r="E707">
        <v>4</v>
      </c>
      <c r="F707" s="5" t="str">
        <f>IFERROR(ROUND(COUNTIFS(Tasks!$A:$A,$A707,Tasks!$B:$B,$B707,Tasks!$I:$I,"&lt;="&amp;INDEX(Weeks!$D:$D,MATCH($C707,Weeks!$A:$A,0)),Tasks!$I:$I,"&lt;&gt;")/COUNTIFS(Tasks!$A:$A,$A707,Tasks!$B:$B,$B707)*100,0),"")</f>
        <v/>
      </c>
      <c r="G707" s="5" t="str">
        <f>IFERROR(ROUND(COUNTIFS(Tasks!$A:$A,$A707,Tasks!$B:$B,$B707,Tasks!$H:$H,"&lt;="&amp;INDEX(Weeks!$D:$D,MATCH($C707,Weeks!$A:$A,0)))/COUNTIFS(Tasks!$A:$A,$A707,Tasks!$B:$B,$B707)*100,0),"")</f>
        <v/>
      </c>
      <c r="I707">
        <f>COUNTIFS(Tasks!$A:$A,$A707,Tasks!$B:$B,$B707,Tasks!$G:$G,"&lt;="&amp;INDEX(Weeks!$D:$D,MATCH($C707,Weeks!$A:$A,0)))-COUNTIFS(Tasks!$A:$A,$A707,Tasks!$B:$B,$B707,Tasks!$I:$I,"&lt;="&amp;INDEX(Weeks!$D:$D,MATCH($C707,Weeks!$A:$A,0)),Tasks!$I:$I,"&lt;&gt;")</f>
        <v>0</v>
      </c>
      <c r="J707">
        <f>COUNTIFS(Tasks!$A:$A,$A707,Tasks!$B:$B,$B707,
Tasks!$I:$I,"&gt;"&amp;IFERROR(INDEX(Weeks!$D:$D,MATCH($C707-1,Weeks!$A:$A,0)),DATE(2000,1,1)),
Tasks!$I:$I,"&lt;="&amp;INDEX(Weeks!$D:$D,MATCH($C707,Weeks!$A:$A,0)),
Tasks!$I:$I,"&lt;&gt;")</f>
        <v>0</v>
      </c>
    </row>
    <row r="708" spans="1:10" ht="15" customHeight="1">
      <c r="A708" t="s">
        <v>102</v>
      </c>
      <c r="B708" t="s">
        <v>104</v>
      </c>
      <c r="C708">
        <v>31</v>
      </c>
      <c r="D708">
        <v>8</v>
      </c>
      <c r="E708">
        <v>1</v>
      </c>
      <c r="F708" s="5" t="str">
        <f>IFERROR(ROUND(COUNTIFS(Tasks!$A:$A,$A708,Tasks!$B:$B,$B708,Tasks!$I:$I,"&lt;="&amp;INDEX(Weeks!$D:$D,MATCH($C708,Weeks!$A:$A,0)),Tasks!$I:$I,"&lt;&gt;")/COUNTIFS(Tasks!$A:$A,$A708,Tasks!$B:$B,$B708)*100,0),"")</f>
        <v/>
      </c>
      <c r="G708" s="5" t="str">
        <f>IFERROR(ROUND(COUNTIFS(Tasks!$A:$A,$A708,Tasks!$B:$B,$B708,Tasks!$H:$H,"&lt;="&amp;INDEX(Weeks!$D:$D,MATCH($C708,Weeks!$A:$A,0)))/COUNTIFS(Tasks!$A:$A,$A708,Tasks!$B:$B,$B708)*100,0),"")</f>
        <v/>
      </c>
      <c r="I708">
        <f>COUNTIFS(Tasks!$A:$A,$A708,Tasks!$B:$B,$B708,Tasks!$G:$G,"&lt;="&amp;INDEX(Weeks!$D:$D,MATCH($C708,Weeks!$A:$A,0)))-COUNTIFS(Tasks!$A:$A,$A708,Tasks!$B:$B,$B708,Tasks!$I:$I,"&lt;="&amp;INDEX(Weeks!$D:$D,MATCH($C708,Weeks!$A:$A,0)),Tasks!$I:$I,"&lt;&gt;")</f>
        <v>0</v>
      </c>
      <c r="J708">
        <f>COUNTIFS(Tasks!$A:$A,$A708,Tasks!$B:$B,$B708,
Tasks!$I:$I,"&gt;"&amp;IFERROR(INDEX(Weeks!$D:$D,MATCH($C708-1,Weeks!$A:$A,0)),DATE(2000,1,1)),
Tasks!$I:$I,"&lt;="&amp;INDEX(Weeks!$D:$D,MATCH($C708,Weeks!$A:$A,0)),
Tasks!$I:$I,"&lt;&gt;")</f>
        <v>0</v>
      </c>
    </row>
    <row r="709" spans="1:10" ht="15" customHeight="1">
      <c r="A709" t="s">
        <v>102</v>
      </c>
      <c r="B709" t="s">
        <v>104</v>
      </c>
      <c r="C709">
        <v>32</v>
      </c>
      <c r="D709">
        <v>8</v>
      </c>
      <c r="E709">
        <v>2</v>
      </c>
      <c r="F709" s="5" t="str">
        <f>IFERROR(ROUND(COUNTIFS(Tasks!$A:$A,$A709,Tasks!$B:$B,$B709,Tasks!$I:$I,"&lt;="&amp;INDEX(Weeks!$D:$D,MATCH($C709,Weeks!$A:$A,0)),Tasks!$I:$I,"&lt;&gt;")/COUNTIFS(Tasks!$A:$A,$A709,Tasks!$B:$B,$B709)*100,0),"")</f>
        <v/>
      </c>
      <c r="G709" s="5" t="str">
        <f>IFERROR(ROUND(COUNTIFS(Tasks!$A:$A,$A709,Tasks!$B:$B,$B709,Tasks!$H:$H,"&lt;="&amp;INDEX(Weeks!$D:$D,MATCH($C709,Weeks!$A:$A,0)))/COUNTIFS(Tasks!$A:$A,$A709,Tasks!$B:$B,$B709)*100,0),"")</f>
        <v/>
      </c>
      <c r="I709">
        <f>COUNTIFS(Tasks!$A:$A,$A709,Tasks!$B:$B,$B709,Tasks!$G:$G,"&lt;="&amp;INDEX(Weeks!$D:$D,MATCH($C709,Weeks!$A:$A,0)))-COUNTIFS(Tasks!$A:$A,$A709,Tasks!$B:$B,$B709,Tasks!$I:$I,"&lt;="&amp;INDEX(Weeks!$D:$D,MATCH($C709,Weeks!$A:$A,0)),Tasks!$I:$I,"&lt;&gt;")</f>
        <v>0</v>
      </c>
      <c r="J709">
        <f>COUNTIFS(Tasks!$A:$A,$A709,Tasks!$B:$B,$B709,
Tasks!$I:$I,"&gt;"&amp;IFERROR(INDEX(Weeks!$D:$D,MATCH($C709-1,Weeks!$A:$A,0)),DATE(2000,1,1)),
Tasks!$I:$I,"&lt;="&amp;INDEX(Weeks!$D:$D,MATCH($C709,Weeks!$A:$A,0)),
Tasks!$I:$I,"&lt;&gt;")</f>
        <v>0</v>
      </c>
    </row>
    <row r="710" spans="1:10" ht="15" customHeight="1">
      <c r="A710" t="s">
        <v>102</v>
      </c>
      <c r="B710" t="s">
        <v>104</v>
      </c>
      <c r="C710">
        <v>33</v>
      </c>
      <c r="D710">
        <v>8</v>
      </c>
      <c r="E710">
        <v>3</v>
      </c>
      <c r="F710" s="5" t="str">
        <f>IFERROR(ROUND(COUNTIFS(Tasks!$A:$A,$A710,Tasks!$B:$B,$B710,Tasks!$I:$I,"&lt;="&amp;INDEX(Weeks!$D:$D,MATCH($C710,Weeks!$A:$A,0)),Tasks!$I:$I,"&lt;&gt;")/COUNTIFS(Tasks!$A:$A,$A710,Tasks!$B:$B,$B710)*100,0),"")</f>
        <v/>
      </c>
      <c r="G710" s="5" t="str">
        <f>IFERROR(ROUND(COUNTIFS(Tasks!$A:$A,$A710,Tasks!$B:$B,$B710,Tasks!$H:$H,"&lt;="&amp;INDEX(Weeks!$D:$D,MATCH($C710,Weeks!$A:$A,0)))/COUNTIFS(Tasks!$A:$A,$A710,Tasks!$B:$B,$B710)*100,0),"")</f>
        <v/>
      </c>
      <c r="I710">
        <f>COUNTIFS(Tasks!$A:$A,$A710,Tasks!$B:$B,$B710,Tasks!$G:$G,"&lt;="&amp;INDEX(Weeks!$D:$D,MATCH($C710,Weeks!$A:$A,0)))-COUNTIFS(Tasks!$A:$A,$A710,Tasks!$B:$B,$B710,Tasks!$I:$I,"&lt;="&amp;INDEX(Weeks!$D:$D,MATCH($C710,Weeks!$A:$A,0)),Tasks!$I:$I,"&lt;&gt;")</f>
        <v>0</v>
      </c>
      <c r="J710">
        <f>COUNTIFS(Tasks!$A:$A,$A710,Tasks!$B:$B,$B710,
Tasks!$I:$I,"&gt;"&amp;IFERROR(INDEX(Weeks!$D:$D,MATCH($C710-1,Weeks!$A:$A,0)),DATE(2000,1,1)),
Tasks!$I:$I,"&lt;="&amp;INDEX(Weeks!$D:$D,MATCH($C710,Weeks!$A:$A,0)),
Tasks!$I:$I,"&lt;&gt;")</f>
        <v>0</v>
      </c>
    </row>
    <row r="711" spans="1:10" ht="15" customHeight="1">
      <c r="A711" t="s">
        <v>102</v>
      </c>
      <c r="B711" t="s">
        <v>104</v>
      </c>
      <c r="C711">
        <v>34</v>
      </c>
      <c r="D711">
        <v>8</v>
      </c>
      <c r="E711">
        <v>4</v>
      </c>
      <c r="F711" s="5" t="str">
        <f>IFERROR(ROUND(COUNTIFS(Tasks!$A:$A,$A711,Tasks!$B:$B,$B711,Tasks!$I:$I,"&lt;="&amp;INDEX(Weeks!$D:$D,MATCH($C711,Weeks!$A:$A,0)),Tasks!$I:$I,"&lt;&gt;")/COUNTIFS(Tasks!$A:$A,$A711,Tasks!$B:$B,$B711)*100,0),"")</f>
        <v/>
      </c>
      <c r="G711" s="5" t="str">
        <f>IFERROR(ROUND(COUNTIFS(Tasks!$A:$A,$A711,Tasks!$B:$B,$B711,Tasks!$H:$H,"&lt;="&amp;INDEX(Weeks!$D:$D,MATCH($C711,Weeks!$A:$A,0)))/COUNTIFS(Tasks!$A:$A,$A711,Tasks!$B:$B,$B711)*100,0),"")</f>
        <v/>
      </c>
      <c r="I711">
        <f>COUNTIFS(Tasks!$A:$A,$A711,Tasks!$B:$B,$B711,Tasks!$G:$G,"&lt;="&amp;INDEX(Weeks!$D:$D,MATCH($C711,Weeks!$A:$A,0)))-COUNTIFS(Tasks!$A:$A,$A711,Tasks!$B:$B,$B711,Tasks!$I:$I,"&lt;="&amp;INDEX(Weeks!$D:$D,MATCH($C711,Weeks!$A:$A,0)),Tasks!$I:$I,"&lt;&gt;")</f>
        <v>0</v>
      </c>
      <c r="J711">
        <f>COUNTIFS(Tasks!$A:$A,$A711,Tasks!$B:$B,$B711,
Tasks!$I:$I,"&gt;"&amp;IFERROR(INDEX(Weeks!$D:$D,MATCH($C711-1,Weeks!$A:$A,0)),DATE(2000,1,1)),
Tasks!$I:$I,"&lt;="&amp;INDEX(Weeks!$D:$D,MATCH($C711,Weeks!$A:$A,0)),
Tasks!$I:$I,"&lt;&gt;")</f>
        <v>0</v>
      </c>
    </row>
    <row r="712" spans="1:10" ht="15" customHeight="1">
      <c r="A712" t="s">
        <v>102</v>
      </c>
      <c r="B712" t="s">
        <v>104</v>
      </c>
      <c r="C712">
        <v>35</v>
      </c>
      <c r="D712">
        <v>8</v>
      </c>
      <c r="E712">
        <v>5</v>
      </c>
      <c r="F712" s="5" t="str">
        <f>IFERROR(ROUND(COUNTIFS(Tasks!$A:$A,$A712,Tasks!$B:$B,$B712,Tasks!$I:$I,"&lt;="&amp;INDEX(Weeks!$D:$D,MATCH($C712,Weeks!$A:$A,0)),Tasks!$I:$I,"&lt;&gt;")/COUNTIFS(Tasks!$A:$A,$A712,Tasks!$B:$B,$B712)*100,0),"")</f>
        <v/>
      </c>
      <c r="G712" s="5" t="str">
        <f>IFERROR(ROUND(COUNTIFS(Tasks!$A:$A,$A712,Tasks!$B:$B,$B712,Tasks!$H:$H,"&lt;="&amp;INDEX(Weeks!$D:$D,MATCH($C712,Weeks!$A:$A,0)))/COUNTIFS(Tasks!$A:$A,$A712,Tasks!$B:$B,$B712)*100,0),"")</f>
        <v/>
      </c>
      <c r="I712">
        <f>COUNTIFS(Tasks!$A:$A,$A712,Tasks!$B:$B,$B712,Tasks!$G:$G,"&lt;="&amp;INDEX(Weeks!$D:$D,MATCH($C712,Weeks!$A:$A,0)))-COUNTIFS(Tasks!$A:$A,$A712,Tasks!$B:$B,$B712,Tasks!$I:$I,"&lt;="&amp;INDEX(Weeks!$D:$D,MATCH($C712,Weeks!$A:$A,0)),Tasks!$I:$I,"&lt;&gt;")</f>
        <v>0</v>
      </c>
      <c r="J712">
        <f>COUNTIFS(Tasks!$A:$A,$A712,Tasks!$B:$B,$B712,
Tasks!$I:$I,"&gt;"&amp;IFERROR(INDEX(Weeks!$D:$D,MATCH($C712-1,Weeks!$A:$A,0)),DATE(2000,1,1)),
Tasks!$I:$I,"&lt;="&amp;INDEX(Weeks!$D:$D,MATCH($C712,Weeks!$A:$A,0)),
Tasks!$I:$I,"&lt;&gt;")</f>
        <v>0</v>
      </c>
    </row>
    <row r="713" spans="1:10" ht="15" customHeight="1">
      <c r="A713" t="s">
        <v>102</v>
      </c>
      <c r="B713" t="s">
        <v>104</v>
      </c>
      <c r="C713">
        <v>36</v>
      </c>
      <c r="D713">
        <v>9</v>
      </c>
      <c r="E713">
        <v>1</v>
      </c>
      <c r="F713" s="5" t="str">
        <f>IFERROR(ROUND(COUNTIFS(Tasks!$A:$A,$A713,Tasks!$B:$B,$B713,Tasks!$I:$I,"&lt;="&amp;INDEX(Weeks!$D:$D,MATCH($C713,Weeks!$A:$A,0)),Tasks!$I:$I,"&lt;&gt;")/COUNTIFS(Tasks!$A:$A,$A713,Tasks!$B:$B,$B713)*100,0),"")</f>
        <v/>
      </c>
      <c r="G713" s="5" t="str">
        <f>IFERROR(ROUND(COUNTIFS(Tasks!$A:$A,$A713,Tasks!$B:$B,$B713,Tasks!$H:$H,"&lt;="&amp;INDEX(Weeks!$D:$D,MATCH($C713,Weeks!$A:$A,0)))/COUNTIFS(Tasks!$A:$A,$A713,Tasks!$B:$B,$B713)*100,0),"")</f>
        <v/>
      </c>
      <c r="I713">
        <f>COUNTIFS(Tasks!$A:$A,$A713,Tasks!$B:$B,$B713,Tasks!$G:$G,"&lt;="&amp;INDEX(Weeks!$D:$D,MATCH($C713,Weeks!$A:$A,0)))-COUNTIFS(Tasks!$A:$A,$A713,Tasks!$B:$B,$B713,Tasks!$I:$I,"&lt;="&amp;INDEX(Weeks!$D:$D,MATCH($C713,Weeks!$A:$A,0)),Tasks!$I:$I,"&lt;&gt;")</f>
        <v>0</v>
      </c>
      <c r="J713">
        <f>COUNTIFS(Tasks!$A:$A,$A713,Tasks!$B:$B,$B713,
Tasks!$I:$I,"&gt;"&amp;IFERROR(INDEX(Weeks!$D:$D,MATCH($C713-1,Weeks!$A:$A,0)),DATE(2000,1,1)),
Tasks!$I:$I,"&lt;="&amp;INDEX(Weeks!$D:$D,MATCH($C713,Weeks!$A:$A,0)),
Tasks!$I:$I,"&lt;&gt;")</f>
        <v>0</v>
      </c>
    </row>
    <row r="714" spans="1:10" ht="15" customHeight="1">
      <c r="A714" t="s">
        <v>102</v>
      </c>
      <c r="B714" t="s">
        <v>104</v>
      </c>
      <c r="C714">
        <v>37</v>
      </c>
      <c r="D714">
        <v>9</v>
      </c>
      <c r="E714">
        <v>2</v>
      </c>
      <c r="F714" s="5" t="str">
        <f>IFERROR(ROUND(COUNTIFS(Tasks!$A:$A,$A714,Tasks!$B:$B,$B714,Tasks!$I:$I,"&lt;="&amp;INDEX(Weeks!$D:$D,MATCH($C714,Weeks!$A:$A,0)),Tasks!$I:$I,"&lt;&gt;")/COUNTIFS(Tasks!$A:$A,$A714,Tasks!$B:$B,$B714)*100,0),"")</f>
        <v/>
      </c>
      <c r="G714" s="5" t="str">
        <f>IFERROR(ROUND(COUNTIFS(Tasks!$A:$A,$A714,Tasks!$B:$B,$B714,Tasks!$H:$H,"&lt;="&amp;INDEX(Weeks!$D:$D,MATCH($C714,Weeks!$A:$A,0)))/COUNTIFS(Tasks!$A:$A,$A714,Tasks!$B:$B,$B714)*100,0),"")</f>
        <v/>
      </c>
      <c r="I714">
        <f>COUNTIFS(Tasks!$A:$A,$A714,Tasks!$B:$B,$B714,Tasks!$G:$G,"&lt;="&amp;INDEX(Weeks!$D:$D,MATCH($C714,Weeks!$A:$A,0)))-COUNTIFS(Tasks!$A:$A,$A714,Tasks!$B:$B,$B714,Tasks!$I:$I,"&lt;="&amp;INDEX(Weeks!$D:$D,MATCH($C714,Weeks!$A:$A,0)),Tasks!$I:$I,"&lt;&gt;")</f>
        <v>0</v>
      </c>
      <c r="J714">
        <f>COUNTIFS(Tasks!$A:$A,$A714,Tasks!$B:$B,$B714,
Tasks!$I:$I,"&gt;"&amp;IFERROR(INDEX(Weeks!$D:$D,MATCH($C714-1,Weeks!$A:$A,0)),DATE(2000,1,1)),
Tasks!$I:$I,"&lt;="&amp;INDEX(Weeks!$D:$D,MATCH($C714,Weeks!$A:$A,0)),
Tasks!$I:$I,"&lt;&gt;")</f>
        <v>0</v>
      </c>
    </row>
    <row r="715" spans="1:10" ht="15" customHeight="1">
      <c r="A715" t="s">
        <v>102</v>
      </c>
      <c r="B715" t="s">
        <v>104</v>
      </c>
      <c r="C715">
        <v>38</v>
      </c>
      <c r="D715">
        <v>9</v>
      </c>
      <c r="E715">
        <v>3</v>
      </c>
      <c r="F715" s="5" t="str">
        <f>IFERROR(ROUND(COUNTIFS(Tasks!$A:$A,$A715,Tasks!$B:$B,$B715,Tasks!$I:$I,"&lt;="&amp;INDEX(Weeks!$D:$D,MATCH($C715,Weeks!$A:$A,0)),Tasks!$I:$I,"&lt;&gt;")/COUNTIFS(Tasks!$A:$A,$A715,Tasks!$B:$B,$B715)*100,0),"")</f>
        <v/>
      </c>
      <c r="G715" s="5" t="str">
        <f>IFERROR(ROUND(COUNTIFS(Tasks!$A:$A,$A715,Tasks!$B:$B,$B715,Tasks!$H:$H,"&lt;="&amp;INDEX(Weeks!$D:$D,MATCH($C715,Weeks!$A:$A,0)))/COUNTIFS(Tasks!$A:$A,$A715,Tasks!$B:$B,$B715)*100,0),"")</f>
        <v/>
      </c>
      <c r="I715">
        <f>COUNTIFS(Tasks!$A:$A,$A715,Tasks!$B:$B,$B715,Tasks!$G:$G,"&lt;="&amp;INDEX(Weeks!$D:$D,MATCH($C715,Weeks!$A:$A,0)))-COUNTIFS(Tasks!$A:$A,$A715,Tasks!$B:$B,$B715,Tasks!$I:$I,"&lt;="&amp;INDEX(Weeks!$D:$D,MATCH($C715,Weeks!$A:$A,0)),Tasks!$I:$I,"&lt;&gt;")</f>
        <v>0</v>
      </c>
      <c r="J715">
        <f>COUNTIFS(Tasks!$A:$A,$A715,Tasks!$B:$B,$B715,
Tasks!$I:$I,"&gt;"&amp;IFERROR(INDEX(Weeks!$D:$D,MATCH($C715-1,Weeks!$A:$A,0)),DATE(2000,1,1)),
Tasks!$I:$I,"&lt;="&amp;INDEX(Weeks!$D:$D,MATCH($C715,Weeks!$A:$A,0)),
Tasks!$I:$I,"&lt;&gt;")</f>
        <v>0</v>
      </c>
    </row>
    <row r="716" spans="1:10" ht="15" customHeight="1">
      <c r="A716" t="s">
        <v>102</v>
      </c>
      <c r="B716" t="s">
        <v>104</v>
      </c>
      <c r="C716">
        <v>39</v>
      </c>
      <c r="D716">
        <v>9</v>
      </c>
      <c r="E716">
        <v>4</v>
      </c>
      <c r="F716" s="5" t="str">
        <f>IFERROR(ROUND(COUNTIFS(Tasks!$A:$A,$A716,Tasks!$B:$B,$B716,Tasks!$I:$I,"&lt;="&amp;INDEX(Weeks!$D:$D,MATCH($C716,Weeks!$A:$A,0)),Tasks!$I:$I,"&lt;&gt;")/COUNTIFS(Tasks!$A:$A,$A716,Tasks!$B:$B,$B716)*100,0),"")</f>
        <v/>
      </c>
      <c r="G716" s="5" t="str">
        <f>IFERROR(ROUND(COUNTIFS(Tasks!$A:$A,$A716,Tasks!$B:$B,$B716,Tasks!$H:$H,"&lt;="&amp;INDEX(Weeks!$D:$D,MATCH($C716,Weeks!$A:$A,0)))/COUNTIFS(Tasks!$A:$A,$A716,Tasks!$B:$B,$B716)*100,0),"")</f>
        <v/>
      </c>
      <c r="I716">
        <f>COUNTIFS(Tasks!$A:$A,$A716,Tasks!$B:$B,$B716,Tasks!$G:$G,"&lt;="&amp;INDEX(Weeks!$D:$D,MATCH($C716,Weeks!$A:$A,0)))-COUNTIFS(Tasks!$A:$A,$A716,Tasks!$B:$B,$B716,Tasks!$I:$I,"&lt;="&amp;INDEX(Weeks!$D:$D,MATCH($C716,Weeks!$A:$A,0)),Tasks!$I:$I,"&lt;&gt;")</f>
        <v>0</v>
      </c>
      <c r="J716">
        <f>COUNTIFS(Tasks!$A:$A,$A716,Tasks!$B:$B,$B716,
Tasks!$I:$I,"&gt;"&amp;IFERROR(INDEX(Weeks!$D:$D,MATCH($C716-1,Weeks!$A:$A,0)),DATE(2000,1,1)),
Tasks!$I:$I,"&lt;="&amp;INDEX(Weeks!$D:$D,MATCH($C716,Weeks!$A:$A,0)),
Tasks!$I:$I,"&lt;&gt;")</f>
        <v>0</v>
      </c>
    </row>
    <row r="717" spans="1:10" ht="15" customHeight="1">
      <c r="A717" t="s">
        <v>102</v>
      </c>
      <c r="B717" t="s">
        <v>104</v>
      </c>
      <c r="C717">
        <v>40</v>
      </c>
      <c r="D717">
        <v>10</v>
      </c>
      <c r="E717">
        <v>1</v>
      </c>
      <c r="F717" s="5" t="str">
        <f>IFERROR(ROUND(COUNTIFS(Tasks!$A:$A,$A717,Tasks!$B:$B,$B717,Tasks!$I:$I,"&lt;="&amp;INDEX(Weeks!$D:$D,MATCH($C717,Weeks!$A:$A,0)),Tasks!$I:$I,"&lt;&gt;")/COUNTIFS(Tasks!$A:$A,$A717,Tasks!$B:$B,$B717)*100,0),"")</f>
        <v/>
      </c>
      <c r="G717" s="5" t="str">
        <f>IFERROR(ROUND(COUNTIFS(Tasks!$A:$A,$A717,Tasks!$B:$B,$B717,Tasks!$H:$H,"&lt;="&amp;INDEX(Weeks!$D:$D,MATCH($C717,Weeks!$A:$A,0)))/COUNTIFS(Tasks!$A:$A,$A717,Tasks!$B:$B,$B717)*100,0),"")</f>
        <v/>
      </c>
      <c r="I717">
        <f>COUNTIFS(Tasks!$A:$A,$A717,Tasks!$B:$B,$B717,Tasks!$G:$G,"&lt;="&amp;INDEX(Weeks!$D:$D,MATCH($C717,Weeks!$A:$A,0)))-COUNTIFS(Tasks!$A:$A,$A717,Tasks!$B:$B,$B717,Tasks!$I:$I,"&lt;="&amp;INDEX(Weeks!$D:$D,MATCH($C717,Weeks!$A:$A,0)),Tasks!$I:$I,"&lt;&gt;")</f>
        <v>0</v>
      </c>
      <c r="J717">
        <f>COUNTIFS(Tasks!$A:$A,$A717,Tasks!$B:$B,$B717,
Tasks!$I:$I,"&gt;"&amp;IFERROR(INDEX(Weeks!$D:$D,MATCH($C717-1,Weeks!$A:$A,0)),DATE(2000,1,1)),
Tasks!$I:$I,"&lt;="&amp;INDEX(Weeks!$D:$D,MATCH($C717,Weeks!$A:$A,0)),
Tasks!$I:$I,"&lt;&gt;")</f>
        <v>0</v>
      </c>
    </row>
    <row r="718" spans="1:10" ht="15" customHeight="1">
      <c r="A718" t="s">
        <v>102</v>
      </c>
      <c r="B718" t="s">
        <v>104</v>
      </c>
      <c r="C718">
        <v>41</v>
      </c>
      <c r="D718">
        <v>10</v>
      </c>
      <c r="E718">
        <v>2</v>
      </c>
      <c r="F718" s="5" t="str">
        <f>IFERROR(ROUND(COUNTIFS(Tasks!$A:$A,$A718,Tasks!$B:$B,$B718,Tasks!$I:$I,"&lt;="&amp;INDEX(Weeks!$D:$D,MATCH($C718,Weeks!$A:$A,0)),Tasks!$I:$I,"&lt;&gt;")/COUNTIFS(Tasks!$A:$A,$A718,Tasks!$B:$B,$B718)*100,0),"")</f>
        <v/>
      </c>
      <c r="G718" s="5" t="str">
        <f>IFERROR(ROUND(COUNTIFS(Tasks!$A:$A,$A718,Tasks!$B:$B,$B718,Tasks!$H:$H,"&lt;="&amp;INDEX(Weeks!$D:$D,MATCH($C718,Weeks!$A:$A,0)))/COUNTIFS(Tasks!$A:$A,$A718,Tasks!$B:$B,$B718)*100,0),"")</f>
        <v/>
      </c>
      <c r="I718">
        <f>COUNTIFS(Tasks!$A:$A,$A718,Tasks!$B:$B,$B718,Tasks!$G:$G,"&lt;="&amp;INDEX(Weeks!$D:$D,MATCH($C718,Weeks!$A:$A,0)))-COUNTIFS(Tasks!$A:$A,$A718,Tasks!$B:$B,$B718,Tasks!$I:$I,"&lt;="&amp;INDEX(Weeks!$D:$D,MATCH($C718,Weeks!$A:$A,0)),Tasks!$I:$I,"&lt;&gt;")</f>
        <v>0</v>
      </c>
      <c r="J718">
        <f>COUNTIFS(Tasks!$A:$A,$A718,Tasks!$B:$B,$B718,
Tasks!$I:$I,"&gt;"&amp;IFERROR(INDEX(Weeks!$D:$D,MATCH($C718-1,Weeks!$A:$A,0)),DATE(2000,1,1)),
Tasks!$I:$I,"&lt;="&amp;INDEX(Weeks!$D:$D,MATCH($C718,Weeks!$A:$A,0)),
Tasks!$I:$I,"&lt;&gt;")</f>
        <v>0</v>
      </c>
    </row>
    <row r="719" spans="1:10" ht="15" customHeight="1">
      <c r="A719" t="s">
        <v>102</v>
      </c>
      <c r="B719" t="s">
        <v>104</v>
      </c>
      <c r="C719">
        <v>42</v>
      </c>
      <c r="D719">
        <v>10</v>
      </c>
      <c r="E719">
        <v>3</v>
      </c>
      <c r="F719" s="5" t="str">
        <f>IFERROR(ROUND(COUNTIFS(Tasks!$A:$A,$A719,Tasks!$B:$B,$B719,Tasks!$I:$I,"&lt;="&amp;INDEX(Weeks!$D:$D,MATCH($C719,Weeks!$A:$A,0)),Tasks!$I:$I,"&lt;&gt;")/COUNTIFS(Tasks!$A:$A,$A719,Tasks!$B:$B,$B719)*100,0),"")</f>
        <v/>
      </c>
      <c r="G719" s="5" t="str">
        <f>IFERROR(ROUND(COUNTIFS(Tasks!$A:$A,$A719,Tasks!$B:$B,$B719,Tasks!$H:$H,"&lt;="&amp;INDEX(Weeks!$D:$D,MATCH($C719,Weeks!$A:$A,0)))/COUNTIFS(Tasks!$A:$A,$A719,Tasks!$B:$B,$B719)*100,0),"")</f>
        <v/>
      </c>
      <c r="I719">
        <f>COUNTIFS(Tasks!$A:$A,$A719,Tasks!$B:$B,$B719,Tasks!$G:$G,"&lt;="&amp;INDEX(Weeks!$D:$D,MATCH($C719,Weeks!$A:$A,0)))-COUNTIFS(Tasks!$A:$A,$A719,Tasks!$B:$B,$B719,Tasks!$I:$I,"&lt;="&amp;INDEX(Weeks!$D:$D,MATCH($C719,Weeks!$A:$A,0)),Tasks!$I:$I,"&lt;&gt;")</f>
        <v>0</v>
      </c>
      <c r="J719">
        <f>COUNTIFS(Tasks!$A:$A,$A719,Tasks!$B:$B,$B719,
Tasks!$I:$I,"&gt;"&amp;IFERROR(INDEX(Weeks!$D:$D,MATCH($C719-1,Weeks!$A:$A,0)),DATE(2000,1,1)),
Tasks!$I:$I,"&lt;="&amp;INDEX(Weeks!$D:$D,MATCH($C719,Weeks!$A:$A,0)),
Tasks!$I:$I,"&lt;&gt;")</f>
        <v>0</v>
      </c>
    </row>
    <row r="720" spans="1:10" ht="15" customHeight="1">
      <c r="A720" t="s">
        <v>102</v>
      </c>
      <c r="B720" t="s">
        <v>104</v>
      </c>
      <c r="C720">
        <v>43</v>
      </c>
      <c r="D720">
        <v>10</v>
      </c>
      <c r="E720">
        <v>4</v>
      </c>
      <c r="F720" s="5" t="str">
        <f>IFERROR(ROUND(COUNTIFS(Tasks!$A:$A,$A720,Tasks!$B:$B,$B720,Tasks!$I:$I,"&lt;="&amp;INDEX(Weeks!$D:$D,MATCH($C720,Weeks!$A:$A,0)),Tasks!$I:$I,"&lt;&gt;")/COUNTIFS(Tasks!$A:$A,$A720,Tasks!$B:$B,$B720)*100,0),"")</f>
        <v/>
      </c>
      <c r="G720" s="5" t="str">
        <f>IFERROR(ROUND(COUNTIFS(Tasks!$A:$A,$A720,Tasks!$B:$B,$B720,Tasks!$H:$H,"&lt;="&amp;INDEX(Weeks!$D:$D,MATCH($C720,Weeks!$A:$A,0)))/COUNTIFS(Tasks!$A:$A,$A720,Tasks!$B:$B,$B720)*100,0),"")</f>
        <v/>
      </c>
      <c r="I720">
        <f>COUNTIFS(Tasks!$A:$A,$A720,Tasks!$B:$B,$B720,Tasks!$G:$G,"&lt;="&amp;INDEX(Weeks!$D:$D,MATCH($C720,Weeks!$A:$A,0)))-COUNTIFS(Tasks!$A:$A,$A720,Tasks!$B:$B,$B720,Tasks!$I:$I,"&lt;="&amp;INDEX(Weeks!$D:$D,MATCH($C720,Weeks!$A:$A,0)),Tasks!$I:$I,"&lt;&gt;")</f>
        <v>0</v>
      </c>
      <c r="J720">
        <f>COUNTIFS(Tasks!$A:$A,$A720,Tasks!$B:$B,$B720,
Tasks!$I:$I,"&gt;"&amp;IFERROR(INDEX(Weeks!$D:$D,MATCH($C720-1,Weeks!$A:$A,0)),DATE(2000,1,1)),
Tasks!$I:$I,"&lt;="&amp;INDEX(Weeks!$D:$D,MATCH($C720,Weeks!$A:$A,0)),
Tasks!$I:$I,"&lt;&gt;")</f>
        <v>0</v>
      </c>
    </row>
    <row r="721" spans="1:10" ht="15" customHeight="1">
      <c r="A721" t="s">
        <v>102</v>
      </c>
      <c r="B721" t="s">
        <v>104</v>
      </c>
      <c r="C721">
        <v>44</v>
      </c>
      <c r="D721">
        <v>10</v>
      </c>
      <c r="E721">
        <v>5</v>
      </c>
      <c r="F721" s="5" t="str">
        <f>IFERROR(ROUND(COUNTIFS(Tasks!$A:$A,$A721,Tasks!$B:$B,$B721,Tasks!$I:$I,"&lt;="&amp;INDEX(Weeks!$D:$D,MATCH($C721,Weeks!$A:$A,0)),Tasks!$I:$I,"&lt;&gt;")/COUNTIFS(Tasks!$A:$A,$A721,Tasks!$B:$B,$B721)*100,0),"")</f>
        <v/>
      </c>
      <c r="G721" s="5" t="str">
        <f>IFERROR(ROUND(COUNTIFS(Tasks!$A:$A,$A721,Tasks!$B:$B,$B721,Tasks!$H:$H,"&lt;="&amp;INDEX(Weeks!$D:$D,MATCH($C721,Weeks!$A:$A,0)))/COUNTIFS(Tasks!$A:$A,$A721,Tasks!$B:$B,$B721)*100,0),"")</f>
        <v/>
      </c>
      <c r="I721">
        <f>COUNTIFS(Tasks!$A:$A,$A721,Tasks!$B:$B,$B721,Tasks!$G:$G,"&lt;="&amp;INDEX(Weeks!$D:$D,MATCH($C721,Weeks!$A:$A,0)))-COUNTIFS(Tasks!$A:$A,$A721,Tasks!$B:$B,$B721,Tasks!$I:$I,"&lt;="&amp;INDEX(Weeks!$D:$D,MATCH($C721,Weeks!$A:$A,0)),Tasks!$I:$I,"&lt;&gt;")</f>
        <v>0</v>
      </c>
      <c r="J721">
        <f>COUNTIFS(Tasks!$A:$A,$A721,Tasks!$B:$B,$B721,
Tasks!$I:$I,"&gt;"&amp;IFERROR(INDEX(Weeks!$D:$D,MATCH($C721-1,Weeks!$A:$A,0)),DATE(2000,1,1)),
Tasks!$I:$I,"&lt;="&amp;INDEX(Weeks!$D:$D,MATCH($C721,Weeks!$A:$A,0)),
Tasks!$I:$I,"&lt;&gt;")</f>
        <v>0</v>
      </c>
    </row>
    <row r="722" spans="1:10" ht="15" customHeight="1">
      <c r="A722" t="s">
        <v>102</v>
      </c>
      <c r="B722" t="s">
        <v>104</v>
      </c>
      <c r="C722">
        <v>45</v>
      </c>
      <c r="D722">
        <v>11</v>
      </c>
      <c r="E722">
        <v>1</v>
      </c>
      <c r="F722" s="5" t="str">
        <f>IFERROR(ROUND(COUNTIFS(Tasks!$A:$A,$A722,Tasks!$B:$B,$B722,Tasks!$I:$I,"&lt;="&amp;INDEX(Weeks!$D:$D,MATCH($C722,Weeks!$A:$A,0)),Tasks!$I:$I,"&lt;&gt;")/COUNTIFS(Tasks!$A:$A,$A722,Tasks!$B:$B,$B722)*100,0),"")</f>
        <v/>
      </c>
      <c r="G722" s="5" t="str">
        <f>IFERROR(ROUND(COUNTIFS(Tasks!$A:$A,$A722,Tasks!$B:$B,$B722,Tasks!$H:$H,"&lt;="&amp;INDEX(Weeks!$D:$D,MATCH($C722,Weeks!$A:$A,0)))/COUNTIFS(Tasks!$A:$A,$A722,Tasks!$B:$B,$B722)*100,0),"")</f>
        <v/>
      </c>
      <c r="I722">
        <f>COUNTIFS(Tasks!$A:$A,$A722,Tasks!$B:$B,$B722,Tasks!$G:$G,"&lt;="&amp;INDEX(Weeks!$D:$D,MATCH($C722,Weeks!$A:$A,0)))-COUNTIFS(Tasks!$A:$A,$A722,Tasks!$B:$B,$B722,Tasks!$I:$I,"&lt;="&amp;INDEX(Weeks!$D:$D,MATCH($C722,Weeks!$A:$A,0)),Tasks!$I:$I,"&lt;&gt;")</f>
        <v>0</v>
      </c>
      <c r="J722">
        <f>COUNTIFS(Tasks!$A:$A,$A722,Tasks!$B:$B,$B722,
Tasks!$I:$I,"&gt;"&amp;IFERROR(INDEX(Weeks!$D:$D,MATCH($C722-1,Weeks!$A:$A,0)),DATE(2000,1,1)),
Tasks!$I:$I,"&lt;="&amp;INDEX(Weeks!$D:$D,MATCH($C722,Weeks!$A:$A,0)),
Tasks!$I:$I,"&lt;&gt;")</f>
        <v>0</v>
      </c>
    </row>
    <row r="723" spans="1:10" ht="15" customHeight="1">
      <c r="A723" t="s">
        <v>102</v>
      </c>
      <c r="B723" t="s">
        <v>104</v>
      </c>
      <c r="C723">
        <v>46</v>
      </c>
      <c r="D723">
        <v>11</v>
      </c>
      <c r="E723">
        <v>2</v>
      </c>
      <c r="F723" s="5" t="str">
        <f>IFERROR(ROUND(COUNTIFS(Tasks!$A:$A,$A723,Tasks!$B:$B,$B723,Tasks!$I:$I,"&lt;="&amp;INDEX(Weeks!$D:$D,MATCH($C723,Weeks!$A:$A,0)),Tasks!$I:$I,"&lt;&gt;")/COUNTIFS(Tasks!$A:$A,$A723,Tasks!$B:$B,$B723)*100,0),"")</f>
        <v/>
      </c>
      <c r="G723" s="5" t="str">
        <f>IFERROR(ROUND(COUNTIFS(Tasks!$A:$A,$A723,Tasks!$B:$B,$B723,Tasks!$H:$H,"&lt;="&amp;INDEX(Weeks!$D:$D,MATCH($C723,Weeks!$A:$A,0)))/COUNTIFS(Tasks!$A:$A,$A723,Tasks!$B:$B,$B723)*100,0),"")</f>
        <v/>
      </c>
      <c r="I723">
        <f>COUNTIFS(Tasks!$A:$A,$A723,Tasks!$B:$B,$B723,Tasks!$G:$G,"&lt;="&amp;INDEX(Weeks!$D:$D,MATCH($C723,Weeks!$A:$A,0)))-COUNTIFS(Tasks!$A:$A,$A723,Tasks!$B:$B,$B723,Tasks!$I:$I,"&lt;="&amp;INDEX(Weeks!$D:$D,MATCH($C723,Weeks!$A:$A,0)),Tasks!$I:$I,"&lt;&gt;")</f>
        <v>0</v>
      </c>
      <c r="J723">
        <f>COUNTIFS(Tasks!$A:$A,$A723,Tasks!$B:$B,$B723,
Tasks!$I:$I,"&gt;"&amp;IFERROR(INDEX(Weeks!$D:$D,MATCH($C723-1,Weeks!$A:$A,0)),DATE(2000,1,1)),
Tasks!$I:$I,"&lt;="&amp;INDEX(Weeks!$D:$D,MATCH($C723,Weeks!$A:$A,0)),
Tasks!$I:$I,"&lt;&gt;")</f>
        <v>0</v>
      </c>
    </row>
    <row r="724" spans="1:10" ht="15" customHeight="1">
      <c r="A724" t="s">
        <v>102</v>
      </c>
      <c r="B724" t="s">
        <v>104</v>
      </c>
      <c r="C724">
        <v>47</v>
      </c>
      <c r="D724">
        <v>11</v>
      </c>
      <c r="E724">
        <v>3</v>
      </c>
      <c r="F724" s="5" t="str">
        <f>IFERROR(ROUND(COUNTIFS(Tasks!$A:$A,$A724,Tasks!$B:$B,$B724,Tasks!$I:$I,"&lt;="&amp;INDEX(Weeks!$D:$D,MATCH($C724,Weeks!$A:$A,0)),Tasks!$I:$I,"&lt;&gt;")/COUNTIFS(Tasks!$A:$A,$A724,Tasks!$B:$B,$B724)*100,0),"")</f>
        <v/>
      </c>
      <c r="G724" s="5" t="str">
        <f>IFERROR(ROUND(COUNTIFS(Tasks!$A:$A,$A724,Tasks!$B:$B,$B724,Tasks!$H:$H,"&lt;="&amp;INDEX(Weeks!$D:$D,MATCH($C724,Weeks!$A:$A,0)))/COUNTIFS(Tasks!$A:$A,$A724,Tasks!$B:$B,$B724)*100,0),"")</f>
        <v/>
      </c>
      <c r="I724">
        <f>COUNTIFS(Tasks!$A:$A,$A724,Tasks!$B:$B,$B724,Tasks!$G:$G,"&lt;="&amp;INDEX(Weeks!$D:$D,MATCH($C724,Weeks!$A:$A,0)))-COUNTIFS(Tasks!$A:$A,$A724,Tasks!$B:$B,$B724,Tasks!$I:$I,"&lt;="&amp;INDEX(Weeks!$D:$D,MATCH($C724,Weeks!$A:$A,0)),Tasks!$I:$I,"&lt;&gt;")</f>
        <v>0</v>
      </c>
      <c r="J724">
        <f>COUNTIFS(Tasks!$A:$A,$A724,Tasks!$B:$B,$B724,
Tasks!$I:$I,"&gt;"&amp;IFERROR(INDEX(Weeks!$D:$D,MATCH($C724-1,Weeks!$A:$A,0)),DATE(2000,1,1)),
Tasks!$I:$I,"&lt;="&amp;INDEX(Weeks!$D:$D,MATCH($C724,Weeks!$A:$A,0)),
Tasks!$I:$I,"&lt;&gt;")</f>
        <v>0</v>
      </c>
    </row>
    <row r="725" spans="1:10" ht="15" customHeight="1">
      <c r="A725" t="s">
        <v>102</v>
      </c>
      <c r="B725" t="s">
        <v>104</v>
      </c>
      <c r="C725">
        <v>48</v>
      </c>
      <c r="D725">
        <v>11</v>
      </c>
      <c r="E725">
        <v>4</v>
      </c>
      <c r="F725" s="5" t="str">
        <f>IFERROR(ROUND(COUNTIFS(Tasks!$A:$A,$A725,Tasks!$B:$B,$B725,Tasks!$I:$I,"&lt;="&amp;INDEX(Weeks!$D:$D,MATCH($C725,Weeks!$A:$A,0)),Tasks!$I:$I,"&lt;&gt;")/COUNTIFS(Tasks!$A:$A,$A725,Tasks!$B:$B,$B725)*100,0),"")</f>
        <v/>
      </c>
      <c r="G725" s="5" t="str">
        <f>IFERROR(ROUND(COUNTIFS(Tasks!$A:$A,$A725,Tasks!$B:$B,$B725,Tasks!$H:$H,"&lt;="&amp;INDEX(Weeks!$D:$D,MATCH($C725,Weeks!$A:$A,0)))/COUNTIFS(Tasks!$A:$A,$A725,Tasks!$B:$B,$B725)*100,0),"")</f>
        <v/>
      </c>
      <c r="I725">
        <f>COUNTIFS(Tasks!$A:$A,$A725,Tasks!$B:$B,$B725,Tasks!$G:$G,"&lt;="&amp;INDEX(Weeks!$D:$D,MATCH($C725,Weeks!$A:$A,0)))-COUNTIFS(Tasks!$A:$A,$A725,Tasks!$B:$B,$B725,Tasks!$I:$I,"&lt;="&amp;INDEX(Weeks!$D:$D,MATCH($C725,Weeks!$A:$A,0)),Tasks!$I:$I,"&lt;&gt;")</f>
        <v>0</v>
      </c>
      <c r="J725">
        <f>COUNTIFS(Tasks!$A:$A,$A725,Tasks!$B:$B,$B725,
Tasks!$I:$I,"&gt;"&amp;IFERROR(INDEX(Weeks!$D:$D,MATCH($C725-1,Weeks!$A:$A,0)),DATE(2000,1,1)),
Tasks!$I:$I,"&lt;="&amp;INDEX(Weeks!$D:$D,MATCH($C725,Weeks!$A:$A,0)),
Tasks!$I:$I,"&lt;&gt;")</f>
        <v>0</v>
      </c>
    </row>
    <row r="726" spans="1:10" ht="15" customHeight="1">
      <c r="A726" t="s">
        <v>102</v>
      </c>
      <c r="B726" t="s">
        <v>104</v>
      </c>
      <c r="C726">
        <v>49</v>
      </c>
      <c r="D726">
        <v>12</v>
      </c>
      <c r="E726">
        <v>1</v>
      </c>
      <c r="F726" s="5" t="str">
        <f>IFERROR(ROUND(COUNTIFS(Tasks!$A:$A,$A726,Tasks!$B:$B,$B726,Tasks!$I:$I,"&lt;="&amp;INDEX(Weeks!$D:$D,MATCH($C726,Weeks!$A:$A,0)),Tasks!$I:$I,"&lt;&gt;")/COUNTIFS(Tasks!$A:$A,$A726,Tasks!$B:$B,$B726)*100,0),"")</f>
        <v/>
      </c>
      <c r="G726" s="5" t="str">
        <f>IFERROR(ROUND(COUNTIFS(Tasks!$A:$A,$A726,Tasks!$B:$B,$B726,Tasks!$H:$H,"&lt;="&amp;INDEX(Weeks!$D:$D,MATCH($C726,Weeks!$A:$A,0)))/COUNTIFS(Tasks!$A:$A,$A726,Tasks!$B:$B,$B726)*100,0),"")</f>
        <v/>
      </c>
      <c r="I726">
        <f>COUNTIFS(Tasks!$A:$A,$A726,Tasks!$B:$B,$B726,Tasks!$G:$G,"&lt;="&amp;INDEX(Weeks!$D:$D,MATCH($C726,Weeks!$A:$A,0)))-COUNTIFS(Tasks!$A:$A,$A726,Tasks!$B:$B,$B726,Tasks!$I:$I,"&lt;="&amp;INDEX(Weeks!$D:$D,MATCH($C726,Weeks!$A:$A,0)),Tasks!$I:$I,"&lt;&gt;")</f>
        <v>0</v>
      </c>
      <c r="J726">
        <f>COUNTIFS(Tasks!$A:$A,$A726,Tasks!$B:$B,$B726,
Tasks!$I:$I,"&gt;"&amp;IFERROR(INDEX(Weeks!$D:$D,MATCH($C726-1,Weeks!$A:$A,0)),DATE(2000,1,1)),
Tasks!$I:$I,"&lt;="&amp;INDEX(Weeks!$D:$D,MATCH($C726,Weeks!$A:$A,0)),
Tasks!$I:$I,"&lt;&gt;")</f>
        <v>0</v>
      </c>
    </row>
    <row r="727" spans="1:10" ht="15" customHeight="1">
      <c r="A727" t="s">
        <v>102</v>
      </c>
      <c r="B727" t="s">
        <v>104</v>
      </c>
      <c r="C727">
        <v>50</v>
      </c>
      <c r="D727">
        <v>12</v>
      </c>
      <c r="E727">
        <v>2</v>
      </c>
      <c r="F727" s="5" t="str">
        <f>IFERROR(ROUND(COUNTIFS(Tasks!$A:$A,$A727,Tasks!$B:$B,$B727,Tasks!$I:$I,"&lt;="&amp;INDEX(Weeks!$D:$D,MATCH($C727,Weeks!$A:$A,0)),Tasks!$I:$I,"&lt;&gt;")/COUNTIFS(Tasks!$A:$A,$A727,Tasks!$B:$B,$B727)*100,0),"")</f>
        <v/>
      </c>
      <c r="G727" s="5" t="str">
        <f>IFERROR(ROUND(COUNTIFS(Tasks!$A:$A,$A727,Tasks!$B:$B,$B727,Tasks!$H:$H,"&lt;="&amp;INDEX(Weeks!$D:$D,MATCH($C727,Weeks!$A:$A,0)))/COUNTIFS(Tasks!$A:$A,$A727,Tasks!$B:$B,$B727)*100,0),"")</f>
        <v/>
      </c>
      <c r="I727">
        <f>COUNTIFS(Tasks!$A:$A,$A727,Tasks!$B:$B,$B727,Tasks!$G:$G,"&lt;="&amp;INDEX(Weeks!$D:$D,MATCH($C727,Weeks!$A:$A,0)))-COUNTIFS(Tasks!$A:$A,$A727,Tasks!$B:$B,$B727,Tasks!$I:$I,"&lt;="&amp;INDEX(Weeks!$D:$D,MATCH($C727,Weeks!$A:$A,0)),Tasks!$I:$I,"&lt;&gt;")</f>
        <v>0</v>
      </c>
      <c r="J727">
        <f>COUNTIFS(Tasks!$A:$A,$A727,Tasks!$B:$B,$B727,
Tasks!$I:$I,"&gt;"&amp;IFERROR(INDEX(Weeks!$D:$D,MATCH($C727-1,Weeks!$A:$A,0)),DATE(2000,1,1)),
Tasks!$I:$I,"&lt;="&amp;INDEX(Weeks!$D:$D,MATCH($C727,Weeks!$A:$A,0)),
Tasks!$I:$I,"&lt;&gt;")</f>
        <v>0</v>
      </c>
    </row>
    <row r="728" spans="1:10" ht="15" customHeight="1">
      <c r="A728" t="s">
        <v>102</v>
      </c>
      <c r="B728" t="s">
        <v>104</v>
      </c>
      <c r="C728">
        <v>51</v>
      </c>
      <c r="D728">
        <v>12</v>
      </c>
      <c r="E728">
        <v>3</v>
      </c>
      <c r="F728" s="5" t="str">
        <f>IFERROR(ROUND(COUNTIFS(Tasks!$A:$A,$A728,Tasks!$B:$B,$B728,Tasks!$I:$I,"&lt;="&amp;INDEX(Weeks!$D:$D,MATCH($C728,Weeks!$A:$A,0)),Tasks!$I:$I,"&lt;&gt;")/COUNTIFS(Tasks!$A:$A,$A728,Tasks!$B:$B,$B728)*100,0),"")</f>
        <v/>
      </c>
      <c r="G728" s="5" t="str">
        <f>IFERROR(ROUND(COUNTIFS(Tasks!$A:$A,$A728,Tasks!$B:$B,$B728,Tasks!$H:$H,"&lt;="&amp;INDEX(Weeks!$D:$D,MATCH($C728,Weeks!$A:$A,0)))/COUNTIFS(Tasks!$A:$A,$A728,Tasks!$B:$B,$B728)*100,0),"")</f>
        <v/>
      </c>
      <c r="I728">
        <f>COUNTIFS(Tasks!$A:$A,$A728,Tasks!$B:$B,$B728,Tasks!$G:$G,"&lt;="&amp;INDEX(Weeks!$D:$D,MATCH($C728,Weeks!$A:$A,0)))-COUNTIFS(Tasks!$A:$A,$A728,Tasks!$B:$B,$B728,Tasks!$I:$I,"&lt;="&amp;INDEX(Weeks!$D:$D,MATCH($C728,Weeks!$A:$A,0)),Tasks!$I:$I,"&lt;&gt;")</f>
        <v>0</v>
      </c>
      <c r="J728">
        <f>COUNTIFS(Tasks!$A:$A,$A728,Tasks!$B:$B,$B728,
Tasks!$I:$I,"&gt;"&amp;IFERROR(INDEX(Weeks!$D:$D,MATCH($C728-1,Weeks!$A:$A,0)),DATE(2000,1,1)),
Tasks!$I:$I,"&lt;="&amp;INDEX(Weeks!$D:$D,MATCH($C728,Weeks!$A:$A,0)),
Tasks!$I:$I,"&lt;&gt;")</f>
        <v>0</v>
      </c>
    </row>
    <row r="729" spans="1:10" ht="15" customHeight="1">
      <c r="A729" t="s">
        <v>102</v>
      </c>
      <c r="B729" t="s">
        <v>104</v>
      </c>
      <c r="C729">
        <v>52</v>
      </c>
      <c r="D729">
        <v>12</v>
      </c>
      <c r="E729">
        <v>4</v>
      </c>
      <c r="F729" s="5" t="str">
        <f>IFERROR(ROUND(COUNTIFS(Tasks!$A:$A,$A729,Tasks!$B:$B,$B729,Tasks!$I:$I,"&lt;="&amp;INDEX(Weeks!$D:$D,MATCH($C729,Weeks!$A:$A,0)),Tasks!$I:$I,"&lt;&gt;")/COUNTIFS(Tasks!$A:$A,$A729,Tasks!$B:$B,$B729)*100,0),"")</f>
        <v/>
      </c>
      <c r="G729" s="5" t="str">
        <f>IFERROR(ROUND(COUNTIFS(Tasks!$A:$A,$A729,Tasks!$B:$B,$B729,Tasks!$H:$H,"&lt;="&amp;INDEX(Weeks!$D:$D,MATCH($C729,Weeks!$A:$A,0)))/COUNTIFS(Tasks!$A:$A,$A729,Tasks!$B:$B,$B729)*100,0),"")</f>
        <v/>
      </c>
      <c r="I729">
        <f>COUNTIFS(Tasks!$A:$A,$A729,Tasks!$B:$B,$B729,Tasks!$G:$G,"&lt;="&amp;INDEX(Weeks!$D:$D,MATCH($C729,Weeks!$A:$A,0)))-COUNTIFS(Tasks!$A:$A,$A729,Tasks!$B:$B,$B729,Tasks!$I:$I,"&lt;="&amp;INDEX(Weeks!$D:$D,MATCH($C729,Weeks!$A:$A,0)),Tasks!$I:$I,"&lt;&gt;")</f>
        <v>0</v>
      </c>
      <c r="J729">
        <f>COUNTIFS(Tasks!$A:$A,$A729,Tasks!$B:$B,$B729,
Tasks!$I:$I,"&gt;"&amp;IFERROR(INDEX(Weeks!$D:$D,MATCH($C729-1,Weeks!$A:$A,0)),DATE(2000,1,1)),
Tasks!$I:$I,"&lt;="&amp;INDEX(Weeks!$D:$D,MATCH($C729,Weeks!$A:$A,0)),
Tasks!$I:$I,"&lt;&gt;")</f>
        <v>0</v>
      </c>
    </row>
    <row r="730" spans="1:10" ht="15" customHeight="1">
      <c r="A730" t="s">
        <v>102</v>
      </c>
      <c r="B730" t="s">
        <v>105</v>
      </c>
      <c r="C730">
        <v>1</v>
      </c>
      <c r="D730">
        <v>1</v>
      </c>
      <c r="E730">
        <v>1</v>
      </c>
      <c r="F730" s="5" t="str">
        <f>IFERROR(ROUND(COUNTIFS(Tasks!$A:$A,$A730,Tasks!$B:$B,$B730,Tasks!$I:$I,"&lt;="&amp;INDEX(Weeks!$D:$D,MATCH($C730,Weeks!$A:$A,0)),Tasks!$I:$I,"&lt;&gt;")/COUNTIFS(Tasks!$A:$A,$A730,Tasks!$B:$B,$B730)*100,0),"")</f>
        <v/>
      </c>
      <c r="G730" s="5" t="str">
        <f>IFERROR(ROUND(COUNTIFS(Tasks!$A:$A,$A730,Tasks!$B:$B,$B730,Tasks!$H:$H,"&lt;="&amp;INDEX(Weeks!$D:$D,MATCH($C730,Weeks!$A:$A,0)))/COUNTIFS(Tasks!$A:$A,$A730,Tasks!$B:$B,$B730)*100,0),"")</f>
        <v/>
      </c>
      <c r="H730" t="s">
        <v>101</v>
      </c>
      <c r="I730">
        <f>COUNTIFS(Tasks!$A:$A,$A730,Tasks!$B:$B,$B730,Tasks!$G:$G,"&lt;="&amp;INDEX(Weeks!$D:$D,MATCH($C730,Weeks!$A:$A,0)))-COUNTIFS(Tasks!$A:$A,$A730,Tasks!$B:$B,$B730,Tasks!$I:$I,"&lt;="&amp;INDEX(Weeks!$D:$D,MATCH($C730,Weeks!$A:$A,0)),Tasks!$I:$I,"&lt;&gt;")</f>
        <v>0</v>
      </c>
      <c r="J730">
        <f>COUNTIFS(Tasks!$A:$A,$A730,Tasks!$B:$B,$B730,
Tasks!$I:$I,"&gt;"&amp;IFERROR(INDEX(Weeks!$D:$D,MATCH($C730-1,Weeks!$A:$A,0)),DATE(2000,1,1)),
Tasks!$I:$I,"&lt;="&amp;INDEX(Weeks!$D:$D,MATCH($C730,Weeks!$A:$A,0)),
Tasks!$I:$I,"&lt;&gt;")</f>
        <v>0</v>
      </c>
    </row>
    <row r="731" spans="1:10" ht="15" customHeight="1">
      <c r="A731" t="s">
        <v>102</v>
      </c>
      <c r="B731" t="s">
        <v>105</v>
      </c>
      <c r="C731">
        <v>2</v>
      </c>
      <c r="D731">
        <v>1</v>
      </c>
      <c r="E731">
        <v>2</v>
      </c>
      <c r="F731" s="5" t="str">
        <f>IFERROR(ROUND(COUNTIFS(Tasks!$A:$A,$A731,Tasks!$B:$B,$B731,Tasks!$I:$I,"&lt;="&amp;INDEX(Weeks!$D:$D,MATCH($C731,Weeks!$A:$A,0)),Tasks!$I:$I,"&lt;&gt;")/COUNTIFS(Tasks!$A:$A,$A731,Tasks!$B:$B,$B731)*100,0),"")</f>
        <v/>
      </c>
      <c r="G731" s="5" t="str">
        <f>IFERROR(ROUND(COUNTIFS(Tasks!$A:$A,$A731,Tasks!$B:$B,$B731,Tasks!$H:$H,"&lt;="&amp;INDEX(Weeks!$D:$D,MATCH($C731,Weeks!$A:$A,0)))/COUNTIFS(Tasks!$A:$A,$A731,Tasks!$B:$B,$B731)*100,0),"")</f>
        <v/>
      </c>
      <c r="H731" t="s">
        <v>101</v>
      </c>
      <c r="I731">
        <f>COUNTIFS(Tasks!$A:$A,$A731,Tasks!$B:$B,$B731,Tasks!$G:$G,"&lt;="&amp;INDEX(Weeks!$D:$D,MATCH($C731,Weeks!$A:$A,0)))-COUNTIFS(Tasks!$A:$A,$A731,Tasks!$B:$B,$B731,Tasks!$I:$I,"&lt;="&amp;INDEX(Weeks!$D:$D,MATCH($C731,Weeks!$A:$A,0)),Tasks!$I:$I,"&lt;&gt;")</f>
        <v>0</v>
      </c>
      <c r="J731">
        <f>COUNTIFS(Tasks!$A:$A,$A731,Tasks!$B:$B,$B731,
Tasks!$I:$I,"&gt;"&amp;IFERROR(INDEX(Weeks!$D:$D,MATCH($C731-1,Weeks!$A:$A,0)),DATE(2000,1,1)),
Tasks!$I:$I,"&lt;="&amp;INDEX(Weeks!$D:$D,MATCH($C731,Weeks!$A:$A,0)),
Tasks!$I:$I,"&lt;&gt;")</f>
        <v>0</v>
      </c>
    </row>
    <row r="732" spans="1:10" ht="15" customHeight="1">
      <c r="A732" t="s">
        <v>102</v>
      </c>
      <c r="B732" t="s">
        <v>105</v>
      </c>
      <c r="C732">
        <v>3</v>
      </c>
      <c r="D732">
        <v>1</v>
      </c>
      <c r="E732">
        <v>3</v>
      </c>
      <c r="F732" s="5" t="str">
        <f>IFERROR(ROUND(COUNTIFS(Tasks!$A:$A,$A732,Tasks!$B:$B,$B732,Tasks!$I:$I,"&lt;="&amp;INDEX(Weeks!$D:$D,MATCH($C732,Weeks!$A:$A,0)),Tasks!$I:$I,"&lt;&gt;")/COUNTIFS(Tasks!$A:$A,$A732,Tasks!$B:$B,$B732)*100,0),"")</f>
        <v/>
      </c>
      <c r="G732" s="5" t="str">
        <f>IFERROR(ROUND(COUNTIFS(Tasks!$A:$A,$A732,Tasks!$B:$B,$B732,Tasks!$H:$H,"&lt;="&amp;INDEX(Weeks!$D:$D,MATCH($C732,Weeks!$A:$A,0)))/COUNTIFS(Tasks!$A:$A,$A732,Tasks!$B:$B,$B732)*100,0),"")</f>
        <v/>
      </c>
      <c r="H732" t="s">
        <v>101</v>
      </c>
      <c r="I732">
        <f>COUNTIFS(Tasks!$A:$A,$A732,Tasks!$B:$B,$B732,Tasks!$G:$G,"&lt;="&amp;INDEX(Weeks!$D:$D,MATCH($C732,Weeks!$A:$A,0)))-COUNTIFS(Tasks!$A:$A,$A732,Tasks!$B:$B,$B732,Tasks!$I:$I,"&lt;="&amp;INDEX(Weeks!$D:$D,MATCH($C732,Weeks!$A:$A,0)),Tasks!$I:$I,"&lt;&gt;")</f>
        <v>0</v>
      </c>
      <c r="J732">
        <f>COUNTIFS(Tasks!$A:$A,$A732,Tasks!$B:$B,$B732,
Tasks!$I:$I,"&gt;"&amp;IFERROR(INDEX(Weeks!$D:$D,MATCH($C732-1,Weeks!$A:$A,0)),DATE(2000,1,1)),
Tasks!$I:$I,"&lt;="&amp;INDEX(Weeks!$D:$D,MATCH($C732,Weeks!$A:$A,0)),
Tasks!$I:$I,"&lt;&gt;")</f>
        <v>0</v>
      </c>
    </row>
    <row r="733" spans="1:10" ht="15" customHeight="1">
      <c r="A733" t="s">
        <v>102</v>
      </c>
      <c r="B733" t="s">
        <v>105</v>
      </c>
      <c r="C733">
        <v>4</v>
      </c>
      <c r="D733">
        <v>1</v>
      </c>
      <c r="E733">
        <v>4</v>
      </c>
      <c r="F733" s="5" t="str">
        <f>IFERROR(ROUND(COUNTIFS(Tasks!$A:$A,$A733,Tasks!$B:$B,$B733,Tasks!$I:$I,"&lt;="&amp;INDEX(Weeks!$D:$D,MATCH($C733,Weeks!$A:$A,0)),Tasks!$I:$I,"&lt;&gt;")/COUNTIFS(Tasks!$A:$A,$A733,Tasks!$B:$B,$B733)*100,0),"")</f>
        <v/>
      </c>
      <c r="G733" s="5" t="str">
        <f>IFERROR(ROUND(COUNTIFS(Tasks!$A:$A,$A733,Tasks!$B:$B,$B733,Tasks!$H:$H,"&lt;="&amp;INDEX(Weeks!$D:$D,MATCH($C733,Weeks!$A:$A,0)))/COUNTIFS(Tasks!$A:$A,$A733,Tasks!$B:$B,$B733)*100,0),"")</f>
        <v/>
      </c>
      <c r="H733" t="s">
        <v>101</v>
      </c>
      <c r="I733">
        <f>COUNTIFS(Tasks!$A:$A,$A733,Tasks!$B:$B,$B733,Tasks!$G:$G,"&lt;="&amp;INDEX(Weeks!$D:$D,MATCH($C733,Weeks!$A:$A,0)))-COUNTIFS(Tasks!$A:$A,$A733,Tasks!$B:$B,$B733,Tasks!$I:$I,"&lt;="&amp;INDEX(Weeks!$D:$D,MATCH($C733,Weeks!$A:$A,0)),Tasks!$I:$I,"&lt;&gt;")</f>
        <v>0</v>
      </c>
      <c r="J733">
        <f>COUNTIFS(Tasks!$A:$A,$A733,Tasks!$B:$B,$B733,
Tasks!$I:$I,"&gt;"&amp;IFERROR(INDEX(Weeks!$D:$D,MATCH($C733-1,Weeks!$A:$A,0)),DATE(2000,1,1)),
Tasks!$I:$I,"&lt;="&amp;INDEX(Weeks!$D:$D,MATCH($C733,Weeks!$A:$A,0)),
Tasks!$I:$I,"&lt;&gt;")</f>
        <v>0</v>
      </c>
    </row>
    <row r="734" spans="1:10" ht="15" customHeight="1">
      <c r="A734" t="s">
        <v>102</v>
      </c>
      <c r="B734" t="s">
        <v>105</v>
      </c>
      <c r="C734">
        <v>5</v>
      </c>
      <c r="D734">
        <v>1</v>
      </c>
      <c r="E734">
        <v>5</v>
      </c>
      <c r="F734" s="5" t="str">
        <f>IFERROR(ROUND(COUNTIFS(Tasks!$A:$A,$A734,Tasks!$B:$B,$B734,Tasks!$I:$I,"&lt;="&amp;INDEX(Weeks!$D:$D,MATCH($C734,Weeks!$A:$A,0)),Tasks!$I:$I,"&lt;&gt;")/COUNTIFS(Tasks!$A:$A,$A734,Tasks!$B:$B,$B734)*100,0),"")</f>
        <v/>
      </c>
      <c r="G734" s="5" t="str">
        <f>IFERROR(ROUND(COUNTIFS(Tasks!$A:$A,$A734,Tasks!$B:$B,$B734,Tasks!$H:$H,"&lt;="&amp;INDEX(Weeks!$D:$D,MATCH($C734,Weeks!$A:$A,0)))/COUNTIFS(Tasks!$A:$A,$A734,Tasks!$B:$B,$B734)*100,0),"")</f>
        <v/>
      </c>
      <c r="H734" t="s">
        <v>101</v>
      </c>
      <c r="I734">
        <f>COUNTIFS(Tasks!$A:$A,$A734,Tasks!$B:$B,$B734,Tasks!$G:$G,"&lt;="&amp;INDEX(Weeks!$D:$D,MATCH($C734,Weeks!$A:$A,0)))-COUNTIFS(Tasks!$A:$A,$A734,Tasks!$B:$B,$B734,Tasks!$I:$I,"&lt;="&amp;INDEX(Weeks!$D:$D,MATCH($C734,Weeks!$A:$A,0)),Tasks!$I:$I,"&lt;&gt;")</f>
        <v>0</v>
      </c>
      <c r="J734">
        <f>COUNTIFS(Tasks!$A:$A,$A734,Tasks!$B:$B,$B734,
Tasks!$I:$I,"&gt;"&amp;IFERROR(INDEX(Weeks!$D:$D,MATCH($C734-1,Weeks!$A:$A,0)),DATE(2000,1,1)),
Tasks!$I:$I,"&lt;="&amp;INDEX(Weeks!$D:$D,MATCH($C734,Weeks!$A:$A,0)),
Tasks!$I:$I,"&lt;&gt;")</f>
        <v>0</v>
      </c>
    </row>
    <row r="735" spans="1:10" ht="15" customHeight="1">
      <c r="A735" t="s">
        <v>102</v>
      </c>
      <c r="B735" t="s">
        <v>105</v>
      </c>
      <c r="C735">
        <v>6</v>
      </c>
      <c r="D735">
        <v>2</v>
      </c>
      <c r="E735">
        <v>1</v>
      </c>
      <c r="F735" s="5" t="str">
        <f>IFERROR(ROUND(COUNTIFS(Tasks!$A:$A,$A735,Tasks!$B:$B,$B735,Tasks!$I:$I,"&lt;="&amp;INDEX(Weeks!$D:$D,MATCH($C735,Weeks!$A:$A,0)),Tasks!$I:$I,"&lt;&gt;")/COUNTIFS(Tasks!$A:$A,$A735,Tasks!$B:$B,$B735)*100,0),"")</f>
        <v/>
      </c>
      <c r="G735" s="5" t="str">
        <f>IFERROR(ROUND(COUNTIFS(Tasks!$A:$A,$A735,Tasks!$B:$B,$B735,Tasks!$H:$H,"&lt;="&amp;INDEX(Weeks!$D:$D,MATCH($C735,Weeks!$A:$A,0)))/COUNTIFS(Tasks!$A:$A,$A735,Tasks!$B:$B,$B735)*100,0),"")</f>
        <v/>
      </c>
      <c r="H735" t="s">
        <v>101</v>
      </c>
      <c r="I735">
        <f>COUNTIFS(Tasks!$A:$A,$A735,Tasks!$B:$B,$B735,Tasks!$G:$G,"&lt;="&amp;INDEX(Weeks!$D:$D,MATCH($C735,Weeks!$A:$A,0)))-COUNTIFS(Tasks!$A:$A,$A735,Tasks!$B:$B,$B735,Tasks!$I:$I,"&lt;="&amp;INDEX(Weeks!$D:$D,MATCH($C735,Weeks!$A:$A,0)),Tasks!$I:$I,"&lt;&gt;")</f>
        <v>0</v>
      </c>
      <c r="J735">
        <f>COUNTIFS(Tasks!$A:$A,$A735,Tasks!$B:$B,$B735,
Tasks!$I:$I,"&gt;"&amp;IFERROR(INDEX(Weeks!$D:$D,MATCH($C735-1,Weeks!$A:$A,0)),DATE(2000,1,1)),
Tasks!$I:$I,"&lt;="&amp;INDEX(Weeks!$D:$D,MATCH($C735,Weeks!$A:$A,0)),
Tasks!$I:$I,"&lt;&gt;")</f>
        <v>0</v>
      </c>
    </row>
    <row r="736" spans="1:10" ht="15" customHeight="1">
      <c r="A736" t="s">
        <v>102</v>
      </c>
      <c r="B736" t="s">
        <v>105</v>
      </c>
      <c r="C736">
        <v>7</v>
      </c>
      <c r="D736">
        <v>2</v>
      </c>
      <c r="E736">
        <v>2</v>
      </c>
      <c r="F736" s="5" t="str">
        <f>IFERROR(ROUND(COUNTIFS(Tasks!$A:$A,$A736,Tasks!$B:$B,$B736,Tasks!$I:$I,"&lt;="&amp;INDEX(Weeks!$D:$D,MATCH($C736,Weeks!$A:$A,0)),Tasks!$I:$I,"&lt;&gt;")/COUNTIFS(Tasks!$A:$A,$A736,Tasks!$B:$B,$B736)*100,0),"")</f>
        <v/>
      </c>
      <c r="G736" s="5" t="str">
        <f>IFERROR(ROUND(COUNTIFS(Tasks!$A:$A,$A736,Tasks!$B:$B,$B736,Tasks!$H:$H,"&lt;="&amp;INDEX(Weeks!$D:$D,MATCH($C736,Weeks!$A:$A,0)))/COUNTIFS(Tasks!$A:$A,$A736,Tasks!$B:$B,$B736)*100,0),"")</f>
        <v/>
      </c>
      <c r="H736" t="s">
        <v>101</v>
      </c>
      <c r="I736">
        <f>COUNTIFS(Tasks!$A:$A,$A736,Tasks!$B:$B,$B736,Tasks!$G:$G,"&lt;="&amp;INDEX(Weeks!$D:$D,MATCH($C736,Weeks!$A:$A,0)))-COUNTIFS(Tasks!$A:$A,$A736,Tasks!$B:$B,$B736,Tasks!$I:$I,"&lt;="&amp;INDEX(Weeks!$D:$D,MATCH($C736,Weeks!$A:$A,0)),Tasks!$I:$I,"&lt;&gt;")</f>
        <v>0</v>
      </c>
      <c r="J736">
        <f>COUNTIFS(Tasks!$A:$A,$A736,Tasks!$B:$B,$B736,
Tasks!$I:$I,"&gt;"&amp;IFERROR(INDEX(Weeks!$D:$D,MATCH($C736-1,Weeks!$A:$A,0)),DATE(2000,1,1)),
Tasks!$I:$I,"&lt;="&amp;INDEX(Weeks!$D:$D,MATCH($C736,Weeks!$A:$A,0)),
Tasks!$I:$I,"&lt;&gt;")</f>
        <v>0</v>
      </c>
    </row>
    <row r="737" spans="1:10" ht="15" customHeight="1">
      <c r="A737" t="s">
        <v>102</v>
      </c>
      <c r="B737" t="s">
        <v>105</v>
      </c>
      <c r="C737">
        <v>8</v>
      </c>
      <c r="D737">
        <v>2</v>
      </c>
      <c r="E737">
        <v>3</v>
      </c>
      <c r="F737" s="5" t="str">
        <f>IFERROR(ROUND(COUNTIFS(Tasks!$A:$A,$A737,Tasks!$B:$B,$B737,Tasks!$I:$I,"&lt;="&amp;INDEX(Weeks!$D:$D,MATCH($C737,Weeks!$A:$A,0)),Tasks!$I:$I,"&lt;&gt;")/COUNTIFS(Tasks!$A:$A,$A737,Tasks!$B:$B,$B737)*100,0),"")</f>
        <v/>
      </c>
      <c r="G737" s="5" t="str">
        <f>IFERROR(ROUND(COUNTIFS(Tasks!$A:$A,$A737,Tasks!$B:$B,$B737,Tasks!$H:$H,"&lt;="&amp;INDEX(Weeks!$D:$D,MATCH($C737,Weeks!$A:$A,0)))/COUNTIFS(Tasks!$A:$A,$A737,Tasks!$B:$B,$B737)*100,0),"")</f>
        <v/>
      </c>
      <c r="H737" t="s">
        <v>101</v>
      </c>
      <c r="I737">
        <f>COUNTIFS(Tasks!$A:$A,$A737,Tasks!$B:$B,$B737,Tasks!$G:$G,"&lt;="&amp;INDEX(Weeks!$D:$D,MATCH($C737,Weeks!$A:$A,0)))-COUNTIFS(Tasks!$A:$A,$A737,Tasks!$B:$B,$B737,Tasks!$I:$I,"&lt;="&amp;INDEX(Weeks!$D:$D,MATCH($C737,Weeks!$A:$A,0)),Tasks!$I:$I,"&lt;&gt;")</f>
        <v>0</v>
      </c>
      <c r="J737">
        <f>COUNTIFS(Tasks!$A:$A,$A737,Tasks!$B:$B,$B737,
Tasks!$I:$I,"&gt;"&amp;IFERROR(INDEX(Weeks!$D:$D,MATCH($C737-1,Weeks!$A:$A,0)),DATE(2000,1,1)),
Tasks!$I:$I,"&lt;="&amp;INDEX(Weeks!$D:$D,MATCH($C737,Weeks!$A:$A,0)),
Tasks!$I:$I,"&lt;&gt;")</f>
        <v>0</v>
      </c>
    </row>
    <row r="738" spans="1:10" ht="15" customHeight="1">
      <c r="A738" t="s">
        <v>102</v>
      </c>
      <c r="B738" t="s">
        <v>105</v>
      </c>
      <c r="C738">
        <v>9</v>
      </c>
      <c r="D738">
        <v>2</v>
      </c>
      <c r="E738">
        <v>4</v>
      </c>
      <c r="F738" s="5" t="str">
        <f>IFERROR(ROUND(COUNTIFS(Tasks!$A:$A,$A738,Tasks!$B:$B,$B738,Tasks!$I:$I,"&lt;="&amp;INDEX(Weeks!$D:$D,MATCH($C738,Weeks!$A:$A,0)),Tasks!$I:$I,"&lt;&gt;")/COUNTIFS(Tasks!$A:$A,$A738,Tasks!$B:$B,$B738)*100,0),"")</f>
        <v/>
      </c>
      <c r="G738" s="5" t="str">
        <f>IFERROR(ROUND(COUNTIFS(Tasks!$A:$A,$A738,Tasks!$B:$B,$B738,Tasks!$H:$H,"&lt;="&amp;INDEX(Weeks!$D:$D,MATCH($C738,Weeks!$A:$A,0)))/COUNTIFS(Tasks!$A:$A,$A738,Tasks!$B:$B,$B738)*100,0),"")</f>
        <v/>
      </c>
      <c r="H738" t="s">
        <v>101</v>
      </c>
      <c r="I738">
        <f>COUNTIFS(Tasks!$A:$A,$A738,Tasks!$B:$B,$B738,Tasks!$G:$G,"&lt;="&amp;INDEX(Weeks!$D:$D,MATCH($C738,Weeks!$A:$A,0)))-COUNTIFS(Tasks!$A:$A,$A738,Tasks!$B:$B,$B738,Tasks!$I:$I,"&lt;="&amp;INDEX(Weeks!$D:$D,MATCH($C738,Weeks!$A:$A,0)),Tasks!$I:$I,"&lt;&gt;")</f>
        <v>0</v>
      </c>
      <c r="J738">
        <f>COUNTIFS(Tasks!$A:$A,$A738,Tasks!$B:$B,$B738,
Tasks!$I:$I,"&gt;"&amp;IFERROR(INDEX(Weeks!$D:$D,MATCH($C738-1,Weeks!$A:$A,0)),DATE(2000,1,1)),
Tasks!$I:$I,"&lt;="&amp;INDEX(Weeks!$D:$D,MATCH($C738,Weeks!$A:$A,0)),
Tasks!$I:$I,"&lt;&gt;")</f>
        <v>0</v>
      </c>
    </row>
    <row r="739" spans="1:10" ht="15" customHeight="1">
      <c r="A739" t="s">
        <v>102</v>
      </c>
      <c r="B739" t="s">
        <v>105</v>
      </c>
      <c r="C739">
        <v>10</v>
      </c>
      <c r="D739">
        <v>3</v>
      </c>
      <c r="E739">
        <v>1</v>
      </c>
      <c r="F739" s="5" t="str">
        <f>IFERROR(ROUND(COUNTIFS(Tasks!$A:$A,$A739,Tasks!$B:$B,$B739,Tasks!$I:$I,"&lt;="&amp;INDEX(Weeks!$D:$D,MATCH($C739,Weeks!$A:$A,0)),Tasks!$I:$I,"&lt;&gt;")/COUNTIFS(Tasks!$A:$A,$A739,Tasks!$B:$B,$B739)*100,0),"")</f>
        <v/>
      </c>
      <c r="G739" s="5" t="str">
        <f>IFERROR(ROUND(COUNTIFS(Tasks!$A:$A,$A739,Tasks!$B:$B,$B739,Tasks!$H:$H,"&lt;="&amp;INDEX(Weeks!$D:$D,MATCH($C739,Weeks!$A:$A,0)))/COUNTIFS(Tasks!$A:$A,$A739,Tasks!$B:$B,$B739)*100,0),"")</f>
        <v/>
      </c>
      <c r="H739" t="s">
        <v>101</v>
      </c>
      <c r="I739">
        <f>COUNTIFS(Tasks!$A:$A,$A739,Tasks!$B:$B,$B739,Tasks!$G:$G,"&lt;="&amp;INDEX(Weeks!$D:$D,MATCH($C739,Weeks!$A:$A,0)))-COUNTIFS(Tasks!$A:$A,$A739,Tasks!$B:$B,$B739,Tasks!$I:$I,"&lt;="&amp;INDEX(Weeks!$D:$D,MATCH($C739,Weeks!$A:$A,0)),Tasks!$I:$I,"&lt;&gt;")</f>
        <v>0</v>
      </c>
      <c r="J739">
        <f>COUNTIFS(Tasks!$A:$A,$A739,Tasks!$B:$B,$B739,
Tasks!$I:$I,"&gt;"&amp;IFERROR(INDEX(Weeks!$D:$D,MATCH($C739-1,Weeks!$A:$A,0)),DATE(2000,1,1)),
Tasks!$I:$I,"&lt;="&amp;INDEX(Weeks!$D:$D,MATCH($C739,Weeks!$A:$A,0)),
Tasks!$I:$I,"&lt;&gt;")</f>
        <v>0</v>
      </c>
    </row>
    <row r="740" spans="1:10" ht="15" customHeight="1">
      <c r="A740" t="s">
        <v>102</v>
      </c>
      <c r="B740" t="s">
        <v>105</v>
      </c>
      <c r="C740">
        <v>11</v>
      </c>
      <c r="D740">
        <v>3</v>
      </c>
      <c r="E740">
        <v>2</v>
      </c>
      <c r="F740" s="5" t="str">
        <f>IFERROR(ROUND(COUNTIFS(Tasks!$A:$A,$A740,Tasks!$B:$B,$B740,Tasks!$I:$I,"&lt;="&amp;INDEX(Weeks!$D:$D,MATCH($C740,Weeks!$A:$A,0)),Tasks!$I:$I,"&lt;&gt;")/COUNTIFS(Tasks!$A:$A,$A740,Tasks!$B:$B,$B740)*100,0),"")</f>
        <v/>
      </c>
      <c r="G740" s="5" t="str">
        <f>IFERROR(ROUND(COUNTIFS(Tasks!$A:$A,$A740,Tasks!$B:$B,$B740,Tasks!$H:$H,"&lt;="&amp;INDEX(Weeks!$D:$D,MATCH($C740,Weeks!$A:$A,0)))/COUNTIFS(Tasks!$A:$A,$A740,Tasks!$B:$B,$B740)*100,0),"")</f>
        <v/>
      </c>
      <c r="H740" t="s">
        <v>101</v>
      </c>
      <c r="I740">
        <f>COUNTIFS(Tasks!$A:$A,$A740,Tasks!$B:$B,$B740,Tasks!$G:$G,"&lt;="&amp;INDEX(Weeks!$D:$D,MATCH($C740,Weeks!$A:$A,0)))-COUNTIFS(Tasks!$A:$A,$A740,Tasks!$B:$B,$B740,Tasks!$I:$I,"&lt;="&amp;INDEX(Weeks!$D:$D,MATCH($C740,Weeks!$A:$A,0)),Tasks!$I:$I,"&lt;&gt;")</f>
        <v>0</v>
      </c>
      <c r="J740">
        <f>COUNTIFS(Tasks!$A:$A,$A740,Tasks!$B:$B,$B740,
Tasks!$I:$I,"&gt;"&amp;IFERROR(INDEX(Weeks!$D:$D,MATCH($C740-1,Weeks!$A:$A,0)),DATE(2000,1,1)),
Tasks!$I:$I,"&lt;="&amp;INDEX(Weeks!$D:$D,MATCH($C740,Weeks!$A:$A,0)),
Tasks!$I:$I,"&lt;&gt;")</f>
        <v>0</v>
      </c>
    </row>
    <row r="741" spans="1:10" ht="15" customHeight="1">
      <c r="A741" t="s">
        <v>102</v>
      </c>
      <c r="B741" t="s">
        <v>105</v>
      </c>
      <c r="C741">
        <v>12</v>
      </c>
      <c r="D741">
        <v>3</v>
      </c>
      <c r="E741">
        <v>3</v>
      </c>
      <c r="F741" s="5" t="str">
        <f>IFERROR(ROUND(COUNTIFS(Tasks!$A:$A,$A741,Tasks!$B:$B,$B741,Tasks!$I:$I,"&lt;="&amp;INDEX(Weeks!$D:$D,MATCH($C741,Weeks!$A:$A,0)),Tasks!$I:$I,"&lt;&gt;")/COUNTIFS(Tasks!$A:$A,$A741,Tasks!$B:$B,$B741)*100,0),"")</f>
        <v/>
      </c>
      <c r="G741" s="5" t="str">
        <f>IFERROR(ROUND(COUNTIFS(Tasks!$A:$A,$A741,Tasks!$B:$B,$B741,Tasks!$H:$H,"&lt;="&amp;INDEX(Weeks!$D:$D,MATCH($C741,Weeks!$A:$A,0)))/COUNTIFS(Tasks!$A:$A,$A741,Tasks!$B:$B,$B741)*100,0),"")</f>
        <v/>
      </c>
      <c r="H741" t="s">
        <v>101</v>
      </c>
      <c r="I741">
        <f>COUNTIFS(Tasks!$A:$A,$A741,Tasks!$B:$B,$B741,Tasks!$G:$G,"&lt;="&amp;INDEX(Weeks!$D:$D,MATCH($C741,Weeks!$A:$A,0)))-COUNTIFS(Tasks!$A:$A,$A741,Tasks!$B:$B,$B741,Tasks!$I:$I,"&lt;="&amp;INDEX(Weeks!$D:$D,MATCH($C741,Weeks!$A:$A,0)),Tasks!$I:$I,"&lt;&gt;")</f>
        <v>0</v>
      </c>
      <c r="J741">
        <f>COUNTIFS(Tasks!$A:$A,$A741,Tasks!$B:$B,$B741,
Tasks!$I:$I,"&gt;"&amp;IFERROR(INDEX(Weeks!$D:$D,MATCH($C741-1,Weeks!$A:$A,0)),DATE(2000,1,1)),
Tasks!$I:$I,"&lt;="&amp;INDEX(Weeks!$D:$D,MATCH($C741,Weeks!$A:$A,0)),
Tasks!$I:$I,"&lt;&gt;")</f>
        <v>0</v>
      </c>
    </row>
    <row r="742" spans="1:10" ht="15" customHeight="1">
      <c r="A742" t="s">
        <v>102</v>
      </c>
      <c r="B742" t="s">
        <v>105</v>
      </c>
      <c r="C742">
        <v>13</v>
      </c>
      <c r="D742">
        <v>3</v>
      </c>
      <c r="E742">
        <v>4</v>
      </c>
      <c r="F742" s="5" t="str">
        <f>IFERROR(ROUND(COUNTIFS(Tasks!$A:$A,$A742,Tasks!$B:$B,$B742,Tasks!$I:$I,"&lt;="&amp;INDEX(Weeks!$D:$D,MATCH($C742,Weeks!$A:$A,0)),Tasks!$I:$I,"&lt;&gt;")/COUNTIFS(Tasks!$A:$A,$A742,Tasks!$B:$B,$B742)*100,0),"")</f>
        <v/>
      </c>
      <c r="G742" s="5" t="str">
        <f>IFERROR(ROUND(COUNTIFS(Tasks!$A:$A,$A742,Tasks!$B:$B,$B742,Tasks!$H:$H,"&lt;="&amp;INDEX(Weeks!$D:$D,MATCH($C742,Weeks!$A:$A,0)))/COUNTIFS(Tasks!$A:$A,$A742,Tasks!$B:$B,$B742)*100,0),"")</f>
        <v/>
      </c>
      <c r="H742" t="s">
        <v>101</v>
      </c>
      <c r="I742">
        <f>COUNTIFS(Tasks!$A:$A,$A742,Tasks!$B:$B,$B742,Tasks!$G:$G,"&lt;="&amp;INDEX(Weeks!$D:$D,MATCH($C742,Weeks!$A:$A,0)))-COUNTIFS(Tasks!$A:$A,$A742,Tasks!$B:$B,$B742,Tasks!$I:$I,"&lt;="&amp;INDEX(Weeks!$D:$D,MATCH($C742,Weeks!$A:$A,0)),Tasks!$I:$I,"&lt;&gt;")</f>
        <v>0</v>
      </c>
      <c r="J742">
        <f>COUNTIFS(Tasks!$A:$A,$A742,Tasks!$B:$B,$B742,
Tasks!$I:$I,"&gt;"&amp;IFERROR(INDEX(Weeks!$D:$D,MATCH($C742-1,Weeks!$A:$A,0)),DATE(2000,1,1)),
Tasks!$I:$I,"&lt;="&amp;INDEX(Weeks!$D:$D,MATCH($C742,Weeks!$A:$A,0)),
Tasks!$I:$I,"&lt;&gt;")</f>
        <v>0</v>
      </c>
    </row>
    <row r="743" spans="1:10" ht="15" customHeight="1">
      <c r="A743" t="s">
        <v>102</v>
      </c>
      <c r="B743" t="s">
        <v>105</v>
      </c>
      <c r="C743">
        <v>14</v>
      </c>
      <c r="D743">
        <v>4</v>
      </c>
      <c r="E743">
        <v>1</v>
      </c>
      <c r="F743" s="5" t="str">
        <f>IFERROR(ROUND(COUNTIFS(Tasks!$A:$A,$A743,Tasks!$B:$B,$B743,Tasks!$I:$I,"&lt;="&amp;INDEX(Weeks!$D:$D,MATCH($C743,Weeks!$A:$A,0)),Tasks!$I:$I,"&lt;&gt;")/COUNTIFS(Tasks!$A:$A,$A743,Tasks!$B:$B,$B743)*100,0),"")</f>
        <v/>
      </c>
      <c r="G743" s="5" t="str">
        <f>IFERROR(ROUND(COUNTIFS(Tasks!$A:$A,$A743,Tasks!$B:$B,$B743,Tasks!$H:$H,"&lt;="&amp;INDEX(Weeks!$D:$D,MATCH($C743,Weeks!$A:$A,0)))/COUNTIFS(Tasks!$A:$A,$A743,Tasks!$B:$B,$B743)*100,0),"")</f>
        <v/>
      </c>
      <c r="H743" t="s">
        <v>101</v>
      </c>
      <c r="I743">
        <f>COUNTIFS(Tasks!$A:$A,$A743,Tasks!$B:$B,$B743,Tasks!$G:$G,"&lt;="&amp;INDEX(Weeks!$D:$D,MATCH($C743,Weeks!$A:$A,0)))-COUNTIFS(Tasks!$A:$A,$A743,Tasks!$B:$B,$B743,Tasks!$I:$I,"&lt;="&amp;INDEX(Weeks!$D:$D,MATCH($C743,Weeks!$A:$A,0)),Tasks!$I:$I,"&lt;&gt;")</f>
        <v>0</v>
      </c>
      <c r="J743">
        <f>COUNTIFS(Tasks!$A:$A,$A743,Tasks!$B:$B,$B743,
Tasks!$I:$I,"&gt;"&amp;IFERROR(INDEX(Weeks!$D:$D,MATCH($C743-1,Weeks!$A:$A,0)),DATE(2000,1,1)),
Tasks!$I:$I,"&lt;="&amp;INDEX(Weeks!$D:$D,MATCH($C743,Weeks!$A:$A,0)),
Tasks!$I:$I,"&lt;&gt;")</f>
        <v>0</v>
      </c>
    </row>
    <row r="744" spans="1:10" ht="15" customHeight="1">
      <c r="A744" t="s">
        <v>102</v>
      </c>
      <c r="B744" t="s">
        <v>105</v>
      </c>
      <c r="C744">
        <v>15</v>
      </c>
      <c r="D744">
        <v>4</v>
      </c>
      <c r="E744">
        <v>2</v>
      </c>
      <c r="F744" s="5" t="str">
        <f>IFERROR(ROUND(COUNTIFS(Tasks!$A:$A,$A744,Tasks!$B:$B,$B744,Tasks!$I:$I,"&lt;="&amp;INDEX(Weeks!$D:$D,MATCH($C744,Weeks!$A:$A,0)),Tasks!$I:$I,"&lt;&gt;")/COUNTIFS(Tasks!$A:$A,$A744,Tasks!$B:$B,$B744)*100,0),"")</f>
        <v/>
      </c>
      <c r="G744" s="5" t="str">
        <f>IFERROR(ROUND(COUNTIFS(Tasks!$A:$A,$A744,Tasks!$B:$B,$B744,Tasks!$H:$H,"&lt;="&amp;INDEX(Weeks!$D:$D,MATCH($C744,Weeks!$A:$A,0)))/COUNTIFS(Tasks!$A:$A,$A744,Tasks!$B:$B,$B744)*100,0),"")</f>
        <v/>
      </c>
      <c r="H744" t="s">
        <v>101</v>
      </c>
      <c r="I744">
        <f>COUNTIFS(Tasks!$A:$A,$A744,Tasks!$B:$B,$B744,Tasks!$G:$G,"&lt;="&amp;INDEX(Weeks!$D:$D,MATCH($C744,Weeks!$A:$A,0)))-COUNTIFS(Tasks!$A:$A,$A744,Tasks!$B:$B,$B744,Tasks!$I:$I,"&lt;="&amp;INDEX(Weeks!$D:$D,MATCH($C744,Weeks!$A:$A,0)),Tasks!$I:$I,"&lt;&gt;")</f>
        <v>0</v>
      </c>
      <c r="J744">
        <f>COUNTIFS(Tasks!$A:$A,$A744,Tasks!$B:$B,$B744,
Tasks!$I:$I,"&gt;"&amp;IFERROR(INDEX(Weeks!$D:$D,MATCH($C744-1,Weeks!$A:$A,0)),DATE(2000,1,1)),
Tasks!$I:$I,"&lt;="&amp;INDEX(Weeks!$D:$D,MATCH($C744,Weeks!$A:$A,0)),
Tasks!$I:$I,"&lt;&gt;")</f>
        <v>0</v>
      </c>
    </row>
    <row r="745" spans="1:10" ht="15" customHeight="1">
      <c r="A745" t="s">
        <v>102</v>
      </c>
      <c r="B745" t="s">
        <v>105</v>
      </c>
      <c r="C745">
        <v>16</v>
      </c>
      <c r="D745">
        <v>4</v>
      </c>
      <c r="E745">
        <v>3</v>
      </c>
      <c r="F745" s="5" t="str">
        <f>IFERROR(ROUND(COUNTIFS(Tasks!$A:$A,$A745,Tasks!$B:$B,$B745,Tasks!$I:$I,"&lt;="&amp;INDEX(Weeks!$D:$D,MATCH($C745,Weeks!$A:$A,0)),Tasks!$I:$I,"&lt;&gt;")/COUNTIFS(Tasks!$A:$A,$A745,Tasks!$B:$B,$B745)*100,0),"")</f>
        <v/>
      </c>
      <c r="G745" s="5" t="str">
        <f>IFERROR(ROUND(COUNTIFS(Tasks!$A:$A,$A745,Tasks!$B:$B,$B745,Tasks!$H:$H,"&lt;="&amp;INDEX(Weeks!$D:$D,MATCH($C745,Weeks!$A:$A,0)))/COUNTIFS(Tasks!$A:$A,$A745,Tasks!$B:$B,$B745)*100,0),"")</f>
        <v/>
      </c>
      <c r="H745" t="s">
        <v>101</v>
      </c>
      <c r="I745">
        <f>COUNTIFS(Tasks!$A:$A,$A745,Tasks!$B:$B,$B745,Tasks!$G:$G,"&lt;="&amp;INDEX(Weeks!$D:$D,MATCH($C745,Weeks!$A:$A,0)))-COUNTIFS(Tasks!$A:$A,$A745,Tasks!$B:$B,$B745,Tasks!$I:$I,"&lt;="&amp;INDEX(Weeks!$D:$D,MATCH($C745,Weeks!$A:$A,0)),Tasks!$I:$I,"&lt;&gt;")</f>
        <v>0</v>
      </c>
      <c r="J745">
        <f>COUNTIFS(Tasks!$A:$A,$A745,Tasks!$B:$B,$B745,
Tasks!$I:$I,"&gt;"&amp;IFERROR(INDEX(Weeks!$D:$D,MATCH($C745-1,Weeks!$A:$A,0)),DATE(2000,1,1)),
Tasks!$I:$I,"&lt;="&amp;INDEX(Weeks!$D:$D,MATCH($C745,Weeks!$A:$A,0)),
Tasks!$I:$I,"&lt;&gt;")</f>
        <v>0</v>
      </c>
    </row>
    <row r="746" spans="1:10" ht="15" customHeight="1">
      <c r="A746" t="s">
        <v>102</v>
      </c>
      <c r="B746" t="s">
        <v>105</v>
      </c>
      <c r="C746">
        <v>17</v>
      </c>
      <c r="D746">
        <v>4</v>
      </c>
      <c r="E746">
        <v>4</v>
      </c>
      <c r="F746" s="5" t="str">
        <f>IFERROR(ROUND(COUNTIFS(Tasks!$A:$A,$A746,Tasks!$B:$B,$B746,Tasks!$I:$I,"&lt;="&amp;INDEX(Weeks!$D:$D,MATCH($C746,Weeks!$A:$A,0)),Tasks!$I:$I,"&lt;&gt;")/COUNTIFS(Tasks!$A:$A,$A746,Tasks!$B:$B,$B746)*100,0),"")</f>
        <v/>
      </c>
      <c r="G746" s="5" t="str">
        <f>IFERROR(ROUND(COUNTIFS(Tasks!$A:$A,$A746,Tasks!$B:$B,$B746,Tasks!$H:$H,"&lt;="&amp;INDEX(Weeks!$D:$D,MATCH($C746,Weeks!$A:$A,0)))/COUNTIFS(Tasks!$A:$A,$A746,Tasks!$B:$B,$B746)*100,0),"")</f>
        <v/>
      </c>
      <c r="H746" t="s">
        <v>101</v>
      </c>
      <c r="I746">
        <f>COUNTIFS(Tasks!$A:$A,$A746,Tasks!$B:$B,$B746,Tasks!$G:$G,"&lt;="&amp;INDEX(Weeks!$D:$D,MATCH($C746,Weeks!$A:$A,0)))-COUNTIFS(Tasks!$A:$A,$A746,Tasks!$B:$B,$B746,Tasks!$I:$I,"&lt;="&amp;INDEX(Weeks!$D:$D,MATCH($C746,Weeks!$A:$A,0)),Tasks!$I:$I,"&lt;&gt;")</f>
        <v>0</v>
      </c>
      <c r="J746">
        <f>COUNTIFS(Tasks!$A:$A,$A746,Tasks!$B:$B,$B746,
Tasks!$I:$I,"&gt;"&amp;IFERROR(INDEX(Weeks!$D:$D,MATCH($C746-1,Weeks!$A:$A,0)),DATE(2000,1,1)),
Tasks!$I:$I,"&lt;="&amp;INDEX(Weeks!$D:$D,MATCH($C746,Weeks!$A:$A,0)),
Tasks!$I:$I,"&lt;&gt;")</f>
        <v>0</v>
      </c>
    </row>
    <row r="747" spans="1:10" ht="15" customHeight="1">
      <c r="A747" t="s">
        <v>102</v>
      </c>
      <c r="B747" t="s">
        <v>105</v>
      </c>
      <c r="C747">
        <v>18</v>
      </c>
      <c r="D747">
        <v>5</v>
      </c>
      <c r="E747">
        <v>1</v>
      </c>
      <c r="F747" s="5" t="str">
        <f>IFERROR(ROUND(COUNTIFS(Tasks!$A:$A,$A747,Tasks!$B:$B,$B747,Tasks!$I:$I,"&lt;="&amp;INDEX(Weeks!$D:$D,MATCH($C747,Weeks!$A:$A,0)),Tasks!$I:$I,"&lt;&gt;")/COUNTIFS(Tasks!$A:$A,$A747,Tasks!$B:$B,$B747)*100,0),"")</f>
        <v/>
      </c>
      <c r="G747" s="5" t="str">
        <f>IFERROR(ROUND(COUNTIFS(Tasks!$A:$A,$A747,Tasks!$B:$B,$B747,Tasks!$H:$H,"&lt;="&amp;INDEX(Weeks!$D:$D,MATCH($C747,Weeks!$A:$A,0)))/COUNTIFS(Tasks!$A:$A,$A747,Tasks!$B:$B,$B747)*100,0),"")</f>
        <v/>
      </c>
      <c r="H747" t="s">
        <v>101</v>
      </c>
      <c r="I747">
        <f>COUNTIFS(Tasks!$A:$A,$A747,Tasks!$B:$B,$B747,Tasks!$G:$G,"&lt;="&amp;INDEX(Weeks!$D:$D,MATCH($C747,Weeks!$A:$A,0)))-COUNTIFS(Tasks!$A:$A,$A747,Tasks!$B:$B,$B747,Tasks!$I:$I,"&lt;="&amp;INDEX(Weeks!$D:$D,MATCH($C747,Weeks!$A:$A,0)),Tasks!$I:$I,"&lt;&gt;")</f>
        <v>0</v>
      </c>
      <c r="J747">
        <f>COUNTIFS(Tasks!$A:$A,$A747,Tasks!$B:$B,$B747,
Tasks!$I:$I,"&gt;"&amp;IFERROR(INDEX(Weeks!$D:$D,MATCH($C747-1,Weeks!$A:$A,0)),DATE(2000,1,1)),
Tasks!$I:$I,"&lt;="&amp;INDEX(Weeks!$D:$D,MATCH($C747,Weeks!$A:$A,0)),
Tasks!$I:$I,"&lt;&gt;")</f>
        <v>0</v>
      </c>
    </row>
    <row r="748" spans="1:10" ht="15" customHeight="1">
      <c r="A748" t="s">
        <v>102</v>
      </c>
      <c r="B748" t="s">
        <v>105</v>
      </c>
      <c r="C748">
        <v>19</v>
      </c>
      <c r="D748">
        <v>5</v>
      </c>
      <c r="E748">
        <v>2</v>
      </c>
      <c r="F748" s="5" t="str">
        <f>IFERROR(ROUND(COUNTIFS(Tasks!$A:$A,$A748,Tasks!$B:$B,$B748,Tasks!$I:$I,"&lt;="&amp;INDEX(Weeks!$D:$D,MATCH($C748,Weeks!$A:$A,0)),Tasks!$I:$I,"&lt;&gt;")/COUNTIFS(Tasks!$A:$A,$A748,Tasks!$B:$B,$B748)*100,0),"")</f>
        <v/>
      </c>
      <c r="G748" s="5" t="str">
        <f>IFERROR(ROUND(COUNTIFS(Tasks!$A:$A,$A748,Tasks!$B:$B,$B748,Tasks!$H:$H,"&lt;="&amp;INDEX(Weeks!$D:$D,MATCH($C748,Weeks!$A:$A,0)))/COUNTIFS(Tasks!$A:$A,$A748,Tasks!$B:$B,$B748)*100,0),"")</f>
        <v/>
      </c>
      <c r="H748" t="s">
        <v>101</v>
      </c>
      <c r="I748">
        <f>COUNTIFS(Tasks!$A:$A,$A748,Tasks!$B:$B,$B748,Tasks!$G:$G,"&lt;="&amp;INDEX(Weeks!$D:$D,MATCH($C748,Weeks!$A:$A,0)))-COUNTIFS(Tasks!$A:$A,$A748,Tasks!$B:$B,$B748,Tasks!$I:$I,"&lt;="&amp;INDEX(Weeks!$D:$D,MATCH($C748,Weeks!$A:$A,0)),Tasks!$I:$I,"&lt;&gt;")</f>
        <v>0</v>
      </c>
      <c r="J748">
        <f>COUNTIFS(Tasks!$A:$A,$A748,Tasks!$B:$B,$B748,
Tasks!$I:$I,"&gt;"&amp;IFERROR(INDEX(Weeks!$D:$D,MATCH($C748-1,Weeks!$A:$A,0)),DATE(2000,1,1)),
Tasks!$I:$I,"&lt;="&amp;INDEX(Weeks!$D:$D,MATCH($C748,Weeks!$A:$A,0)),
Tasks!$I:$I,"&lt;&gt;")</f>
        <v>0</v>
      </c>
    </row>
    <row r="749" spans="1:10" ht="15" customHeight="1">
      <c r="A749" t="s">
        <v>102</v>
      </c>
      <c r="B749" t="s">
        <v>105</v>
      </c>
      <c r="C749">
        <v>20</v>
      </c>
      <c r="D749">
        <v>5</v>
      </c>
      <c r="E749">
        <v>3</v>
      </c>
      <c r="F749" s="5" t="str">
        <f>IFERROR(ROUND(COUNTIFS(Tasks!$A:$A,$A749,Tasks!$B:$B,$B749,Tasks!$I:$I,"&lt;="&amp;INDEX(Weeks!$D:$D,MATCH($C749,Weeks!$A:$A,0)),Tasks!$I:$I,"&lt;&gt;")/COUNTIFS(Tasks!$A:$A,$A749,Tasks!$B:$B,$B749)*100,0),"")</f>
        <v/>
      </c>
      <c r="G749" s="5" t="str">
        <f>IFERROR(ROUND(COUNTIFS(Tasks!$A:$A,$A749,Tasks!$B:$B,$B749,Tasks!$H:$H,"&lt;="&amp;INDEX(Weeks!$D:$D,MATCH($C749,Weeks!$A:$A,0)))/COUNTIFS(Tasks!$A:$A,$A749,Tasks!$B:$B,$B749)*100,0),"")</f>
        <v/>
      </c>
      <c r="H749" t="s">
        <v>101</v>
      </c>
      <c r="I749">
        <f>COUNTIFS(Tasks!$A:$A,$A749,Tasks!$B:$B,$B749,Tasks!$G:$G,"&lt;="&amp;INDEX(Weeks!$D:$D,MATCH($C749,Weeks!$A:$A,0)))-COUNTIFS(Tasks!$A:$A,$A749,Tasks!$B:$B,$B749,Tasks!$I:$I,"&lt;="&amp;INDEX(Weeks!$D:$D,MATCH($C749,Weeks!$A:$A,0)),Tasks!$I:$I,"&lt;&gt;")</f>
        <v>0</v>
      </c>
      <c r="J749">
        <f>COUNTIFS(Tasks!$A:$A,$A749,Tasks!$B:$B,$B749,
Tasks!$I:$I,"&gt;"&amp;IFERROR(INDEX(Weeks!$D:$D,MATCH($C749-1,Weeks!$A:$A,0)),DATE(2000,1,1)),
Tasks!$I:$I,"&lt;="&amp;INDEX(Weeks!$D:$D,MATCH($C749,Weeks!$A:$A,0)),
Tasks!$I:$I,"&lt;&gt;")</f>
        <v>0</v>
      </c>
    </row>
    <row r="750" spans="1:10" ht="15" customHeight="1">
      <c r="A750" t="s">
        <v>102</v>
      </c>
      <c r="B750" t="s">
        <v>105</v>
      </c>
      <c r="C750">
        <v>21</v>
      </c>
      <c r="D750">
        <v>5</v>
      </c>
      <c r="E750">
        <v>4</v>
      </c>
      <c r="F750" s="5" t="str">
        <f>IFERROR(ROUND(COUNTIFS(Tasks!$A:$A,$A750,Tasks!$B:$B,$B750,Tasks!$I:$I,"&lt;="&amp;INDEX(Weeks!$D:$D,MATCH($C750,Weeks!$A:$A,0)),Tasks!$I:$I,"&lt;&gt;")/COUNTIFS(Tasks!$A:$A,$A750,Tasks!$B:$B,$B750)*100,0),"")</f>
        <v/>
      </c>
      <c r="G750" s="5" t="str">
        <f>IFERROR(ROUND(COUNTIFS(Tasks!$A:$A,$A750,Tasks!$B:$B,$B750,Tasks!$H:$H,"&lt;="&amp;INDEX(Weeks!$D:$D,MATCH($C750,Weeks!$A:$A,0)))/COUNTIFS(Tasks!$A:$A,$A750,Tasks!$B:$B,$B750)*100,0),"")</f>
        <v/>
      </c>
      <c r="H750" t="s">
        <v>101</v>
      </c>
      <c r="I750">
        <f>COUNTIFS(Tasks!$A:$A,$A750,Tasks!$B:$B,$B750,Tasks!$G:$G,"&lt;="&amp;INDEX(Weeks!$D:$D,MATCH($C750,Weeks!$A:$A,0)))-COUNTIFS(Tasks!$A:$A,$A750,Tasks!$B:$B,$B750,Tasks!$I:$I,"&lt;="&amp;INDEX(Weeks!$D:$D,MATCH($C750,Weeks!$A:$A,0)),Tasks!$I:$I,"&lt;&gt;")</f>
        <v>0</v>
      </c>
      <c r="J750">
        <f>COUNTIFS(Tasks!$A:$A,$A750,Tasks!$B:$B,$B750,
Tasks!$I:$I,"&gt;"&amp;IFERROR(INDEX(Weeks!$D:$D,MATCH($C750-1,Weeks!$A:$A,0)),DATE(2000,1,1)),
Tasks!$I:$I,"&lt;="&amp;INDEX(Weeks!$D:$D,MATCH($C750,Weeks!$A:$A,0)),
Tasks!$I:$I,"&lt;&gt;")</f>
        <v>0</v>
      </c>
    </row>
    <row r="751" spans="1:10" ht="15" customHeight="1">
      <c r="A751" t="s">
        <v>102</v>
      </c>
      <c r="B751" t="s">
        <v>105</v>
      </c>
      <c r="C751">
        <v>22</v>
      </c>
      <c r="D751">
        <v>5</v>
      </c>
      <c r="E751">
        <v>5</v>
      </c>
      <c r="F751" s="5" t="str">
        <f>IFERROR(ROUND(COUNTIFS(Tasks!$A:$A,$A751,Tasks!$B:$B,$B751,Tasks!$I:$I,"&lt;="&amp;INDEX(Weeks!$D:$D,MATCH($C751,Weeks!$A:$A,0)),Tasks!$I:$I,"&lt;&gt;")/COUNTIFS(Tasks!$A:$A,$A751,Tasks!$B:$B,$B751)*100,0),"")</f>
        <v/>
      </c>
      <c r="G751" s="5" t="str">
        <f>IFERROR(ROUND(COUNTIFS(Tasks!$A:$A,$A751,Tasks!$B:$B,$B751,Tasks!$H:$H,"&lt;="&amp;INDEX(Weeks!$D:$D,MATCH($C751,Weeks!$A:$A,0)))/COUNTIFS(Tasks!$A:$A,$A751,Tasks!$B:$B,$B751)*100,0),"")</f>
        <v/>
      </c>
      <c r="H751" t="s">
        <v>101</v>
      </c>
      <c r="I751">
        <f>COUNTIFS(Tasks!$A:$A,$A751,Tasks!$B:$B,$B751,Tasks!$G:$G,"&lt;="&amp;INDEX(Weeks!$D:$D,MATCH($C751,Weeks!$A:$A,0)))-COUNTIFS(Tasks!$A:$A,$A751,Tasks!$B:$B,$B751,Tasks!$I:$I,"&lt;="&amp;INDEX(Weeks!$D:$D,MATCH($C751,Weeks!$A:$A,0)),Tasks!$I:$I,"&lt;&gt;")</f>
        <v>0</v>
      </c>
      <c r="J751">
        <f>COUNTIFS(Tasks!$A:$A,$A751,Tasks!$B:$B,$B751,
Tasks!$I:$I,"&gt;"&amp;IFERROR(INDEX(Weeks!$D:$D,MATCH($C751-1,Weeks!$A:$A,0)),DATE(2000,1,1)),
Tasks!$I:$I,"&lt;="&amp;INDEX(Weeks!$D:$D,MATCH($C751,Weeks!$A:$A,0)),
Tasks!$I:$I,"&lt;&gt;")</f>
        <v>0</v>
      </c>
    </row>
    <row r="752" spans="1:10" ht="15" customHeight="1">
      <c r="A752" t="s">
        <v>102</v>
      </c>
      <c r="B752" t="s">
        <v>105</v>
      </c>
      <c r="C752">
        <v>23</v>
      </c>
      <c r="D752">
        <v>6</v>
      </c>
      <c r="E752">
        <v>1</v>
      </c>
      <c r="F752" s="5" t="str">
        <f>IFERROR(ROUND(COUNTIFS(Tasks!$A:$A,$A752,Tasks!$B:$B,$B752,Tasks!$I:$I,"&lt;="&amp;INDEX(Weeks!$D:$D,MATCH($C752,Weeks!$A:$A,0)),Tasks!$I:$I,"&lt;&gt;")/COUNTIFS(Tasks!$A:$A,$A752,Tasks!$B:$B,$B752)*100,0),"")</f>
        <v/>
      </c>
      <c r="G752" s="5" t="str">
        <f>IFERROR(ROUND(COUNTIFS(Tasks!$A:$A,$A752,Tasks!$B:$B,$B752,Tasks!$H:$H,"&lt;="&amp;INDEX(Weeks!$D:$D,MATCH($C752,Weeks!$A:$A,0)))/COUNTIFS(Tasks!$A:$A,$A752,Tasks!$B:$B,$B752)*100,0),"")</f>
        <v/>
      </c>
      <c r="H752" t="s">
        <v>101</v>
      </c>
      <c r="I752">
        <f>COUNTIFS(Tasks!$A:$A,$A752,Tasks!$B:$B,$B752,Tasks!$G:$G,"&lt;="&amp;INDEX(Weeks!$D:$D,MATCH($C752,Weeks!$A:$A,0)))-COUNTIFS(Tasks!$A:$A,$A752,Tasks!$B:$B,$B752,Tasks!$I:$I,"&lt;="&amp;INDEX(Weeks!$D:$D,MATCH($C752,Weeks!$A:$A,0)),Tasks!$I:$I,"&lt;&gt;")</f>
        <v>0</v>
      </c>
      <c r="J752">
        <f>COUNTIFS(Tasks!$A:$A,$A752,Tasks!$B:$B,$B752,
Tasks!$I:$I,"&gt;"&amp;IFERROR(INDEX(Weeks!$D:$D,MATCH($C752-1,Weeks!$A:$A,0)),DATE(2000,1,1)),
Tasks!$I:$I,"&lt;="&amp;INDEX(Weeks!$D:$D,MATCH($C752,Weeks!$A:$A,0)),
Tasks!$I:$I,"&lt;&gt;")</f>
        <v>0</v>
      </c>
    </row>
    <row r="753" spans="1:10" ht="15" customHeight="1">
      <c r="A753" t="s">
        <v>102</v>
      </c>
      <c r="B753" t="s">
        <v>105</v>
      </c>
      <c r="C753">
        <v>24</v>
      </c>
      <c r="D753">
        <v>6</v>
      </c>
      <c r="E753">
        <v>2</v>
      </c>
      <c r="F753" s="5" t="str">
        <f>IFERROR(ROUND(COUNTIFS(Tasks!$A:$A,$A753,Tasks!$B:$B,$B753,Tasks!$I:$I,"&lt;="&amp;INDEX(Weeks!$D:$D,MATCH($C753,Weeks!$A:$A,0)),Tasks!$I:$I,"&lt;&gt;")/COUNTIFS(Tasks!$A:$A,$A753,Tasks!$B:$B,$B753)*100,0),"")</f>
        <v/>
      </c>
      <c r="G753" s="5" t="str">
        <f>IFERROR(ROUND(COUNTIFS(Tasks!$A:$A,$A753,Tasks!$B:$B,$B753,Tasks!$H:$H,"&lt;="&amp;INDEX(Weeks!$D:$D,MATCH($C753,Weeks!$A:$A,0)))/COUNTIFS(Tasks!$A:$A,$A753,Tasks!$B:$B,$B753)*100,0),"")</f>
        <v/>
      </c>
      <c r="H753" t="s">
        <v>101</v>
      </c>
      <c r="I753">
        <f>COUNTIFS(Tasks!$A:$A,$A753,Tasks!$B:$B,$B753,Tasks!$G:$G,"&lt;="&amp;INDEX(Weeks!$D:$D,MATCH($C753,Weeks!$A:$A,0)))-COUNTIFS(Tasks!$A:$A,$A753,Tasks!$B:$B,$B753,Tasks!$I:$I,"&lt;="&amp;INDEX(Weeks!$D:$D,MATCH($C753,Weeks!$A:$A,0)),Tasks!$I:$I,"&lt;&gt;")</f>
        <v>0</v>
      </c>
      <c r="J753">
        <f>COUNTIFS(Tasks!$A:$A,$A753,Tasks!$B:$B,$B753,
Tasks!$I:$I,"&gt;"&amp;IFERROR(INDEX(Weeks!$D:$D,MATCH($C753-1,Weeks!$A:$A,0)),DATE(2000,1,1)),
Tasks!$I:$I,"&lt;="&amp;INDEX(Weeks!$D:$D,MATCH($C753,Weeks!$A:$A,0)),
Tasks!$I:$I,"&lt;&gt;")</f>
        <v>0</v>
      </c>
    </row>
    <row r="754" spans="1:10" ht="15" customHeight="1">
      <c r="A754" t="s">
        <v>102</v>
      </c>
      <c r="B754" t="s">
        <v>105</v>
      </c>
      <c r="C754">
        <v>25</v>
      </c>
      <c r="D754">
        <v>6</v>
      </c>
      <c r="E754">
        <v>3</v>
      </c>
      <c r="F754" s="5" t="str">
        <f>IFERROR(ROUND(COUNTIFS(Tasks!$A:$A,$A754,Tasks!$B:$B,$B754,Tasks!$I:$I,"&lt;="&amp;INDEX(Weeks!$D:$D,MATCH($C754,Weeks!$A:$A,0)),Tasks!$I:$I,"&lt;&gt;")/COUNTIFS(Tasks!$A:$A,$A754,Tasks!$B:$B,$B754)*100,0),"")</f>
        <v/>
      </c>
      <c r="G754" s="5" t="str">
        <f>IFERROR(ROUND(COUNTIFS(Tasks!$A:$A,$A754,Tasks!$B:$B,$B754,Tasks!$H:$H,"&lt;="&amp;INDEX(Weeks!$D:$D,MATCH($C754,Weeks!$A:$A,0)))/COUNTIFS(Tasks!$A:$A,$A754,Tasks!$B:$B,$B754)*100,0),"")</f>
        <v/>
      </c>
      <c r="I754">
        <f>COUNTIFS(Tasks!$A:$A,$A754,Tasks!$B:$B,$B754,Tasks!$G:$G,"&lt;="&amp;INDEX(Weeks!$D:$D,MATCH($C754,Weeks!$A:$A,0)))-COUNTIFS(Tasks!$A:$A,$A754,Tasks!$B:$B,$B754,Tasks!$I:$I,"&lt;="&amp;INDEX(Weeks!$D:$D,MATCH($C754,Weeks!$A:$A,0)),Tasks!$I:$I,"&lt;&gt;")</f>
        <v>0</v>
      </c>
      <c r="J754">
        <f>COUNTIFS(Tasks!$A:$A,$A754,Tasks!$B:$B,$B754,
Tasks!$I:$I,"&gt;"&amp;IFERROR(INDEX(Weeks!$D:$D,MATCH($C754-1,Weeks!$A:$A,0)),DATE(2000,1,1)),
Tasks!$I:$I,"&lt;="&amp;INDEX(Weeks!$D:$D,MATCH($C754,Weeks!$A:$A,0)),
Tasks!$I:$I,"&lt;&gt;")</f>
        <v>0</v>
      </c>
    </row>
    <row r="755" spans="1:10" ht="15" customHeight="1">
      <c r="A755" t="s">
        <v>102</v>
      </c>
      <c r="B755" t="s">
        <v>105</v>
      </c>
      <c r="C755">
        <v>26</v>
      </c>
      <c r="D755">
        <v>6</v>
      </c>
      <c r="E755">
        <v>4</v>
      </c>
      <c r="F755" s="5" t="str">
        <f>IFERROR(ROUND(COUNTIFS(Tasks!$A:$A,$A755,Tasks!$B:$B,$B755,Tasks!$I:$I,"&lt;="&amp;INDEX(Weeks!$D:$D,MATCH($C755,Weeks!$A:$A,0)),Tasks!$I:$I,"&lt;&gt;")/COUNTIFS(Tasks!$A:$A,$A755,Tasks!$B:$B,$B755)*100,0),"")</f>
        <v/>
      </c>
      <c r="G755" s="5" t="str">
        <f>IFERROR(ROUND(COUNTIFS(Tasks!$A:$A,$A755,Tasks!$B:$B,$B755,Tasks!$H:$H,"&lt;="&amp;INDEX(Weeks!$D:$D,MATCH($C755,Weeks!$A:$A,0)))/COUNTIFS(Tasks!$A:$A,$A755,Tasks!$B:$B,$B755)*100,0),"")</f>
        <v/>
      </c>
      <c r="I755">
        <f>COUNTIFS(Tasks!$A:$A,$A755,Tasks!$B:$B,$B755,Tasks!$G:$G,"&lt;="&amp;INDEX(Weeks!$D:$D,MATCH($C755,Weeks!$A:$A,0)))-COUNTIFS(Tasks!$A:$A,$A755,Tasks!$B:$B,$B755,Tasks!$I:$I,"&lt;="&amp;INDEX(Weeks!$D:$D,MATCH($C755,Weeks!$A:$A,0)),Tasks!$I:$I,"&lt;&gt;")</f>
        <v>0</v>
      </c>
      <c r="J755">
        <f>COUNTIFS(Tasks!$A:$A,$A755,Tasks!$B:$B,$B755,
Tasks!$I:$I,"&gt;"&amp;IFERROR(INDEX(Weeks!$D:$D,MATCH($C755-1,Weeks!$A:$A,0)),DATE(2000,1,1)),
Tasks!$I:$I,"&lt;="&amp;INDEX(Weeks!$D:$D,MATCH($C755,Weeks!$A:$A,0)),
Tasks!$I:$I,"&lt;&gt;")</f>
        <v>0</v>
      </c>
    </row>
    <row r="756" spans="1:10" ht="15" customHeight="1">
      <c r="A756" t="s">
        <v>102</v>
      </c>
      <c r="B756" t="s">
        <v>105</v>
      </c>
      <c r="C756">
        <v>27</v>
      </c>
      <c r="D756">
        <v>7</v>
      </c>
      <c r="E756">
        <v>1</v>
      </c>
      <c r="F756" s="5" t="str">
        <f>IFERROR(ROUND(COUNTIFS(Tasks!$A:$A,$A756,Tasks!$B:$B,$B756,Tasks!$I:$I,"&lt;="&amp;INDEX(Weeks!$D:$D,MATCH($C756,Weeks!$A:$A,0)),Tasks!$I:$I,"&lt;&gt;")/COUNTIFS(Tasks!$A:$A,$A756,Tasks!$B:$B,$B756)*100,0),"")</f>
        <v/>
      </c>
      <c r="G756" s="5" t="str">
        <f>IFERROR(ROUND(COUNTIFS(Tasks!$A:$A,$A756,Tasks!$B:$B,$B756,Tasks!$H:$H,"&lt;="&amp;INDEX(Weeks!$D:$D,MATCH($C756,Weeks!$A:$A,0)))/COUNTIFS(Tasks!$A:$A,$A756,Tasks!$B:$B,$B756)*100,0),"")</f>
        <v/>
      </c>
      <c r="I756">
        <f>COUNTIFS(Tasks!$A:$A,$A756,Tasks!$B:$B,$B756,Tasks!$G:$G,"&lt;="&amp;INDEX(Weeks!$D:$D,MATCH($C756,Weeks!$A:$A,0)))-COUNTIFS(Tasks!$A:$A,$A756,Tasks!$B:$B,$B756,Tasks!$I:$I,"&lt;="&amp;INDEX(Weeks!$D:$D,MATCH($C756,Weeks!$A:$A,0)),Tasks!$I:$I,"&lt;&gt;")</f>
        <v>0</v>
      </c>
      <c r="J756">
        <f>COUNTIFS(Tasks!$A:$A,$A756,Tasks!$B:$B,$B756,
Tasks!$I:$I,"&gt;"&amp;IFERROR(INDEX(Weeks!$D:$D,MATCH($C756-1,Weeks!$A:$A,0)),DATE(2000,1,1)),
Tasks!$I:$I,"&lt;="&amp;INDEX(Weeks!$D:$D,MATCH($C756,Weeks!$A:$A,0)),
Tasks!$I:$I,"&lt;&gt;")</f>
        <v>0</v>
      </c>
    </row>
    <row r="757" spans="1:10" ht="15" customHeight="1">
      <c r="A757" t="s">
        <v>102</v>
      </c>
      <c r="B757" t="s">
        <v>105</v>
      </c>
      <c r="C757">
        <v>28</v>
      </c>
      <c r="D757">
        <v>7</v>
      </c>
      <c r="E757">
        <v>2</v>
      </c>
      <c r="F757" s="5" t="str">
        <f>IFERROR(ROUND(COUNTIFS(Tasks!$A:$A,$A757,Tasks!$B:$B,$B757,Tasks!$I:$I,"&lt;="&amp;INDEX(Weeks!$D:$D,MATCH($C757,Weeks!$A:$A,0)),Tasks!$I:$I,"&lt;&gt;")/COUNTIFS(Tasks!$A:$A,$A757,Tasks!$B:$B,$B757)*100,0),"")</f>
        <v/>
      </c>
      <c r="G757" s="5" t="str">
        <f>IFERROR(ROUND(COUNTIFS(Tasks!$A:$A,$A757,Tasks!$B:$B,$B757,Tasks!$H:$H,"&lt;="&amp;INDEX(Weeks!$D:$D,MATCH($C757,Weeks!$A:$A,0)))/COUNTIFS(Tasks!$A:$A,$A757,Tasks!$B:$B,$B757)*100,0),"")</f>
        <v/>
      </c>
      <c r="I757">
        <f>COUNTIFS(Tasks!$A:$A,$A757,Tasks!$B:$B,$B757,Tasks!$G:$G,"&lt;="&amp;INDEX(Weeks!$D:$D,MATCH($C757,Weeks!$A:$A,0)))-COUNTIFS(Tasks!$A:$A,$A757,Tasks!$B:$B,$B757,Tasks!$I:$I,"&lt;="&amp;INDEX(Weeks!$D:$D,MATCH($C757,Weeks!$A:$A,0)),Tasks!$I:$I,"&lt;&gt;")</f>
        <v>0</v>
      </c>
      <c r="J757">
        <f>COUNTIFS(Tasks!$A:$A,$A757,Tasks!$B:$B,$B757,
Tasks!$I:$I,"&gt;"&amp;IFERROR(INDEX(Weeks!$D:$D,MATCH($C757-1,Weeks!$A:$A,0)),DATE(2000,1,1)),
Tasks!$I:$I,"&lt;="&amp;INDEX(Weeks!$D:$D,MATCH($C757,Weeks!$A:$A,0)),
Tasks!$I:$I,"&lt;&gt;")</f>
        <v>0</v>
      </c>
    </row>
    <row r="758" spans="1:10" ht="15" customHeight="1">
      <c r="A758" t="s">
        <v>102</v>
      </c>
      <c r="B758" t="s">
        <v>105</v>
      </c>
      <c r="C758">
        <v>29</v>
      </c>
      <c r="D758">
        <v>7</v>
      </c>
      <c r="E758">
        <v>3</v>
      </c>
      <c r="F758" s="5" t="str">
        <f>IFERROR(ROUND(COUNTIFS(Tasks!$A:$A,$A758,Tasks!$B:$B,$B758,Tasks!$I:$I,"&lt;="&amp;INDEX(Weeks!$D:$D,MATCH($C758,Weeks!$A:$A,0)),Tasks!$I:$I,"&lt;&gt;")/COUNTIFS(Tasks!$A:$A,$A758,Tasks!$B:$B,$B758)*100,0),"")</f>
        <v/>
      </c>
      <c r="G758" s="5" t="str">
        <f>IFERROR(ROUND(COUNTIFS(Tasks!$A:$A,$A758,Tasks!$B:$B,$B758,Tasks!$H:$H,"&lt;="&amp;INDEX(Weeks!$D:$D,MATCH($C758,Weeks!$A:$A,0)))/COUNTIFS(Tasks!$A:$A,$A758,Tasks!$B:$B,$B758)*100,0),"")</f>
        <v/>
      </c>
      <c r="I758">
        <f>COUNTIFS(Tasks!$A:$A,$A758,Tasks!$B:$B,$B758,Tasks!$G:$G,"&lt;="&amp;INDEX(Weeks!$D:$D,MATCH($C758,Weeks!$A:$A,0)))-COUNTIFS(Tasks!$A:$A,$A758,Tasks!$B:$B,$B758,Tasks!$I:$I,"&lt;="&amp;INDEX(Weeks!$D:$D,MATCH($C758,Weeks!$A:$A,0)),Tasks!$I:$I,"&lt;&gt;")</f>
        <v>0</v>
      </c>
      <c r="J758">
        <f>COUNTIFS(Tasks!$A:$A,$A758,Tasks!$B:$B,$B758,
Tasks!$I:$I,"&gt;"&amp;IFERROR(INDEX(Weeks!$D:$D,MATCH($C758-1,Weeks!$A:$A,0)),DATE(2000,1,1)),
Tasks!$I:$I,"&lt;="&amp;INDEX(Weeks!$D:$D,MATCH($C758,Weeks!$A:$A,0)),
Tasks!$I:$I,"&lt;&gt;")</f>
        <v>0</v>
      </c>
    </row>
    <row r="759" spans="1:10" ht="15" customHeight="1">
      <c r="A759" t="s">
        <v>102</v>
      </c>
      <c r="B759" t="s">
        <v>105</v>
      </c>
      <c r="C759">
        <v>30</v>
      </c>
      <c r="D759">
        <v>7</v>
      </c>
      <c r="E759">
        <v>4</v>
      </c>
      <c r="F759" s="5" t="str">
        <f>IFERROR(ROUND(COUNTIFS(Tasks!$A:$A,$A759,Tasks!$B:$B,$B759,Tasks!$I:$I,"&lt;="&amp;INDEX(Weeks!$D:$D,MATCH($C759,Weeks!$A:$A,0)),Tasks!$I:$I,"&lt;&gt;")/COUNTIFS(Tasks!$A:$A,$A759,Tasks!$B:$B,$B759)*100,0),"")</f>
        <v/>
      </c>
      <c r="G759" s="5" t="str">
        <f>IFERROR(ROUND(COUNTIFS(Tasks!$A:$A,$A759,Tasks!$B:$B,$B759,Tasks!$H:$H,"&lt;="&amp;INDEX(Weeks!$D:$D,MATCH($C759,Weeks!$A:$A,0)))/COUNTIFS(Tasks!$A:$A,$A759,Tasks!$B:$B,$B759)*100,0),"")</f>
        <v/>
      </c>
      <c r="I759">
        <f>COUNTIFS(Tasks!$A:$A,$A759,Tasks!$B:$B,$B759,Tasks!$G:$G,"&lt;="&amp;INDEX(Weeks!$D:$D,MATCH($C759,Weeks!$A:$A,0)))-COUNTIFS(Tasks!$A:$A,$A759,Tasks!$B:$B,$B759,Tasks!$I:$I,"&lt;="&amp;INDEX(Weeks!$D:$D,MATCH($C759,Weeks!$A:$A,0)),Tasks!$I:$I,"&lt;&gt;")</f>
        <v>0</v>
      </c>
      <c r="J759">
        <f>COUNTIFS(Tasks!$A:$A,$A759,Tasks!$B:$B,$B759,
Tasks!$I:$I,"&gt;"&amp;IFERROR(INDEX(Weeks!$D:$D,MATCH($C759-1,Weeks!$A:$A,0)),DATE(2000,1,1)),
Tasks!$I:$I,"&lt;="&amp;INDEX(Weeks!$D:$D,MATCH($C759,Weeks!$A:$A,0)),
Tasks!$I:$I,"&lt;&gt;")</f>
        <v>0</v>
      </c>
    </row>
    <row r="760" spans="1:10" ht="15" customHeight="1">
      <c r="A760" t="s">
        <v>102</v>
      </c>
      <c r="B760" t="s">
        <v>105</v>
      </c>
      <c r="C760">
        <v>31</v>
      </c>
      <c r="D760">
        <v>8</v>
      </c>
      <c r="E760">
        <v>1</v>
      </c>
      <c r="F760" s="5" t="str">
        <f>IFERROR(ROUND(COUNTIFS(Tasks!$A:$A,$A760,Tasks!$B:$B,$B760,Tasks!$I:$I,"&lt;="&amp;INDEX(Weeks!$D:$D,MATCH($C760,Weeks!$A:$A,0)),Tasks!$I:$I,"&lt;&gt;")/COUNTIFS(Tasks!$A:$A,$A760,Tasks!$B:$B,$B760)*100,0),"")</f>
        <v/>
      </c>
      <c r="G760" s="5" t="str">
        <f>IFERROR(ROUND(COUNTIFS(Tasks!$A:$A,$A760,Tasks!$B:$B,$B760,Tasks!$H:$H,"&lt;="&amp;INDEX(Weeks!$D:$D,MATCH($C760,Weeks!$A:$A,0)))/COUNTIFS(Tasks!$A:$A,$A760,Tasks!$B:$B,$B760)*100,0),"")</f>
        <v/>
      </c>
      <c r="I760">
        <f>COUNTIFS(Tasks!$A:$A,$A760,Tasks!$B:$B,$B760,Tasks!$G:$G,"&lt;="&amp;INDEX(Weeks!$D:$D,MATCH($C760,Weeks!$A:$A,0)))-COUNTIFS(Tasks!$A:$A,$A760,Tasks!$B:$B,$B760,Tasks!$I:$I,"&lt;="&amp;INDEX(Weeks!$D:$D,MATCH($C760,Weeks!$A:$A,0)),Tasks!$I:$I,"&lt;&gt;")</f>
        <v>0</v>
      </c>
      <c r="J760">
        <f>COUNTIFS(Tasks!$A:$A,$A760,Tasks!$B:$B,$B760,
Tasks!$I:$I,"&gt;"&amp;IFERROR(INDEX(Weeks!$D:$D,MATCH($C760-1,Weeks!$A:$A,0)),DATE(2000,1,1)),
Tasks!$I:$I,"&lt;="&amp;INDEX(Weeks!$D:$D,MATCH($C760,Weeks!$A:$A,0)),
Tasks!$I:$I,"&lt;&gt;")</f>
        <v>0</v>
      </c>
    </row>
    <row r="761" spans="1:10" ht="15" customHeight="1">
      <c r="A761" t="s">
        <v>102</v>
      </c>
      <c r="B761" t="s">
        <v>105</v>
      </c>
      <c r="C761">
        <v>32</v>
      </c>
      <c r="D761">
        <v>8</v>
      </c>
      <c r="E761">
        <v>2</v>
      </c>
      <c r="F761" s="5" t="str">
        <f>IFERROR(ROUND(COUNTIFS(Tasks!$A:$A,$A761,Tasks!$B:$B,$B761,Tasks!$I:$I,"&lt;="&amp;INDEX(Weeks!$D:$D,MATCH($C761,Weeks!$A:$A,0)),Tasks!$I:$I,"&lt;&gt;")/COUNTIFS(Tasks!$A:$A,$A761,Tasks!$B:$B,$B761)*100,0),"")</f>
        <v/>
      </c>
      <c r="G761" s="5" t="str">
        <f>IFERROR(ROUND(COUNTIFS(Tasks!$A:$A,$A761,Tasks!$B:$B,$B761,Tasks!$H:$H,"&lt;="&amp;INDEX(Weeks!$D:$D,MATCH($C761,Weeks!$A:$A,0)))/COUNTIFS(Tasks!$A:$A,$A761,Tasks!$B:$B,$B761)*100,0),"")</f>
        <v/>
      </c>
      <c r="I761">
        <f>COUNTIFS(Tasks!$A:$A,$A761,Tasks!$B:$B,$B761,Tasks!$G:$G,"&lt;="&amp;INDEX(Weeks!$D:$D,MATCH($C761,Weeks!$A:$A,0)))-COUNTIFS(Tasks!$A:$A,$A761,Tasks!$B:$B,$B761,Tasks!$I:$I,"&lt;="&amp;INDEX(Weeks!$D:$D,MATCH($C761,Weeks!$A:$A,0)),Tasks!$I:$I,"&lt;&gt;")</f>
        <v>0</v>
      </c>
      <c r="J761">
        <f>COUNTIFS(Tasks!$A:$A,$A761,Tasks!$B:$B,$B761,
Tasks!$I:$I,"&gt;"&amp;IFERROR(INDEX(Weeks!$D:$D,MATCH($C761-1,Weeks!$A:$A,0)),DATE(2000,1,1)),
Tasks!$I:$I,"&lt;="&amp;INDEX(Weeks!$D:$D,MATCH($C761,Weeks!$A:$A,0)),
Tasks!$I:$I,"&lt;&gt;")</f>
        <v>0</v>
      </c>
    </row>
    <row r="762" spans="1:10" ht="15" customHeight="1">
      <c r="A762" t="s">
        <v>102</v>
      </c>
      <c r="B762" t="s">
        <v>105</v>
      </c>
      <c r="C762">
        <v>33</v>
      </c>
      <c r="D762">
        <v>8</v>
      </c>
      <c r="E762">
        <v>3</v>
      </c>
      <c r="F762" s="5" t="str">
        <f>IFERROR(ROUND(COUNTIFS(Tasks!$A:$A,$A762,Tasks!$B:$B,$B762,Tasks!$I:$I,"&lt;="&amp;INDEX(Weeks!$D:$D,MATCH($C762,Weeks!$A:$A,0)),Tasks!$I:$I,"&lt;&gt;")/COUNTIFS(Tasks!$A:$A,$A762,Tasks!$B:$B,$B762)*100,0),"")</f>
        <v/>
      </c>
      <c r="G762" s="5" t="str">
        <f>IFERROR(ROUND(COUNTIFS(Tasks!$A:$A,$A762,Tasks!$B:$B,$B762,Tasks!$H:$H,"&lt;="&amp;INDEX(Weeks!$D:$D,MATCH($C762,Weeks!$A:$A,0)))/COUNTIFS(Tasks!$A:$A,$A762,Tasks!$B:$B,$B762)*100,0),"")</f>
        <v/>
      </c>
      <c r="I762">
        <f>COUNTIFS(Tasks!$A:$A,$A762,Tasks!$B:$B,$B762,Tasks!$G:$G,"&lt;="&amp;INDEX(Weeks!$D:$D,MATCH($C762,Weeks!$A:$A,0)))-COUNTIFS(Tasks!$A:$A,$A762,Tasks!$B:$B,$B762,Tasks!$I:$I,"&lt;="&amp;INDEX(Weeks!$D:$D,MATCH($C762,Weeks!$A:$A,0)),Tasks!$I:$I,"&lt;&gt;")</f>
        <v>0</v>
      </c>
      <c r="J762">
        <f>COUNTIFS(Tasks!$A:$A,$A762,Tasks!$B:$B,$B762,
Tasks!$I:$I,"&gt;"&amp;IFERROR(INDEX(Weeks!$D:$D,MATCH($C762-1,Weeks!$A:$A,0)),DATE(2000,1,1)),
Tasks!$I:$I,"&lt;="&amp;INDEX(Weeks!$D:$D,MATCH($C762,Weeks!$A:$A,0)),
Tasks!$I:$I,"&lt;&gt;")</f>
        <v>0</v>
      </c>
    </row>
    <row r="763" spans="1:10" ht="15" customHeight="1">
      <c r="A763" t="s">
        <v>102</v>
      </c>
      <c r="B763" t="s">
        <v>105</v>
      </c>
      <c r="C763">
        <v>34</v>
      </c>
      <c r="D763">
        <v>8</v>
      </c>
      <c r="E763">
        <v>4</v>
      </c>
      <c r="F763" s="5" t="str">
        <f>IFERROR(ROUND(COUNTIFS(Tasks!$A:$A,$A763,Tasks!$B:$B,$B763,Tasks!$I:$I,"&lt;="&amp;INDEX(Weeks!$D:$D,MATCH($C763,Weeks!$A:$A,0)),Tasks!$I:$I,"&lt;&gt;")/COUNTIFS(Tasks!$A:$A,$A763,Tasks!$B:$B,$B763)*100,0),"")</f>
        <v/>
      </c>
      <c r="G763" s="5" t="str">
        <f>IFERROR(ROUND(COUNTIFS(Tasks!$A:$A,$A763,Tasks!$B:$B,$B763,Tasks!$H:$H,"&lt;="&amp;INDEX(Weeks!$D:$D,MATCH($C763,Weeks!$A:$A,0)))/COUNTIFS(Tasks!$A:$A,$A763,Tasks!$B:$B,$B763)*100,0),"")</f>
        <v/>
      </c>
      <c r="I763">
        <f>COUNTIFS(Tasks!$A:$A,$A763,Tasks!$B:$B,$B763,Tasks!$G:$G,"&lt;="&amp;INDEX(Weeks!$D:$D,MATCH($C763,Weeks!$A:$A,0)))-COUNTIFS(Tasks!$A:$A,$A763,Tasks!$B:$B,$B763,Tasks!$I:$I,"&lt;="&amp;INDEX(Weeks!$D:$D,MATCH($C763,Weeks!$A:$A,0)),Tasks!$I:$I,"&lt;&gt;")</f>
        <v>0</v>
      </c>
      <c r="J763">
        <f>COUNTIFS(Tasks!$A:$A,$A763,Tasks!$B:$B,$B763,
Tasks!$I:$I,"&gt;"&amp;IFERROR(INDEX(Weeks!$D:$D,MATCH($C763-1,Weeks!$A:$A,0)),DATE(2000,1,1)),
Tasks!$I:$I,"&lt;="&amp;INDEX(Weeks!$D:$D,MATCH($C763,Weeks!$A:$A,0)),
Tasks!$I:$I,"&lt;&gt;")</f>
        <v>0</v>
      </c>
    </row>
    <row r="764" spans="1:10" ht="15" customHeight="1">
      <c r="A764" t="s">
        <v>102</v>
      </c>
      <c r="B764" t="s">
        <v>105</v>
      </c>
      <c r="C764">
        <v>35</v>
      </c>
      <c r="D764">
        <v>8</v>
      </c>
      <c r="E764">
        <v>5</v>
      </c>
      <c r="F764" s="5" t="str">
        <f>IFERROR(ROUND(COUNTIFS(Tasks!$A:$A,$A764,Tasks!$B:$B,$B764,Tasks!$I:$I,"&lt;="&amp;INDEX(Weeks!$D:$D,MATCH($C764,Weeks!$A:$A,0)),Tasks!$I:$I,"&lt;&gt;")/COUNTIFS(Tasks!$A:$A,$A764,Tasks!$B:$B,$B764)*100,0),"")</f>
        <v/>
      </c>
      <c r="G764" s="5" t="str">
        <f>IFERROR(ROUND(COUNTIFS(Tasks!$A:$A,$A764,Tasks!$B:$B,$B764,Tasks!$H:$H,"&lt;="&amp;INDEX(Weeks!$D:$D,MATCH($C764,Weeks!$A:$A,0)))/COUNTIFS(Tasks!$A:$A,$A764,Tasks!$B:$B,$B764)*100,0),"")</f>
        <v/>
      </c>
      <c r="I764">
        <f>COUNTIFS(Tasks!$A:$A,$A764,Tasks!$B:$B,$B764,Tasks!$G:$G,"&lt;="&amp;INDEX(Weeks!$D:$D,MATCH($C764,Weeks!$A:$A,0)))-COUNTIFS(Tasks!$A:$A,$A764,Tasks!$B:$B,$B764,Tasks!$I:$I,"&lt;="&amp;INDEX(Weeks!$D:$D,MATCH($C764,Weeks!$A:$A,0)),Tasks!$I:$I,"&lt;&gt;")</f>
        <v>0</v>
      </c>
      <c r="J764">
        <f>COUNTIFS(Tasks!$A:$A,$A764,Tasks!$B:$B,$B764,
Tasks!$I:$I,"&gt;"&amp;IFERROR(INDEX(Weeks!$D:$D,MATCH($C764-1,Weeks!$A:$A,0)),DATE(2000,1,1)),
Tasks!$I:$I,"&lt;="&amp;INDEX(Weeks!$D:$D,MATCH($C764,Weeks!$A:$A,0)),
Tasks!$I:$I,"&lt;&gt;")</f>
        <v>0</v>
      </c>
    </row>
    <row r="765" spans="1:10" ht="15" customHeight="1">
      <c r="A765" t="s">
        <v>102</v>
      </c>
      <c r="B765" t="s">
        <v>105</v>
      </c>
      <c r="C765">
        <v>36</v>
      </c>
      <c r="D765">
        <v>9</v>
      </c>
      <c r="E765">
        <v>1</v>
      </c>
      <c r="F765" s="5" t="str">
        <f>IFERROR(ROUND(COUNTIFS(Tasks!$A:$A,$A765,Tasks!$B:$B,$B765,Tasks!$I:$I,"&lt;="&amp;INDEX(Weeks!$D:$D,MATCH($C765,Weeks!$A:$A,0)),Tasks!$I:$I,"&lt;&gt;")/COUNTIFS(Tasks!$A:$A,$A765,Tasks!$B:$B,$B765)*100,0),"")</f>
        <v/>
      </c>
      <c r="G765" s="5" t="str">
        <f>IFERROR(ROUND(COUNTIFS(Tasks!$A:$A,$A765,Tasks!$B:$B,$B765,Tasks!$H:$H,"&lt;="&amp;INDEX(Weeks!$D:$D,MATCH($C765,Weeks!$A:$A,0)))/COUNTIFS(Tasks!$A:$A,$A765,Tasks!$B:$B,$B765)*100,0),"")</f>
        <v/>
      </c>
      <c r="I765">
        <f>COUNTIFS(Tasks!$A:$A,$A765,Tasks!$B:$B,$B765,Tasks!$G:$G,"&lt;="&amp;INDEX(Weeks!$D:$D,MATCH($C765,Weeks!$A:$A,0)))-COUNTIFS(Tasks!$A:$A,$A765,Tasks!$B:$B,$B765,Tasks!$I:$I,"&lt;="&amp;INDEX(Weeks!$D:$D,MATCH($C765,Weeks!$A:$A,0)),Tasks!$I:$I,"&lt;&gt;")</f>
        <v>0</v>
      </c>
      <c r="J765">
        <f>COUNTIFS(Tasks!$A:$A,$A765,Tasks!$B:$B,$B765,
Tasks!$I:$I,"&gt;"&amp;IFERROR(INDEX(Weeks!$D:$D,MATCH($C765-1,Weeks!$A:$A,0)),DATE(2000,1,1)),
Tasks!$I:$I,"&lt;="&amp;INDEX(Weeks!$D:$D,MATCH($C765,Weeks!$A:$A,0)),
Tasks!$I:$I,"&lt;&gt;")</f>
        <v>0</v>
      </c>
    </row>
    <row r="766" spans="1:10" ht="15" customHeight="1">
      <c r="A766" t="s">
        <v>102</v>
      </c>
      <c r="B766" t="s">
        <v>105</v>
      </c>
      <c r="C766">
        <v>37</v>
      </c>
      <c r="D766">
        <v>9</v>
      </c>
      <c r="E766">
        <v>2</v>
      </c>
      <c r="F766" s="5" t="str">
        <f>IFERROR(ROUND(COUNTIFS(Tasks!$A:$A,$A766,Tasks!$B:$B,$B766,Tasks!$I:$I,"&lt;="&amp;INDEX(Weeks!$D:$D,MATCH($C766,Weeks!$A:$A,0)),Tasks!$I:$I,"&lt;&gt;")/COUNTIFS(Tasks!$A:$A,$A766,Tasks!$B:$B,$B766)*100,0),"")</f>
        <v/>
      </c>
      <c r="G766" s="5" t="str">
        <f>IFERROR(ROUND(COUNTIFS(Tasks!$A:$A,$A766,Tasks!$B:$B,$B766,Tasks!$H:$H,"&lt;="&amp;INDEX(Weeks!$D:$D,MATCH($C766,Weeks!$A:$A,0)))/COUNTIFS(Tasks!$A:$A,$A766,Tasks!$B:$B,$B766)*100,0),"")</f>
        <v/>
      </c>
      <c r="I766">
        <f>COUNTIFS(Tasks!$A:$A,$A766,Tasks!$B:$B,$B766,Tasks!$G:$G,"&lt;="&amp;INDEX(Weeks!$D:$D,MATCH($C766,Weeks!$A:$A,0)))-COUNTIFS(Tasks!$A:$A,$A766,Tasks!$B:$B,$B766,Tasks!$I:$I,"&lt;="&amp;INDEX(Weeks!$D:$D,MATCH($C766,Weeks!$A:$A,0)),Tasks!$I:$I,"&lt;&gt;")</f>
        <v>0</v>
      </c>
      <c r="J766">
        <f>COUNTIFS(Tasks!$A:$A,$A766,Tasks!$B:$B,$B766,
Tasks!$I:$I,"&gt;"&amp;IFERROR(INDEX(Weeks!$D:$D,MATCH($C766-1,Weeks!$A:$A,0)),DATE(2000,1,1)),
Tasks!$I:$I,"&lt;="&amp;INDEX(Weeks!$D:$D,MATCH($C766,Weeks!$A:$A,0)),
Tasks!$I:$I,"&lt;&gt;")</f>
        <v>0</v>
      </c>
    </row>
    <row r="767" spans="1:10" ht="15" customHeight="1">
      <c r="A767" t="s">
        <v>102</v>
      </c>
      <c r="B767" t="s">
        <v>105</v>
      </c>
      <c r="C767">
        <v>38</v>
      </c>
      <c r="D767">
        <v>9</v>
      </c>
      <c r="E767">
        <v>3</v>
      </c>
      <c r="F767" s="5" t="str">
        <f>IFERROR(ROUND(COUNTIFS(Tasks!$A:$A,$A767,Tasks!$B:$B,$B767,Tasks!$I:$I,"&lt;="&amp;INDEX(Weeks!$D:$D,MATCH($C767,Weeks!$A:$A,0)),Tasks!$I:$I,"&lt;&gt;")/COUNTIFS(Tasks!$A:$A,$A767,Tasks!$B:$B,$B767)*100,0),"")</f>
        <v/>
      </c>
      <c r="G767" s="5" t="str">
        <f>IFERROR(ROUND(COUNTIFS(Tasks!$A:$A,$A767,Tasks!$B:$B,$B767,Tasks!$H:$H,"&lt;="&amp;INDEX(Weeks!$D:$D,MATCH($C767,Weeks!$A:$A,0)))/COUNTIFS(Tasks!$A:$A,$A767,Tasks!$B:$B,$B767)*100,0),"")</f>
        <v/>
      </c>
      <c r="I767">
        <f>COUNTIFS(Tasks!$A:$A,$A767,Tasks!$B:$B,$B767,Tasks!$G:$G,"&lt;="&amp;INDEX(Weeks!$D:$D,MATCH($C767,Weeks!$A:$A,0)))-COUNTIFS(Tasks!$A:$A,$A767,Tasks!$B:$B,$B767,Tasks!$I:$I,"&lt;="&amp;INDEX(Weeks!$D:$D,MATCH($C767,Weeks!$A:$A,0)),Tasks!$I:$I,"&lt;&gt;")</f>
        <v>0</v>
      </c>
      <c r="J767">
        <f>COUNTIFS(Tasks!$A:$A,$A767,Tasks!$B:$B,$B767,
Tasks!$I:$I,"&gt;"&amp;IFERROR(INDEX(Weeks!$D:$D,MATCH($C767-1,Weeks!$A:$A,0)),DATE(2000,1,1)),
Tasks!$I:$I,"&lt;="&amp;INDEX(Weeks!$D:$D,MATCH($C767,Weeks!$A:$A,0)),
Tasks!$I:$I,"&lt;&gt;")</f>
        <v>0</v>
      </c>
    </row>
    <row r="768" spans="1:10" ht="15" customHeight="1">
      <c r="A768" t="s">
        <v>102</v>
      </c>
      <c r="B768" t="s">
        <v>105</v>
      </c>
      <c r="C768">
        <v>39</v>
      </c>
      <c r="D768">
        <v>9</v>
      </c>
      <c r="E768">
        <v>4</v>
      </c>
      <c r="F768" s="5" t="str">
        <f>IFERROR(ROUND(COUNTIFS(Tasks!$A:$A,$A768,Tasks!$B:$B,$B768,Tasks!$I:$I,"&lt;="&amp;INDEX(Weeks!$D:$D,MATCH($C768,Weeks!$A:$A,0)),Tasks!$I:$I,"&lt;&gt;")/COUNTIFS(Tasks!$A:$A,$A768,Tasks!$B:$B,$B768)*100,0),"")</f>
        <v/>
      </c>
      <c r="G768" s="5" t="str">
        <f>IFERROR(ROUND(COUNTIFS(Tasks!$A:$A,$A768,Tasks!$B:$B,$B768,Tasks!$H:$H,"&lt;="&amp;INDEX(Weeks!$D:$D,MATCH($C768,Weeks!$A:$A,0)))/COUNTIFS(Tasks!$A:$A,$A768,Tasks!$B:$B,$B768)*100,0),"")</f>
        <v/>
      </c>
      <c r="I768">
        <f>COUNTIFS(Tasks!$A:$A,$A768,Tasks!$B:$B,$B768,Tasks!$G:$G,"&lt;="&amp;INDEX(Weeks!$D:$D,MATCH($C768,Weeks!$A:$A,0)))-COUNTIFS(Tasks!$A:$A,$A768,Tasks!$B:$B,$B768,Tasks!$I:$I,"&lt;="&amp;INDEX(Weeks!$D:$D,MATCH($C768,Weeks!$A:$A,0)),Tasks!$I:$I,"&lt;&gt;")</f>
        <v>0</v>
      </c>
      <c r="J768">
        <f>COUNTIFS(Tasks!$A:$A,$A768,Tasks!$B:$B,$B768,
Tasks!$I:$I,"&gt;"&amp;IFERROR(INDEX(Weeks!$D:$D,MATCH($C768-1,Weeks!$A:$A,0)),DATE(2000,1,1)),
Tasks!$I:$I,"&lt;="&amp;INDEX(Weeks!$D:$D,MATCH($C768,Weeks!$A:$A,0)),
Tasks!$I:$I,"&lt;&gt;")</f>
        <v>0</v>
      </c>
    </row>
    <row r="769" spans="1:10" ht="15" customHeight="1">
      <c r="A769" t="s">
        <v>102</v>
      </c>
      <c r="B769" t="s">
        <v>105</v>
      </c>
      <c r="C769">
        <v>40</v>
      </c>
      <c r="D769">
        <v>10</v>
      </c>
      <c r="E769">
        <v>1</v>
      </c>
      <c r="F769" s="5" t="str">
        <f>IFERROR(ROUND(COUNTIFS(Tasks!$A:$A,$A769,Tasks!$B:$B,$B769,Tasks!$I:$I,"&lt;="&amp;INDEX(Weeks!$D:$D,MATCH($C769,Weeks!$A:$A,0)),Tasks!$I:$I,"&lt;&gt;")/COUNTIFS(Tasks!$A:$A,$A769,Tasks!$B:$B,$B769)*100,0),"")</f>
        <v/>
      </c>
      <c r="G769" s="5" t="str">
        <f>IFERROR(ROUND(COUNTIFS(Tasks!$A:$A,$A769,Tasks!$B:$B,$B769,Tasks!$H:$H,"&lt;="&amp;INDEX(Weeks!$D:$D,MATCH($C769,Weeks!$A:$A,0)))/COUNTIFS(Tasks!$A:$A,$A769,Tasks!$B:$B,$B769)*100,0),"")</f>
        <v/>
      </c>
      <c r="I769">
        <f>COUNTIFS(Tasks!$A:$A,$A769,Tasks!$B:$B,$B769,Tasks!$G:$G,"&lt;="&amp;INDEX(Weeks!$D:$D,MATCH($C769,Weeks!$A:$A,0)))-COUNTIFS(Tasks!$A:$A,$A769,Tasks!$B:$B,$B769,Tasks!$I:$I,"&lt;="&amp;INDEX(Weeks!$D:$D,MATCH($C769,Weeks!$A:$A,0)),Tasks!$I:$I,"&lt;&gt;")</f>
        <v>0</v>
      </c>
      <c r="J769">
        <f>COUNTIFS(Tasks!$A:$A,$A769,Tasks!$B:$B,$B769,
Tasks!$I:$I,"&gt;"&amp;IFERROR(INDEX(Weeks!$D:$D,MATCH($C769-1,Weeks!$A:$A,0)),DATE(2000,1,1)),
Tasks!$I:$I,"&lt;="&amp;INDEX(Weeks!$D:$D,MATCH($C769,Weeks!$A:$A,0)),
Tasks!$I:$I,"&lt;&gt;")</f>
        <v>0</v>
      </c>
    </row>
    <row r="770" spans="1:10" ht="15" customHeight="1">
      <c r="A770" t="s">
        <v>102</v>
      </c>
      <c r="B770" t="s">
        <v>105</v>
      </c>
      <c r="C770">
        <v>41</v>
      </c>
      <c r="D770">
        <v>10</v>
      </c>
      <c r="E770">
        <v>2</v>
      </c>
      <c r="F770" s="5" t="str">
        <f>IFERROR(ROUND(COUNTIFS(Tasks!$A:$A,$A770,Tasks!$B:$B,$B770,Tasks!$I:$I,"&lt;="&amp;INDEX(Weeks!$D:$D,MATCH($C770,Weeks!$A:$A,0)),Tasks!$I:$I,"&lt;&gt;")/COUNTIFS(Tasks!$A:$A,$A770,Tasks!$B:$B,$B770)*100,0),"")</f>
        <v/>
      </c>
      <c r="G770" s="5" t="str">
        <f>IFERROR(ROUND(COUNTIFS(Tasks!$A:$A,$A770,Tasks!$B:$B,$B770,Tasks!$H:$H,"&lt;="&amp;INDEX(Weeks!$D:$D,MATCH($C770,Weeks!$A:$A,0)))/COUNTIFS(Tasks!$A:$A,$A770,Tasks!$B:$B,$B770)*100,0),"")</f>
        <v/>
      </c>
      <c r="I770">
        <f>COUNTIFS(Tasks!$A:$A,$A770,Tasks!$B:$B,$B770,Tasks!$G:$G,"&lt;="&amp;INDEX(Weeks!$D:$D,MATCH($C770,Weeks!$A:$A,0)))-COUNTIFS(Tasks!$A:$A,$A770,Tasks!$B:$B,$B770,Tasks!$I:$I,"&lt;="&amp;INDEX(Weeks!$D:$D,MATCH($C770,Weeks!$A:$A,0)),Tasks!$I:$I,"&lt;&gt;")</f>
        <v>0</v>
      </c>
      <c r="J770">
        <f>COUNTIFS(Tasks!$A:$A,$A770,Tasks!$B:$B,$B770,
Tasks!$I:$I,"&gt;"&amp;IFERROR(INDEX(Weeks!$D:$D,MATCH($C770-1,Weeks!$A:$A,0)),DATE(2000,1,1)),
Tasks!$I:$I,"&lt;="&amp;INDEX(Weeks!$D:$D,MATCH($C770,Weeks!$A:$A,0)),
Tasks!$I:$I,"&lt;&gt;")</f>
        <v>0</v>
      </c>
    </row>
    <row r="771" spans="1:10" ht="15" customHeight="1">
      <c r="A771" t="s">
        <v>102</v>
      </c>
      <c r="B771" t="s">
        <v>105</v>
      </c>
      <c r="C771">
        <v>42</v>
      </c>
      <c r="D771">
        <v>10</v>
      </c>
      <c r="E771">
        <v>3</v>
      </c>
      <c r="F771" s="5" t="str">
        <f>IFERROR(ROUND(COUNTIFS(Tasks!$A:$A,$A771,Tasks!$B:$B,$B771,Tasks!$I:$I,"&lt;="&amp;INDEX(Weeks!$D:$D,MATCH($C771,Weeks!$A:$A,0)),Tasks!$I:$I,"&lt;&gt;")/COUNTIFS(Tasks!$A:$A,$A771,Tasks!$B:$B,$B771)*100,0),"")</f>
        <v/>
      </c>
      <c r="G771" s="5" t="str">
        <f>IFERROR(ROUND(COUNTIFS(Tasks!$A:$A,$A771,Tasks!$B:$B,$B771,Tasks!$H:$H,"&lt;="&amp;INDEX(Weeks!$D:$D,MATCH($C771,Weeks!$A:$A,0)))/COUNTIFS(Tasks!$A:$A,$A771,Tasks!$B:$B,$B771)*100,0),"")</f>
        <v/>
      </c>
      <c r="I771">
        <f>COUNTIFS(Tasks!$A:$A,$A771,Tasks!$B:$B,$B771,Tasks!$G:$G,"&lt;="&amp;INDEX(Weeks!$D:$D,MATCH($C771,Weeks!$A:$A,0)))-COUNTIFS(Tasks!$A:$A,$A771,Tasks!$B:$B,$B771,Tasks!$I:$I,"&lt;="&amp;INDEX(Weeks!$D:$D,MATCH($C771,Weeks!$A:$A,0)),Tasks!$I:$I,"&lt;&gt;")</f>
        <v>0</v>
      </c>
      <c r="J771">
        <f>COUNTIFS(Tasks!$A:$A,$A771,Tasks!$B:$B,$B771,
Tasks!$I:$I,"&gt;"&amp;IFERROR(INDEX(Weeks!$D:$D,MATCH($C771-1,Weeks!$A:$A,0)),DATE(2000,1,1)),
Tasks!$I:$I,"&lt;="&amp;INDEX(Weeks!$D:$D,MATCH($C771,Weeks!$A:$A,0)),
Tasks!$I:$I,"&lt;&gt;")</f>
        <v>0</v>
      </c>
    </row>
    <row r="772" spans="1:10" ht="15" customHeight="1">
      <c r="A772" t="s">
        <v>102</v>
      </c>
      <c r="B772" t="s">
        <v>105</v>
      </c>
      <c r="C772">
        <v>43</v>
      </c>
      <c r="D772">
        <v>10</v>
      </c>
      <c r="E772">
        <v>4</v>
      </c>
      <c r="F772" s="5" t="str">
        <f>IFERROR(ROUND(COUNTIFS(Tasks!$A:$A,$A772,Tasks!$B:$B,$B772,Tasks!$I:$I,"&lt;="&amp;INDEX(Weeks!$D:$D,MATCH($C772,Weeks!$A:$A,0)),Tasks!$I:$I,"&lt;&gt;")/COUNTIFS(Tasks!$A:$A,$A772,Tasks!$B:$B,$B772)*100,0),"")</f>
        <v/>
      </c>
      <c r="G772" s="5" t="str">
        <f>IFERROR(ROUND(COUNTIFS(Tasks!$A:$A,$A772,Tasks!$B:$B,$B772,Tasks!$H:$H,"&lt;="&amp;INDEX(Weeks!$D:$D,MATCH($C772,Weeks!$A:$A,0)))/COUNTIFS(Tasks!$A:$A,$A772,Tasks!$B:$B,$B772)*100,0),"")</f>
        <v/>
      </c>
      <c r="I772">
        <f>COUNTIFS(Tasks!$A:$A,$A772,Tasks!$B:$B,$B772,Tasks!$G:$G,"&lt;="&amp;INDEX(Weeks!$D:$D,MATCH($C772,Weeks!$A:$A,0)))-COUNTIFS(Tasks!$A:$A,$A772,Tasks!$B:$B,$B772,Tasks!$I:$I,"&lt;="&amp;INDEX(Weeks!$D:$D,MATCH($C772,Weeks!$A:$A,0)),Tasks!$I:$I,"&lt;&gt;")</f>
        <v>0</v>
      </c>
      <c r="J772">
        <f>COUNTIFS(Tasks!$A:$A,$A772,Tasks!$B:$B,$B772,
Tasks!$I:$I,"&gt;"&amp;IFERROR(INDEX(Weeks!$D:$D,MATCH($C772-1,Weeks!$A:$A,0)),DATE(2000,1,1)),
Tasks!$I:$I,"&lt;="&amp;INDEX(Weeks!$D:$D,MATCH($C772,Weeks!$A:$A,0)),
Tasks!$I:$I,"&lt;&gt;")</f>
        <v>0</v>
      </c>
    </row>
    <row r="773" spans="1:10" ht="15" customHeight="1">
      <c r="A773" t="s">
        <v>102</v>
      </c>
      <c r="B773" t="s">
        <v>105</v>
      </c>
      <c r="C773">
        <v>44</v>
      </c>
      <c r="D773">
        <v>10</v>
      </c>
      <c r="E773">
        <v>5</v>
      </c>
      <c r="F773" s="5" t="str">
        <f>IFERROR(ROUND(COUNTIFS(Tasks!$A:$A,$A773,Tasks!$B:$B,$B773,Tasks!$I:$I,"&lt;="&amp;INDEX(Weeks!$D:$D,MATCH($C773,Weeks!$A:$A,0)),Tasks!$I:$I,"&lt;&gt;")/COUNTIFS(Tasks!$A:$A,$A773,Tasks!$B:$B,$B773)*100,0),"")</f>
        <v/>
      </c>
      <c r="G773" s="5" t="str">
        <f>IFERROR(ROUND(COUNTIFS(Tasks!$A:$A,$A773,Tasks!$B:$B,$B773,Tasks!$H:$H,"&lt;="&amp;INDEX(Weeks!$D:$D,MATCH($C773,Weeks!$A:$A,0)))/COUNTIFS(Tasks!$A:$A,$A773,Tasks!$B:$B,$B773)*100,0),"")</f>
        <v/>
      </c>
      <c r="I773">
        <f>COUNTIFS(Tasks!$A:$A,$A773,Tasks!$B:$B,$B773,Tasks!$G:$G,"&lt;="&amp;INDEX(Weeks!$D:$D,MATCH($C773,Weeks!$A:$A,0)))-COUNTIFS(Tasks!$A:$A,$A773,Tasks!$B:$B,$B773,Tasks!$I:$I,"&lt;="&amp;INDEX(Weeks!$D:$D,MATCH($C773,Weeks!$A:$A,0)),Tasks!$I:$I,"&lt;&gt;")</f>
        <v>0</v>
      </c>
      <c r="J773">
        <f>COUNTIFS(Tasks!$A:$A,$A773,Tasks!$B:$B,$B773,
Tasks!$I:$I,"&gt;"&amp;IFERROR(INDEX(Weeks!$D:$D,MATCH($C773-1,Weeks!$A:$A,0)),DATE(2000,1,1)),
Tasks!$I:$I,"&lt;="&amp;INDEX(Weeks!$D:$D,MATCH($C773,Weeks!$A:$A,0)),
Tasks!$I:$I,"&lt;&gt;")</f>
        <v>0</v>
      </c>
    </row>
    <row r="774" spans="1:10" ht="15" customHeight="1">
      <c r="A774" t="s">
        <v>102</v>
      </c>
      <c r="B774" t="s">
        <v>105</v>
      </c>
      <c r="C774">
        <v>45</v>
      </c>
      <c r="D774">
        <v>11</v>
      </c>
      <c r="E774">
        <v>1</v>
      </c>
      <c r="F774" s="5" t="str">
        <f>IFERROR(ROUND(COUNTIFS(Tasks!$A:$A,$A774,Tasks!$B:$B,$B774,Tasks!$I:$I,"&lt;="&amp;INDEX(Weeks!$D:$D,MATCH($C774,Weeks!$A:$A,0)),Tasks!$I:$I,"&lt;&gt;")/COUNTIFS(Tasks!$A:$A,$A774,Tasks!$B:$B,$B774)*100,0),"")</f>
        <v/>
      </c>
      <c r="G774" s="5" t="str">
        <f>IFERROR(ROUND(COUNTIFS(Tasks!$A:$A,$A774,Tasks!$B:$B,$B774,Tasks!$H:$H,"&lt;="&amp;INDEX(Weeks!$D:$D,MATCH($C774,Weeks!$A:$A,0)))/COUNTIFS(Tasks!$A:$A,$A774,Tasks!$B:$B,$B774)*100,0),"")</f>
        <v/>
      </c>
      <c r="I774">
        <f>COUNTIFS(Tasks!$A:$A,$A774,Tasks!$B:$B,$B774,Tasks!$G:$G,"&lt;="&amp;INDEX(Weeks!$D:$D,MATCH($C774,Weeks!$A:$A,0)))-COUNTIFS(Tasks!$A:$A,$A774,Tasks!$B:$B,$B774,Tasks!$I:$I,"&lt;="&amp;INDEX(Weeks!$D:$D,MATCH($C774,Weeks!$A:$A,0)),Tasks!$I:$I,"&lt;&gt;")</f>
        <v>0</v>
      </c>
      <c r="J774">
        <f>COUNTIFS(Tasks!$A:$A,$A774,Tasks!$B:$B,$B774,
Tasks!$I:$I,"&gt;"&amp;IFERROR(INDEX(Weeks!$D:$D,MATCH($C774-1,Weeks!$A:$A,0)),DATE(2000,1,1)),
Tasks!$I:$I,"&lt;="&amp;INDEX(Weeks!$D:$D,MATCH($C774,Weeks!$A:$A,0)),
Tasks!$I:$I,"&lt;&gt;")</f>
        <v>0</v>
      </c>
    </row>
    <row r="775" spans="1:10" ht="15" customHeight="1">
      <c r="A775" t="s">
        <v>102</v>
      </c>
      <c r="B775" t="s">
        <v>105</v>
      </c>
      <c r="C775">
        <v>46</v>
      </c>
      <c r="D775">
        <v>11</v>
      </c>
      <c r="E775">
        <v>2</v>
      </c>
      <c r="F775" s="5" t="str">
        <f>IFERROR(ROUND(COUNTIFS(Tasks!$A:$A,$A775,Tasks!$B:$B,$B775,Tasks!$I:$I,"&lt;="&amp;INDEX(Weeks!$D:$D,MATCH($C775,Weeks!$A:$A,0)),Tasks!$I:$I,"&lt;&gt;")/COUNTIFS(Tasks!$A:$A,$A775,Tasks!$B:$B,$B775)*100,0),"")</f>
        <v/>
      </c>
      <c r="G775" s="5" t="str">
        <f>IFERROR(ROUND(COUNTIFS(Tasks!$A:$A,$A775,Tasks!$B:$B,$B775,Tasks!$H:$H,"&lt;="&amp;INDEX(Weeks!$D:$D,MATCH($C775,Weeks!$A:$A,0)))/COUNTIFS(Tasks!$A:$A,$A775,Tasks!$B:$B,$B775)*100,0),"")</f>
        <v/>
      </c>
      <c r="I775">
        <f>COUNTIFS(Tasks!$A:$A,$A775,Tasks!$B:$B,$B775,Tasks!$G:$G,"&lt;="&amp;INDEX(Weeks!$D:$D,MATCH($C775,Weeks!$A:$A,0)))-COUNTIFS(Tasks!$A:$A,$A775,Tasks!$B:$B,$B775,Tasks!$I:$I,"&lt;="&amp;INDEX(Weeks!$D:$D,MATCH($C775,Weeks!$A:$A,0)),Tasks!$I:$I,"&lt;&gt;")</f>
        <v>0</v>
      </c>
      <c r="J775">
        <f>COUNTIFS(Tasks!$A:$A,$A775,Tasks!$B:$B,$B775,
Tasks!$I:$I,"&gt;"&amp;IFERROR(INDEX(Weeks!$D:$D,MATCH($C775-1,Weeks!$A:$A,0)),DATE(2000,1,1)),
Tasks!$I:$I,"&lt;="&amp;INDEX(Weeks!$D:$D,MATCH($C775,Weeks!$A:$A,0)),
Tasks!$I:$I,"&lt;&gt;")</f>
        <v>0</v>
      </c>
    </row>
    <row r="776" spans="1:10" ht="15" customHeight="1">
      <c r="A776" t="s">
        <v>102</v>
      </c>
      <c r="B776" t="s">
        <v>105</v>
      </c>
      <c r="C776">
        <v>47</v>
      </c>
      <c r="D776">
        <v>11</v>
      </c>
      <c r="E776">
        <v>3</v>
      </c>
      <c r="F776" s="5" t="str">
        <f>IFERROR(ROUND(COUNTIFS(Tasks!$A:$A,$A776,Tasks!$B:$B,$B776,Tasks!$I:$I,"&lt;="&amp;INDEX(Weeks!$D:$D,MATCH($C776,Weeks!$A:$A,0)),Tasks!$I:$I,"&lt;&gt;")/COUNTIFS(Tasks!$A:$A,$A776,Tasks!$B:$B,$B776)*100,0),"")</f>
        <v/>
      </c>
      <c r="G776" s="5" t="str">
        <f>IFERROR(ROUND(COUNTIFS(Tasks!$A:$A,$A776,Tasks!$B:$B,$B776,Tasks!$H:$H,"&lt;="&amp;INDEX(Weeks!$D:$D,MATCH($C776,Weeks!$A:$A,0)))/COUNTIFS(Tasks!$A:$A,$A776,Tasks!$B:$B,$B776)*100,0),"")</f>
        <v/>
      </c>
      <c r="I776">
        <f>COUNTIFS(Tasks!$A:$A,$A776,Tasks!$B:$B,$B776,Tasks!$G:$G,"&lt;="&amp;INDEX(Weeks!$D:$D,MATCH($C776,Weeks!$A:$A,0)))-COUNTIFS(Tasks!$A:$A,$A776,Tasks!$B:$B,$B776,Tasks!$I:$I,"&lt;="&amp;INDEX(Weeks!$D:$D,MATCH($C776,Weeks!$A:$A,0)),Tasks!$I:$I,"&lt;&gt;")</f>
        <v>0</v>
      </c>
      <c r="J776">
        <f>COUNTIFS(Tasks!$A:$A,$A776,Tasks!$B:$B,$B776,
Tasks!$I:$I,"&gt;"&amp;IFERROR(INDEX(Weeks!$D:$D,MATCH($C776-1,Weeks!$A:$A,0)),DATE(2000,1,1)),
Tasks!$I:$I,"&lt;="&amp;INDEX(Weeks!$D:$D,MATCH($C776,Weeks!$A:$A,0)),
Tasks!$I:$I,"&lt;&gt;")</f>
        <v>0</v>
      </c>
    </row>
    <row r="777" spans="1:10" ht="15" customHeight="1">
      <c r="A777" t="s">
        <v>102</v>
      </c>
      <c r="B777" t="s">
        <v>105</v>
      </c>
      <c r="C777">
        <v>48</v>
      </c>
      <c r="D777">
        <v>11</v>
      </c>
      <c r="E777">
        <v>4</v>
      </c>
      <c r="F777" s="5" t="str">
        <f>IFERROR(ROUND(COUNTIFS(Tasks!$A:$A,$A777,Tasks!$B:$B,$B777,Tasks!$I:$I,"&lt;="&amp;INDEX(Weeks!$D:$D,MATCH($C777,Weeks!$A:$A,0)),Tasks!$I:$I,"&lt;&gt;")/COUNTIFS(Tasks!$A:$A,$A777,Tasks!$B:$B,$B777)*100,0),"")</f>
        <v/>
      </c>
      <c r="G777" s="5" t="str">
        <f>IFERROR(ROUND(COUNTIFS(Tasks!$A:$A,$A777,Tasks!$B:$B,$B777,Tasks!$H:$H,"&lt;="&amp;INDEX(Weeks!$D:$D,MATCH($C777,Weeks!$A:$A,0)))/COUNTIFS(Tasks!$A:$A,$A777,Tasks!$B:$B,$B777)*100,0),"")</f>
        <v/>
      </c>
      <c r="I777">
        <f>COUNTIFS(Tasks!$A:$A,$A777,Tasks!$B:$B,$B777,Tasks!$G:$G,"&lt;="&amp;INDEX(Weeks!$D:$D,MATCH($C777,Weeks!$A:$A,0)))-COUNTIFS(Tasks!$A:$A,$A777,Tasks!$B:$B,$B777,Tasks!$I:$I,"&lt;="&amp;INDEX(Weeks!$D:$D,MATCH($C777,Weeks!$A:$A,0)),Tasks!$I:$I,"&lt;&gt;")</f>
        <v>0</v>
      </c>
      <c r="J777">
        <f>COUNTIFS(Tasks!$A:$A,$A777,Tasks!$B:$B,$B777,
Tasks!$I:$I,"&gt;"&amp;IFERROR(INDEX(Weeks!$D:$D,MATCH($C777-1,Weeks!$A:$A,0)),DATE(2000,1,1)),
Tasks!$I:$I,"&lt;="&amp;INDEX(Weeks!$D:$D,MATCH($C777,Weeks!$A:$A,0)),
Tasks!$I:$I,"&lt;&gt;")</f>
        <v>0</v>
      </c>
    </row>
    <row r="778" spans="1:10" ht="15" customHeight="1">
      <c r="A778" t="s">
        <v>102</v>
      </c>
      <c r="B778" t="s">
        <v>105</v>
      </c>
      <c r="C778">
        <v>49</v>
      </c>
      <c r="D778">
        <v>12</v>
      </c>
      <c r="E778">
        <v>1</v>
      </c>
      <c r="F778" s="5" t="str">
        <f>IFERROR(ROUND(COUNTIFS(Tasks!$A:$A,$A778,Tasks!$B:$B,$B778,Tasks!$I:$I,"&lt;="&amp;INDEX(Weeks!$D:$D,MATCH($C778,Weeks!$A:$A,0)),Tasks!$I:$I,"&lt;&gt;")/COUNTIFS(Tasks!$A:$A,$A778,Tasks!$B:$B,$B778)*100,0),"")</f>
        <v/>
      </c>
      <c r="G778" s="5" t="str">
        <f>IFERROR(ROUND(COUNTIFS(Tasks!$A:$A,$A778,Tasks!$B:$B,$B778,Tasks!$H:$H,"&lt;="&amp;INDEX(Weeks!$D:$D,MATCH($C778,Weeks!$A:$A,0)))/COUNTIFS(Tasks!$A:$A,$A778,Tasks!$B:$B,$B778)*100,0),"")</f>
        <v/>
      </c>
      <c r="I778">
        <f>COUNTIFS(Tasks!$A:$A,$A778,Tasks!$B:$B,$B778,Tasks!$G:$G,"&lt;="&amp;INDEX(Weeks!$D:$D,MATCH($C778,Weeks!$A:$A,0)))-COUNTIFS(Tasks!$A:$A,$A778,Tasks!$B:$B,$B778,Tasks!$I:$I,"&lt;="&amp;INDEX(Weeks!$D:$D,MATCH($C778,Weeks!$A:$A,0)),Tasks!$I:$I,"&lt;&gt;")</f>
        <v>0</v>
      </c>
      <c r="J778">
        <f>COUNTIFS(Tasks!$A:$A,$A778,Tasks!$B:$B,$B778,
Tasks!$I:$I,"&gt;"&amp;IFERROR(INDEX(Weeks!$D:$D,MATCH($C778-1,Weeks!$A:$A,0)),DATE(2000,1,1)),
Tasks!$I:$I,"&lt;="&amp;INDEX(Weeks!$D:$D,MATCH($C778,Weeks!$A:$A,0)),
Tasks!$I:$I,"&lt;&gt;")</f>
        <v>0</v>
      </c>
    </row>
    <row r="779" spans="1:10" ht="15" customHeight="1">
      <c r="A779" t="s">
        <v>102</v>
      </c>
      <c r="B779" t="s">
        <v>105</v>
      </c>
      <c r="C779">
        <v>50</v>
      </c>
      <c r="D779">
        <v>12</v>
      </c>
      <c r="E779">
        <v>2</v>
      </c>
      <c r="F779" s="5" t="str">
        <f>IFERROR(ROUND(COUNTIFS(Tasks!$A:$A,$A779,Tasks!$B:$B,$B779,Tasks!$I:$I,"&lt;="&amp;INDEX(Weeks!$D:$D,MATCH($C779,Weeks!$A:$A,0)),Tasks!$I:$I,"&lt;&gt;")/COUNTIFS(Tasks!$A:$A,$A779,Tasks!$B:$B,$B779)*100,0),"")</f>
        <v/>
      </c>
      <c r="G779" s="5" t="str">
        <f>IFERROR(ROUND(COUNTIFS(Tasks!$A:$A,$A779,Tasks!$B:$B,$B779,Tasks!$H:$H,"&lt;="&amp;INDEX(Weeks!$D:$D,MATCH($C779,Weeks!$A:$A,0)))/COUNTIFS(Tasks!$A:$A,$A779,Tasks!$B:$B,$B779)*100,0),"")</f>
        <v/>
      </c>
      <c r="I779">
        <f>COUNTIFS(Tasks!$A:$A,$A779,Tasks!$B:$B,$B779,Tasks!$G:$G,"&lt;="&amp;INDEX(Weeks!$D:$D,MATCH($C779,Weeks!$A:$A,0)))-COUNTIFS(Tasks!$A:$A,$A779,Tasks!$B:$B,$B779,Tasks!$I:$I,"&lt;="&amp;INDEX(Weeks!$D:$D,MATCH($C779,Weeks!$A:$A,0)),Tasks!$I:$I,"&lt;&gt;")</f>
        <v>0</v>
      </c>
      <c r="J779">
        <f>COUNTIFS(Tasks!$A:$A,$A779,Tasks!$B:$B,$B779,
Tasks!$I:$I,"&gt;"&amp;IFERROR(INDEX(Weeks!$D:$D,MATCH($C779-1,Weeks!$A:$A,0)),DATE(2000,1,1)),
Tasks!$I:$I,"&lt;="&amp;INDEX(Weeks!$D:$D,MATCH($C779,Weeks!$A:$A,0)),
Tasks!$I:$I,"&lt;&gt;")</f>
        <v>0</v>
      </c>
    </row>
    <row r="780" spans="1:10" ht="15" customHeight="1">
      <c r="A780" t="s">
        <v>102</v>
      </c>
      <c r="B780" t="s">
        <v>105</v>
      </c>
      <c r="C780">
        <v>51</v>
      </c>
      <c r="D780">
        <v>12</v>
      </c>
      <c r="E780">
        <v>3</v>
      </c>
      <c r="F780" s="5" t="str">
        <f>IFERROR(ROUND(COUNTIFS(Tasks!$A:$A,$A780,Tasks!$B:$B,$B780,Tasks!$I:$I,"&lt;="&amp;INDEX(Weeks!$D:$D,MATCH($C780,Weeks!$A:$A,0)),Tasks!$I:$I,"&lt;&gt;")/COUNTIFS(Tasks!$A:$A,$A780,Tasks!$B:$B,$B780)*100,0),"")</f>
        <v/>
      </c>
      <c r="G780" s="5" t="str">
        <f>IFERROR(ROUND(COUNTIFS(Tasks!$A:$A,$A780,Tasks!$B:$B,$B780,Tasks!$H:$H,"&lt;="&amp;INDEX(Weeks!$D:$D,MATCH($C780,Weeks!$A:$A,0)))/COUNTIFS(Tasks!$A:$A,$A780,Tasks!$B:$B,$B780)*100,0),"")</f>
        <v/>
      </c>
      <c r="I780">
        <f>COUNTIFS(Tasks!$A:$A,$A780,Tasks!$B:$B,$B780,Tasks!$G:$G,"&lt;="&amp;INDEX(Weeks!$D:$D,MATCH($C780,Weeks!$A:$A,0)))-COUNTIFS(Tasks!$A:$A,$A780,Tasks!$B:$B,$B780,Tasks!$I:$I,"&lt;="&amp;INDEX(Weeks!$D:$D,MATCH($C780,Weeks!$A:$A,0)),Tasks!$I:$I,"&lt;&gt;")</f>
        <v>0</v>
      </c>
      <c r="J780">
        <f>COUNTIFS(Tasks!$A:$A,$A780,Tasks!$B:$B,$B780,
Tasks!$I:$I,"&gt;"&amp;IFERROR(INDEX(Weeks!$D:$D,MATCH($C780-1,Weeks!$A:$A,0)),DATE(2000,1,1)),
Tasks!$I:$I,"&lt;="&amp;INDEX(Weeks!$D:$D,MATCH($C780,Weeks!$A:$A,0)),
Tasks!$I:$I,"&lt;&gt;")</f>
        <v>0</v>
      </c>
    </row>
    <row r="781" spans="1:10" ht="15" customHeight="1">
      <c r="A781" t="s">
        <v>102</v>
      </c>
      <c r="B781" t="s">
        <v>105</v>
      </c>
      <c r="C781">
        <v>52</v>
      </c>
      <c r="D781">
        <v>12</v>
      </c>
      <c r="E781">
        <v>4</v>
      </c>
      <c r="F781" s="5" t="str">
        <f>IFERROR(ROUND(COUNTIFS(Tasks!$A:$A,$A781,Tasks!$B:$B,$B781,Tasks!$I:$I,"&lt;="&amp;INDEX(Weeks!$D:$D,MATCH($C781,Weeks!$A:$A,0)),Tasks!$I:$I,"&lt;&gt;")/COUNTIFS(Tasks!$A:$A,$A781,Tasks!$B:$B,$B781)*100,0),"")</f>
        <v/>
      </c>
      <c r="G781" s="5" t="str">
        <f>IFERROR(ROUND(COUNTIFS(Tasks!$A:$A,$A781,Tasks!$B:$B,$B781,Tasks!$H:$H,"&lt;="&amp;INDEX(Weeks!$D:$D,MATCH($C781,Weeks!$A:$A,0)))/COUNTIFS(Tasks!$A:$A,$A781,Tasks!$B:$B,$B781)*100,0),"")</f>
        <v/>
      </c>
      <c r="I781">
        <f>COUNTIFS(Tasks!$A:$A,$A781,Tasks!$B:$B,$B781,Tasks!$G:$G,"&lt;="&amp;INDEX(Weeks!$D:$D,MATCH($C781,Weeks!$A:$A,0)))-COUNTIFS(Tasks!$A:$A,$A781,Tasks!$B:$B,$B781,Tasks!$I:$I,"&lt;="&amp;INDEX(Weeks!$D:$D,MATCH($C781,Weeks!$A:$A,0)),Tasks!$I:$I,"&lt;&gt;")</f>
        <v>0</v>
      </c>
      <c r="J781">
        <f>COUNTIFS(Tasks!$A:$A,$A781,Tasks!$B:$B,$B781,
Tasks!$I:$I,"&gt;"&amp;IFERROR(INDEX(Weeks!$D:$D,MATCH($C781-1,Weeks!$A:$A,0)),DATE(2000,1,1)),
Tasks!$I:$I,"&lt;="&amp;INDEX(Weeks!$D:$D,MATCH($C781,Weeks!$A:$A,0)),
Tasks!$I:$I,"&lt;&gt;")</f>
        <v>0</v>
      </c>
    </row>
    <row r="782" spans="1:10" ht="15" customHeight="1">
      <c r="A782" t="s">
        <v>102</v>
      </c>
      <c r="B782" t="s">
        <v>106</v>
      </c>
      <c r="C782">
        <v>1</v>
      </c>
      <c r="D782">
        <v>1</v>
      </c>
      <c r="E782">
        <v>1</v>
      </c>
      <c r="F782" s="5" t="str">
        <f>IFERROR(ROUND(COUNTIFS(Tasks!$A:$A,$A782,Tasks!$B:$B,$B782,Tasks!$I:$I,"&lt;="&amp;INDEX(Weeks!$D:$D,MATCH($C782,Weeks!$A:$A,0)),Tasks!$I:$I,"&lt;&gt;")/COUNTIFS(Tasks!$A:$A,$A782,Tasks!$B:$B,$B782)*100,0),"")</f>
        <v/>
      </c>
      <c r="G782" s="5" t="str">
        <f>IFERROR(ROUND(COUNTIFS(Tasks!$A:$A,$A782,Tasks!$B:$B,$B782,Tasks!$H:$H,"&lt;="&amp;INDEX(Weeks!$D:$D,MATCH($C782,Weeks!$A:$A,0)))/COUNTIFS(Tasks!$A:$A,$A782,Tasks!$B:$B,$B782)*100,0),"")</f>
        <v/>
      </c>
      <c r="H782" t="s">
        <v>101</v>
      </c>
      <c r="I782">
        <f>COUNTIFS(Tasks!$A:$A,$A782,Tasks!$B:$B,$B782,Tasks!$G:$G,"&lt;="&amp;INDEX(Weeks!$D:$D,MATCH($C782,Weeks!$A:$A,0)))-COUNTIFS(Tasks!$A:$A,$A782,Tasks!$B:$B,$B782,Tasks!$I:$I,"&lt;="&amp;INDEX(Weeks!$D:$D,MATCH($C782,Weeks!$A:$A,0)),Tasks!$I:$I,"&lt;&gt;")</f>
        <v>0</v>
      </c>
      <c r="J782">
        <f>COUNTIFS(Tasks!$A:$A,$A782,Tasks!$B:$B,$B782,
Tasks!$I:$I,"&gt;"&amp;IFERROR(INDEX(Weeks!$D:$D,MATCH($C782-1,Weeks!$A:$A,0)),DATE(2000,1,1)),
Tasks!$I:$I,"&lt;="&amp;INDEX(Weeks!$D:$D,MATCH($C782,Weeks!$A:$A,0)),
Tasks!$I:$I,"&lt;&gt;")</f>
        <v>0</v>
      </c>
    </row>
    <row r="783" spans="1:10" ht="15" customHeight="1">
      <c r="A783" t="s">
        <v>102</v>
      </c>
      <c r="B783" t="s">
        <v>106</v>
      </c>
      <c r="C783">
        <v>2</v>
      </c>
      <c r="D783">
        <v>1</v>
      </c>
      <c r="E783">
        <v>2</v>
      </c>
      <c r="F783" s="5" t="str">
        <f>IFERROR(ROUND(COUNTIFS(Tasks!$A:$A,$A783,Tasks!$B:$B,$B783,Tasks!$I:$I,"&lt;="&amp;INDEX(Weeks!$D:$D,MATCH($C783,Weeks!$A:$A,0)),Tasks!$I:$I,"&lt;&gt;")/COUNTIFS(Tasks!$A:$A,$A783,Tasks!$B:$B,$B783)*100,0),"")</f>
        <v/>
      </c>
      <c r="G783" s="5" t="str">
        <f>IFERROR(ROUND(COUNTIFS(Tasks!$A:$A,$A783,Tasks!$B:$B,$B783,Tasks!$H:$H,"&lt;="&amp;INDEX(Weeks!$D:$D,MATCH($C783,Weeks!$A:$A,0)))/COUNTIFS(Tasks!$A:$A,$A783,Tasks!$B:$B,$B783)*100,0),"")</f>
        <v/>
      </c>
      <c r="H783" t="s">
        <v>101</v>
      </c>
      <c r="I783">
        <f>COUNTIFS(Tasks!$A:$A,$A783,Tasks!$B:$B,$B783,Tasks!$G:$G,"&lt;="&amp;INDEX(Weeks!$D:$D,MATCH($C783,Weeks!$A:$A,0)))-COUNTIFS(Tasks!$A:$A,$A783,Tasks!$B:$B,$B783,Tasks!$I:$I,"&lt;="&amp;INDEX(Weeks!$D:$D,MATCH($C783,Weeks!$A:$A,0)),Tasks!$I:$I,"&lt;&gt;")</f>
        <v>0</v>
      </c>
      <c r="J783">
        <f>COUNTIFS(Tasks!$A:$A,$A783,Tasks!$B:$B,$B783,
Tasks!$I:$I,"&gt;"&amp;IFERROR(INDEX(Weeks!$D:$D,MATCH($C783-1,Weeks!$A:$A,0)),DATE(2000,1,1)),
Tasks!$I:$I,"&lt;="&amp;INDEX(Weeks!$D:$D,MATCH($C783,Weeks!$A:$A,0)),
Tasks!$I:$I,"&lt;&gt;")</f>
        <v>0</v>
      </c>
    </row>
    <row r="784" spans="1:10" ht="15" customHeight="1">
      <c r="A784" t="s">
        <v>102</v>
      </c>
      <c r="B784" t="s">
        <v>106</v>
      </c>
      <c r="C784">
        <v>3</v>
      </c>
      <c r="D784">
        <v>1</v>
      </c>
      <c r="E784">
        <v>3</v>
      </c>
      <c r="F784" s="5" t="str">
        <f>IFERROR(ROUND(COUNTIFS(Tasks!$A:$A,$A784,Tasks!$B:$B,$B784,Tasks!$I:$I,"&lt;="&amp;INDEX(Weeks!$D:$D,MATCH($C784,Weeks!$A:$A,0)),Tasks!$I:$I,"&lt;&gt;")/COUNTIFS(Tasks!$A:$A,$A784,Tasks!$B:$B,$B784)*100,0),"")</f>
        <v/>
      </c>
      <c r="G784" s="5" t="str">
        <f>IFERROR(ROUND(COUNTIFS(Tasks!$A:$A,$A784,Tasks!$B:$B,$B784,Tasks!$H:$H,"&lt;="&amp;INDEX(Weeks!$D:$D,MATCH($C784,Weeks!$A:$A,0)))/COUNTIFS(Tasks!$A:$A,$A784,Tasks!$B:$B,$B784)*100,0),"")</f>
        <v/>
      </c>
      <c r="H784" t="s">
        <v>101</v>
      </c>
      <c r="I784">
        <f>COUNTIFS(Tasks!$A:$A,$A784,Tasks!$B:$B,$B784,Tasks!$G:$G,"&lt;="&amp;INDEX(Weeks!$D:$D,MATCH($C784,Weeks!$A:$A,0)))-COUNTIFS(Tasks!$A:$A,$A784,Tasks!$B:$B,$B784,Tasks!$I:$I,"&lt;="&amp;INDEX(Weeks!$D:$D,MATCH($C784,Weeks!$A:$A,0)),Tasks!$I:$I,"&lt;&gt;")</f>
        <v>0</v>
      </c>
      <c r="J784">
        <f>COUNTIFS(Tasks!$A:$A,$A784,Tasks!$B:$B,$B784,
Tasks!$I:$I,"&gt;"&amp;IFERROR(INDEX(Weeks!$D:$D,MATCH($C784-1,Weeks!$A:$A,0)),DATE(2000,1,1)),
Tasks!$I:$I,"&lt;="&amp;INDEX(Weeks!$D:$D,MATCH($C784,Weeks!$A:$A,0)),
Tasks!$I:$I,"&lt;&gt;")</f>
        <v>0</v>
      </c>
    </row>
    <row r="785" spans="1:10" ht="15" customHeight="1">
      <c r="A785" t="s">
        <v>102</v>
      </c>
      <c r="B785" t="s">
        <v>106</v>
      </c>
      <c r="C785">
        <v>4</v>
      </c>
      <c r="D785">
        <v>1</v>
      </c>
      <c r="E785">
        <v>4</v>
      </c>
      <c r="F785" s="5" t="str">
        <f>IFERROR(ROUND(COUNTIFS(Tasks!$A:$A,$A785,Tasks!$B:$B,$B785,Tasks!$I:$I,"&lt;="&amp;INDEX(Weeks!$D:$D,MATCH($C785,Weeks!$A:$A,0)),Tasks!$I:$I,"&lt;&gt;")/COUNTIFS(Tasks!$A:$A,$A785,Tasks!$B:$B,$B785)*100,0),"")</f>
        <v/>
      </c>
      <c r="G785" s="5" t="str">
        <f>IFERROR(ROUND(COUNTIFS(Tasks!$A:$A,$A785,Tasks!$B:$B,$B785,Tasks!$H:$H,"&lt;="&amp;INDEX(Weeks!$D:$D,MATCH($C785,Weeks!$A:$A,0)))/COUNTIFS(Tasks!$A:$A,$A785,Tasks!$B:$B,$B785)*100,0),"")</f>
        <v/>
      </c>
      <c r="H785" t="s">
        <v>101</v>
      </c>
      <c r="I785">
        <f>COUNTIFS(Tasks!$A:$A,$A785,Tasks!$B:$B,$B785,Tasks!$G:$G,"&lt;="&amp;INDEX(Weeks!$D:$D,MATCH($C785,Weeks!$A:$A,0)))-COUNTIFS(Tasks!$A:$A,$A785,Tasks!$B:$B,$B785,Tasks!$I:$I,"&lt;="&amp;INDEX(Weeks!$D:$D,MATCH($C785,Weeks!$A:$A,0)),Tasks!$I:$I,"&lt;&gt;")</f>
        <v>0</v>
      </c>
      <c r="J785">
        <f>COUNTIFS(Tasks!$A:$A,$A785,Tasks!$B:$B,$B785,
Tasks!$I:$I,"&gt;"&amp;IFERROR(INDEX(Weeks!$D:$D,MATCH($C785-1,Weeks!$A:$A,0)),DATE(2000,1,1)),
Tasks!$I:$I,"&lt;="&amp;INDEX(Weeks!$D:$D,MATCH($C785,Weeks!$A:$A,0)),
Tasks!$I:$I,"&lt;&gt;")</f>
        <v>0</v>
      </c>
    </row>
    <row r="786" spans="1:10" ht="15" customHeight="1">
      <c r="A786" t="s">
        <v>102</v>
      </c>
      <c r="B786" t="s">
        <v>106</v>
      </c>
      <c r="C786">
        <v>5</v>
      </c>
      <c r="D786">
        <v>1</v>
      </c>
      <c r="E786">
        <v>5</v>
      </c>
      <c r="F786" s="5" t="str">
        <f>IFERROR(ROUND(COUNTIFS(Tasks!$A:$A,$A786,Tasks!$B:$B,$B786,Tasks!$I:$I,"&lt;="&amp;INDEX(Weeks!$D:$D,MATCH($C786,Weeks!$A:$A,0)),Tasks!$I:$I,"&lt;&gt;")/COUNTIFS(Tasks!$A:$A,$A786,Tasks!$B:$B,$B786)*100,0),"")</f>
        <v/>
      </c>
      <c r="G786" s="5" t="str">
        <f>IFERROR(ROUND(COUNTIFS(Tasks!$A:$A,$A786,Tasks!$B:$B,$B786,Tasks!$H:$H,"&lt;="&amp;INDEX(Weeks!$D:$D,MATCH($C786,Weeks!$A:$A,0)))/COUNTIFS(Tasks!$A:$A,$A786,Tasks!$B:$B,$B786)*100,0),"")</f>
        <v/>
      </c>
      <c r="H786" t="s">
        <v>101</v>
      </c>
      <c r="I786">
        <f>COUNTIFS(Tasks!$A:$A,$A786,Tasks!$B:$B,$B786,Tasks!$G:$G,"&lt;="&amp;INDEX(Weeks!$D:$D,MATCH($C786,Weeks!$A:$A,0)))-COUNTIFS(Tasks!$A:$A,$A786,Tasks!$B:$B,$B786,Tasks!$I:$I,"&lt;="&amp;INDEX(Weeks!$D:$D,MATCH($C786,Weeks!$A:$A,0)),Tasks!$I:$I,"&lt;&gt;")</f>
        <v>0</v>
      </c>
      <c r="J786">
        <f>COUNTIFS(Tasks!$A:$A,$A786,Tasks!$B:$B,$B786,
Tasks!$I:$I,"&gt;"&amp;IFERROR(INDEX(Weeks!$D:$D,MATCH($C786-1,Weeks!$A:$A,0)),DATE(2000,1,1)),
Tasks!$I:$I,"&lt;="&amp;INDEX(Weeks!$D:$D,MATCH($C786,Weeks!$A:$A,0)),
Tasks!$I:$I,"&lt;&gt;")</f>
        <v>0</v>
      </c>
    </row>
    <row r="787" spans="1:10" ht="15" customHeight="1">
      <c r="A787" t="s">
        <v>102</v>
      </c>
      <c r="B787" t="s">
        <v>106</v>
      </c>
      <c r="C787">
        <v>6</v>
      </c>
      <c r="D787">
        <v>2</v>
      </c>
      <c r="E787">
        <v>1</v>
      </c>
      <c r="F787" s="5" t="str">
        <f>IFERROR(ROUND(COUNTIFS(Tasks!$A:$A,$A787,Tasks!$B:$B,$B787,Tasks!$I:$I,"&lt;="&amp;INDEX(Weeks!$D:$D,MATCH($C787,Weeks!$A:$A,0)),Tasks!$I:$I,"&lt;&gt;")/COUNTIFS(Tasks!$A:$A,$A787,Tasks!$B:$B,$B787)*100,0),"")</f>
        <v/>
      </c>
      <c r="G787" s="5" t="str">
        <f>IFERROR(ROUND(COUNTIFS(Tasks!$A:$A,$A787,Tasks!$B:$B,$B787,Tasks!$H:$H,"&lt;="&amp;INDEX(Weeks!$D:$D,MATCH($C787,Weeks!$A:$A,0)))/COUNTIFS(Tasks!$A:$A,$A787,Tasks!$B:$B,$B787)*100,0),"")</f>
        <v/>
      </c>
      <c r="H787" t="s">
        <v>101</v>
      </c>
      <c r="I787">
        <f>COUNTIFS(Tasks!$A:$A,$A787,Tasks!$B:$B,$B787,Tasks!$G:$G,"&lt;="&amp;INDEX(Weeks!$D:$D,MATCH($C787,Weeks!$A:$A,0)))-COUNTIFS(Tasks!$A:$A,$A787,Tasks!$B:$B,$B787,Tasks!$I:$I,"&lt;="&amp;INDEX(Weeks!$D:$D,MATCH($C787,Weeks!$A:$A,0)),Tasks!$I:$I,"&lt;&gt;")</f>
        <v>0</v>
      </c>
      <c r="J787">
        <f>COUNTIFS(Tasks!$A:$A,$A787,Tasks!$B:$B,$B787,
Tasks!$I:$I,"&gt;"&amp;IFERROR(INDEX(Weeks!$D:$D,MATCH($C787-1,Weeks!$A:$A,0)),DATE(2000,1,1)),
Tasks!$I:$I,"&lt;="&amp;INDEX(Weeks!$D:$D,MATCH($C787,Weeks!$A:$A,0)),
Tasks!$I:$I,"&lt;&gt;")</f>
        <v>0</v>
      </c>
    </row>
    <row r="788" spans="1:10" ht="15" customHeight="1">
      <c r="A788" t="s">
        <v>102</v>
      </c>
      <c r="B788" t="s">
        <v>106</v>
      </c>
      <c r="C788">
        <v>7</v>
      </c>
      <c r="D788">
        <v>2</v>
      </c>
      <c r="E788">
        <v>2</v>
      </c>
      <c r="F788" s="5" t="str">
        <f>IFERROR(ROUND(COUNTIFS(Tasks!$A:$A,$A788,Tasks!$B:$B,$B788,Tasks!$I:$I,"&lt;="&amp;INDEX(Weeks!$D:$D,MATCH($C788,Weeks!$A:$A,0)),Tasks!$I:$I,"&lt;&gt;")/COUNTIFS(Tasks!$A:$A,$A788,Tasks!$B:$B,$B788)*100,0),"")</f>
        <v/>
      </c>
      <c r="G788" s="5" t="str">
        <f>IFERROR(ROUND(COUNTIFS(Tasks!$A:$A,$A788,Tasks!$B:$B,$B788,Tasks!$H:$H,"&lt;="&amp;INDEX(Weeks!$D:$D,MATCH($C788,Weeks!$A:$A,0)))/COUNTIFS(Tasks!$A:$A,$A788,Tasks!$B:$B,$B788)*100,0),"")</f>
        <v/>
      </c>
      <c r="H788" t="s">
        <v>101</v>
      </c>
      <c r="I788">
        <f>COUNTIFS(Tasks!$A:$A,$A788,Tasks!$B:$B,$B788,Tasks!$G:$G,"&lt;="&amp;INDEX(Weeks!$D:$D,MATCH($C788,Weeks!$A:$A,0)))-COUNTIFS(Tasks!$A:$A,$A788,Tasks!$B:$B,$B788,Tasks!$I:$I,"&lt;="&amp;INDEX(Weeks!$D:$D,MATCH($C788,Weeks!$A:$A,0)),Tasks!$I:$I,"&lt;&gt;")</f>
        <v>0</v>
      </c>
      <c r="J788">
        <f>COUNTIFS(Tasks!$A:$A,$A788,Tasks!$B:$B,$B788,
Tasks!$I:$I,"&gt;"&amp;IFERROR(INDEX(Weeks!$D:$D,MATCH($C788-1,Weeks!$A:$A,0)),DATE(2000,1,1)),
Tasks!$I:$I,"&lt;="&amp;INDEX(Weeks!$D:$D,MATCH($C788,Weeks!$A:$A,0)),
Tasks!$I:$I,"&lt;&gt;")</f>
        <v>0</v>
      </c>
    </row>
    <row r="789" spans="1:10" ht="15" customHeight="1">
      <c r="A789" t="s">
        <v>102</v>
      </c>
      <c r="B789" t="s">
        <v>106</v>
      </c>
      <c r="C789">
        <v>8</v>
      </c>
      <c r="D789">
        <v>2</v>
      </c>
      <c r="E789">
        <v>3</v>
      </c>
      <c r="F789" s="5" t="str">
        <f>IFERROR(ROUND(COUNTIFS(Tasks!$A:$A,$A789,Tasks!$B:$B,$B789,Tasks!$I:$I,"&lt;="&amp;INDEX(Weeks!$D:$D,MATCH($C789,Weeks!$A:$A,0)),Tasks!$I:$I,"&lt;&gt;")/COUNTIFS(Tasks!$A:$A,$A789,Tasks!$B:$B,$B789)*100,0),"")</f>
        <v/>
      </c>
      <c r="G789" s="5" t="str">
        <f>IFERROR(ROUND(COUNTIFS(Tasks!$A:$A,$A789,Tasks!$B:$B,$B789,Tasks!$H:$H,"&lt;="&amp;INDEX(Weeks!$D:$D,MATCH($C789,Weeks!$A:$A,0)))/COUNTIFS(Tasks!$A:$A,$A789,Tasks!$B:$B,$B789)*100,0),"")</f>
        <v/>
      </c>
      <c r="H789" t="s">
        <v>101</v>
      </c>
      <c r="I789">
        <f>COUNTIFS(Tasks!$A:$A,$A789,Tasks!$B:$B,$B789,Tasks!$G:$G,"&lt;="&amp;INDEX(Weeks!$D:$D,MATCH($C789,Weeks!$A:$A,0)))-COUNTIFS(Tasks!$A:$A,$A789,Tasks!$B:$B,$B789,Tasks!$I:$I,"&lt;="&amp;INDEX(Weeks!$D:$D,MATCH($C789,Weeks!$A:$A,0)),Tasks!$I:$I,"&lt;&gt;")</f>
        <v>0</v>
      </c>
      <c r="J789">
        <f>COUNTIFS(Tasks!$A:$A,$A789,Tasks!$B:$B,$B789,
Tasks!$I:$I,"&gt;"&amp;IFERROR(INDEX(Weeks!$D:$D,MATCH($C789-1,Weeks!$A:$A,0)),DATE(2000,1,1)),
Tasks!$I:$I,"&lt;="&amp;INDEX(Weeks!$D:$D,MATCH($C789,Weeks!$A:$A,0)),
Tasks!$I:$I,"&lt;&gt;")</f>
        <v>0</v>
      </c>
    </row>
    <row r="790" spans="1:10" ht="15" customHeight="1">
      <c r="A790" t="s">
        <v>102</v>
      </c>
      <c r="B790" t="s">
        <v>106</v>
      </c>
      <c r="C790">
        <v>9</v>
      </c>
      <c r="D790">
        <v>2</v>
      </c>
      <c r="E790">
        <v>4</v>
      </c>
      <c r="F790" s="5" t="str">
        <f>IFERROR(ROUND(COUNTIFS(Tasks!$A:$A,$A790,Tasks!$B:$B,$B790,Tasks!$I:$I,"&lt;="&amp;INDEX(Weeks!$D:$D,MATCH($C790,Weeks!$A:$A,0)),Tasks!$I:$I,"&lt;&gt;")/COUNTIFS(Tasks!$A:$A,$A790,Tasks!$B:$B,$B790)*100,0),"")</f>
        <v/>
      </c>
      <c r="G790" s="5" t="str">
        <f>IFERROR(ROUND(COUNTIFS(Tasks!$A:$A,$A790,Tasks!$B:$B,$B790,Tasks!$H:$H,"&lt;="&amp;INDEX(Weeks!$D:$D,MATCH($C790,Weeks!$A:$A,0)))/COUNTIFS(Tasks!$A:$A,$A790,Tasks!$B:$B,$B790)*100,0),"")</f>
        <v/>
      </c>
      <c r="H790" t="s">
        <v>101</v>
      </c>
      <c r="I790">
        <f>COUNTIFS(Tasks!$A:$A,$A790,Tasks!$B:$B,$B790,Tasks!$G:$G,"&lt;="&amp;INDEX(Weeks!$D:$D,MATCH($C790,Weeks!$A:$A,0)))-COUNTIFS(Tasks!$A:$A,$A790,Tasks!$B:$B,$B790,Tasks!$I:$I,"&lt;="&amp;INDEX(Weeks!$D:$D,MATCH($C790,Weeks!$A:$A,0)),Tasks!$I:$I,"&lt;&gt;")</f>
        <v>0</v>
      </c>
      <c r="J790">
        <f>COUNTIFS(Tasks!$A:$A,$A790,Tasks!$B:$B,$B790,
Tasks!$I:$I,"&gt;"&amp;IFERROR(INDEX(Weeks!$D:$D,MATCH($C790-1,Weeks!$A:$A,0)),DATE(2000,1,1)),
Tasks!$I:$I,"&lt;="&amp;INDEX(Weeks!$D:$D,MATCH($C790,Weeks!$A:$A,0)),
Tasks!$I:$I,"&lt;&gt;")</f>
        <v>0</v>
      </c>
    </row>
    <row r="791" spans="1:10" ht="15" customHeight="1">
      <c r="A791" t="s">
        <v>102</v>
      </c>
      <c r="B791" t="s">
        <v>106</v>
      </c>
      <c r="C791">
        <v>10</v>
      </c>
      <c r="D791">
        <v>3</v>
      </c>
      <c r="E791">
        <v>1</v>
      </c>
      <c r="F791" s="5" t="str">
        <f>IFERROR(ROUND(COUNTIFS(Tasks!$A:$A,$A791,Tasks!$B:$B,$B791,Tasks!$I:$I,"&lt;="&amp;INDEX(Weeks!$D:$D,MATCH($C791,Weeks!$A:$A,0)),Tasks!$I:$I,"&lt;&gt;")/COUNTIFS(Tasks!$A:$A,$A791,Tasks!$B:$B,$B791)*100,0),"")</f>
        <v/>
      </c>
      <c r="G791" s="5" t="str">
        <f>IFERROR(ROUND(COUNTIFS(Tasks!$A:$A,$A791,Tasks!$B:$B,$B791,Tasks!$H:$H,"&lt;="&amp;INDEX(Weeks!$D:$D,MATCH($C791,Weeks!$A:$A,0)))/COUNTIFS(Tasks!$A:$A,$A791,Tasks!$B:$B,$B791)*100,0),"")</f>
        <v/>
      </c>
      <c r="H791" t="s">
        <v>101</v>
      </c>
      <c r="I791">
        <f>COUNTIFS(Tasks!$A:$A,$A791,Tasks!$B:$B,$B791,Tasks!$G:$G,"&lt;="&amp;INDEX(Weeks!$D:$D,MATCH($C791,Weeks!$A:$A,0)))-COUNTIFS(Tasks!$A:$A,$A791,Tasks!$B:$B,$B791,Tasks!$I:$I,"&lt;="&amp;INDEX(Weeks!$D:$D,MATCH($C791,Weeks!$A:$A,0)),Tasks!$I:$I,"&lt;&gt;")</f>
        <v>0</v>
      </c>
      <c r="J791">
        <f>COUNTIFS(Tasks!$A:$A,$A791,Tasks!$B:$B,$B791,
Tasks!$I:$I,"&gt;"&amp;IFERROR(INDEX(Weeks!$D:$D,MATCH($C791-1,Weeks!$A:$A,0)),DATE(2000,1,1)),
Tasks!$I:$I,"&lt;="&amp;INDEX(Weeks!$D:$D,MATCH($C791,Weeks!$A:$A,0)),
Tasks!$I:$I,"&lt;&gt;")</f>
        <v>0</v>
      </c>
    </row>
    <row r="792" spans="1:10" ht="15" customHeight="1">
      <c r="A792" t="s">
        <v>102</v>
      </c>
      <c r="B792" t="s">
        <v>106</v>
      </c>
      <c r="C792">
        <v>11</v>
      </c>
      <c r="D792">
        <v>3</v>
      </c>
      <c r="E792">
        <v>2</v>
      </c>
      <c r="F792" s="5" t="str">
        <f>IFERROR(ROUND(COUNTIFS(Tasks!$A:$A,$A792,Tasks!$B:$B,$B792,Tasks!$I:$I,"&lt;="&amp;INDEX(Weeks!$D:$D,MATCH($C792,Weeks!$A:$A,0)),Tasks!$I:$I,"&lt;&gt;")/COUNTIFS(Tasks!$A:$A,$A792,Tasks!$B:$B,$B792)*100,0),"")</f>
        <v/>
      </c>
      <c r="G792" s="5" t="str">
        <f>IFERROR(ROUND(COUNTIFS(Tasks!$A:$A,$A792,Tasks!$B:$B,$B792,Tasks!$H:$H,"&lt;="&amp;INDEX(Weeks!$D:$D,MATCH($C792,Weeks!$A:$A,0)))/COUNTIFS(Tasks!$A:$A,$A792,Tasks!$B:$B,$B792)*100,0),"")</f>
        <v/>
      </c>
      <c r="H792" t="s">
        <v>101</v>
      </c>
      <c r="I792">
        <f>COUNTIFS(Tasks!$A:$A,$A792,Tasks!$B:$B,$B792,Tasks!$G:$G,"&lt;="&amp;INDEX(Weeks!$D:$D,MATCH($C792,Weeks!$A:$A,0)))-COUNTIFS(Tasks!$A:$A,$A792,Tasks!$B:$B,$B792,Tasks!$I:$I,"&lt;="&amp;INDEX(Weeks!$D:$D,MATCH($C792,Weeks!$A:$A,0)),Tasks!$I:$I,"&lt;&gt;")</f>
        <v>0</v>
      </c>
      <c r="J792">
        <f>COUNTIFS(Tasks!$A:$A,$A792,Tasks!$B:$B,$B792,
Tasks!$I:$I,"&gt;"&amp;IFERROR(INDEX(Weeks!$D:$D,MATCH($C792-1,Weeks!$A:$A,0)),DATE(2000,1,1)),
Tasks!$I:$I,"&lt;="&amp;INDEX(Weeks!$D:$D,MATCH($C792,Weeks!$A:$A,0)),
Tasks!$I:$I,"&lt;&gt;")</f>
        <v>0</v>
      </c>
    </row>
    <row r="793" spans="1:10" ht="15" customHeight="1">
      <c r="A793" t="s">
        <v>102</v>
      </c>
      <c r="B793" t="s">
        <v>106</v>
      </c>
      <c r="C793">
        <v>12</v>
      </c>
      <c r="D793">
        <v>3</v>
      </c>
      <c r="E793">
        <v>3</v>
      </c>
      <c r="F793" s="5" t="str">
        <f>IFERROR(ROUND(COUNTIFS(Tasks!$A:$A,$A793,Tasks!$B:$B,$B793,Tasks!$I:$I,"&lt;="&amp;INDEX(Weeks!$D:$D,MATCH($C793,Weeks!$A:$A,0)),Tasks!$I:$I,"&lt;&gt;")/COUNTIFS(Tasks!$A:$A,$A793,Tasks!$B:$B,$B793)*100,0),"")</f>
        <v/>
      </c>
      <c r="G793" s="5" t="str">
        <f>IFERROR(ROUND(COUNTIFS(Tasks!$A:$A,$A793,Tasks!$B:$B,$B793,Tasks!$H:$H,"&lt;="&amp;INDEX(Weeks!$D:$D,MATCH($C793,Weeks!$A:$A,0)))/COUNTIFS(Tasks!$A:$A,$A793,Tasks!$B:$B,$B793)*100,0),"")</f>
        <v/>
      </c>
      <c r="H793" t="s">
        <v>101</v>
      </c>
      <c r="I793">
        <f>COUNTIFS(Tasks!$A:$A,$A793,Tasks!$B:$B,$B793,Tasks!$G:$G,"&lt;="&amp;INDEX(Weeks!$D:$D,MATCH($C793,Weeks!$A:$A,0)))-COUNTIFS(Tasks!$A:$A,$A793,Tasks!$B:$B,$B793,Tasks!$I:$I,"&lt;="&amp;INDEX(Weeks!$D:$D,MATCH($C793,Weeks!$A:$A,0)),Tasks!$I:$I,"&lt;&gt;")</f>
        <v>0</v>
      </c>
      <c r="J793">
        <f>COUNTIFS(Tasks!$A:$A,$A793,Tasks!$B:$B,$B793,
Tasks!$I:$I,"&gt;"&amp;IFERROR(INDEX(Weeks!$D:$D,MATCH($C793-1,Weeks!$A:$A,0)),DATE(2000,1,1)),
Tasks!$I:$I,"&lt;="&amp;INDEX(Weeks!$D:$D,MATCH($C793,Weeks!$A:$A,0)),
Tasks!$I:$I,"&lt;&gt;")</f>
        <v>0</v>
      </c>
    </row>
    <row r="794" spans="1:10" ht="15" customHeight="1">
      <c r="A794" t="s">
        <v>102</v>
      </c>
      <c r="B794" t="s">
        <v>106</v>
      </c>
      <c r="C794">
        <v>13</v>
      </c>
      <c r="D794">
        <v>3</v>
      </c>
      <c r="E794">
        <v>4</v>
      </c>
      <c r="F794" s="5" t="str">
        <f>IFERROR(ROUND(COUNTIFS(Tasks!$A:$A,$A794,Tasks!$B:$B,$B794,Tasks!$I:$I,"&lt;="&amp;INDEX(Weeks!$D:$D,MATCH($C794,Weeks!$A:$A,0)),Tasks!$I:$I,"&lt;&gt;")/COUNTIFS(Tasks!$A:$A,$A794,Tasks!$B:$B,$B794)*100,0),"")</f>
        <v/>
      </c>
      <c r="G794" s="5" t="str">
        <f>IFERROR(ROUND(COUNTIFS(Tasks!$A:$A,$A794,Tasks!$B:$B,$B794,Tasks!$H:$H,"&lt;="&amp;INDEX(Weeks!$D:$D,MATCH($C794,Weeks!$A:$A,0)))/COUNTIFS(Tasks!$A:$A,$A794,Tasks!$B:$B,$B794)*100,0),"")</f>
        <v/>
      </c>
      <c r="H794" t="s">
        <v>101</v>
      </c>
      <c r="I794">
        <f>COUNTIFS(Tasks!$A:$A,$A794,Tasks!$B:$B,$B794,Tasks!$G:$G,"&lt;="&amp;INDEX(Weeks!$D:$D,MATCH($C794,Weeks!$A:$A,0)))-COUNTIFS(Tasks!$A:$A,$A794,Tasks!$B:$B,$B794,Tasks!$I:$I,"&lt;="&amp;INDEX(Weeks!$D:$D,MATCH($C794,Weeks!$A:$A,0)),Tasks!$I:$I,"&lt;&gt;")</f>
        <v>0</v>
      </c>
      <c r="J794">
        <f>COUNTIFS(Tasks!$A:$A,$A794,Tasks!$B:$B,$B794,
Tasks!$I:$I,"&gt;"&amp;IFERROR(INDEX(Weeks!$D:$D,MATCH($C794-1,Weeks!$A:$A,0)),DATE(2000,1,1)),
Tasks!$I:$I,"&lt;="&amp;INDEX(Weeks!$D:$D,MATCH($C794,Weeks!$A:$A,0)),
Tasks!$I:$I,"&lt;&gt;")</f>
        <v>0</v>
      </c>
    </row>
    <row r="795" spans="1:10" ht="15" customHeight="1">
      <c r="A795" t="s">
        <v>102</v>
      </c>
      <c r="B795" t="s">
        <v>106</v>
      </c>
      <c r="C795">
        <v>14</v>
      </c>
      <c r="D795">
        <v>4</v>
      </c>
      <c r="E795">
        <v>1</v>
      </c>
      <c r="F795" s="5" t="str">
        <f>IFERROR(ROUND(COUNTIFS(Tasks!$A:$A,$A795,Tasks!$B:$B,$B795,Tasks!$I:$I,"&lt;="&amp;INDEX(Weeks!$D:$D,MATCH($C795,Weeks!$A:$A,0)),Tasks!$I:$I,"&lt;&gt;")/COUNTIFS(Tasks!$A:$A,$A795,Tasks!$B:$B,$B795)*100,0),"")</f>
        <v/>
      </c>
      <c r="G795" s="5" t="str">
        <f>IFERROR(ROUND(COUNTIFS(Tasks!$A:$A,$A795,Tasks!$B:$B,$B795,Tasks!$H:$H,"&lt;="&amp;INDEX(Weeks!$D:$D,MATCH($C795,Weeks!$A:$A,0)))/COUNTIFS(Tasks!$A:$A,$A795,Tasks!$B:$B,$B795)*100,0),"")</f>
        <v/>
      </c>
      <c r="H795" t="s">
        <v>101</v>
      </c>
      <c r="I795">
        <f>COUNTIFS(Tasks!$A:$A,$A795,Tasks!$B:$B,$B795,Tasks!$G:$G,"&lt;="&amp;INDEX(Weeks!$D:$D,MATCH($C795,Weeks!$A:$A,0)))-COUNTIFS(Tasks!$A:$A,$A795,Tasks!$B:$B,$B795,Tasks!$I:$I,"&lt;="&amp;INDEX(Weeks!$D:$D,MATCH($C795,Weeks!$A:$A,0)),Tasks!$I:$I,"&lt;&gt;")</f>
        <v>0</v>
      </c>
      <c r="J795">
        <f>COUNTIFS(Tasks!$A:$A,$A795,Tasks!$B:$B,$B795,
Tasks!$I:$I,"&gt;"&amp;IFERROR(INDEX(Weeks!$D:$D,MATCH($C795-1,Weeks!$A:$A,0)),DATE(2000,1,1)),
Tasks!$I:$I,"&lt;="&amp;INDEX(Weeks!$D:$D,MATCH($C795,Weeks!$A:$A,0)),
Tasks!$I:$I,"&lt;&gt;")</f>
        <v>0</v>
      </c>
    </row>
    <row r="796" spans="1:10" ht="15" customHeight="1">
      <c r="A796" t="s">
        <v>102</v>
      </c>
      <c r="B796" t="s">
        <v>106</v>
      </c>
      <c r="C796">
        <v>15</v>
      </c>
      <c r="D796">
        <v>4</v>
      </c>
      <c r="E796">
        <v>2</v>
      </c>
      <c r="F796" s="5" t="str">
        <f>IFERROR(ROUND(COUNTIFS(Tasks!$A:$A,$A796,Tasks!$B:$B,$B796,Tasks!$I:$I,"&lt;="&amp;INDEX(Weeks!$D:$D,MATCH($C796,Weeks!$A:$A,0)),Tasks!$I:$I,"&lt;&gt;")/COUNTIFS(Tasks!$A:$A,$A796,Tasks!$B:$B,$B796)*100,0),"")</f>
        <v/>
      </c>
      <c r="G796" s="5" t="str">
        <f>IFERROR(ROUND(COUNTIFS(Tasks!$A:$A,$A796,Tasks!$B:$B,$B796,Tasks!$H:$H,"&lt;="&amp;INDEX(Weeks!$D:$D,MATCH($C796,Weeks!$A:$A,0)))/COUNTIFS(Tasks!$A:$A,$A796,Tasks!$B:$B,$B796)*100,0),"")</f>
        <v/>
      </c>
      <c r="H796" t="s">
        <v>101</v>
      </c>
      <c r="I796">
        <f>COUNTIFS(Tasks!$A:$A,$A796,Tasks!$B:$B,$B796,Tasks!$G:$G,"&lt;="&amp;INDEX(Weeks!$D:$D,MATCH($C796,Weeks!$A:$A,0)))-COUNTIFS(Tasks!$A:$A,$A796,Tasks!$B:$B,$B796,Tasks!$I:$I,"&lt;="&amp;INDEX(Weeks!$D:$D,MATCH($C796,Weeks!$A:$A,0)),Tasks!$I:$I,"&lt;&gt;")</f>
        <v>0</v>
      </c>
      <c r="J796">
        <f>COUNTIFS(Tasks!$A:$A,$A796,Tasks!$B:$B,$B796,
Tasks!$I:$I,"&gt;"&amp;IFERROR(INDEX(Weeks!$D:$D,MATCH($C796-1,Weeks!$A:$A,0)),DATE(2000,1,1)),
Tasks!$I:$I,"&lt;="&amp;INDEX(Weeks!$D:$D,MATCH($C796,Weeks!$A:$A,0)),
Tasks!$I:$I,"&lt;&gt;")</f>
        <v>0</v>
      </c>
    </row>
    <row r="797" spans="1:10" ht="15" customHeight="1">
      <c r="A797" t="s">
        <v>102</v>
      </c>
      <c r="B797" t="s">
        <v>106</v>
      </c>
      <c r="C797">
        <v>16</v>
      </c>
      <c r="D797">
        <v>4</v>
      </c>
      <c r="E797">
        <v>3</v>
      </c>
      <c r="F797" s="5" t="str">
        <f>IFERROR(ROUND(COUNTIFS(Tasks!$A:$A,$A797,Tasks!$B:$B,$B797,Tasks!$I:$I,"&lt;="&amp;INDEX(Weeks!$D:$D,MATCH($C797,Weeks!$A:$A,0)),Tasks!$I:$I,"&lt;&gt;")/COUNTIFS(Tasks!$A:$A,$A797,Tasks!$B:$B,$B797)*100,0),"")</f>
        <v/>
      </c>
      <c r="G797" s="5" t="str">
        <f>IFERROR(ROUND(COUNTIFS(Tasks!$A:$A,$A797,Tasks!$B:$B,$B797,Tasks!$H:$H,"&lt;="&amp;INDEX(Weeks!$D:$D,MATCH($C797,Weeks!$A:$A,0)))/COUNTIFS(Tasks!$A:$A,$A797,Tasks!$B:$B,$B797)*100,0),"")</f>
        <v/>
      </c>
      <c r="H797" t="s">
        <v>101</v>
      </c>
      <c r="I797">
        <f>COUNTIFS(Tasks!$A:$A,$A797,Tasks!$B:$B,$B797,Tasks!$G:$G,"&lt;="&amp;INDEX(Weeks!$D:$D,MATCH($C797,Weeks!$A:$A,0)))-COUNTIFS(Tasks!$A:$A,$A797,Tasks!$B:$B,$B797,Tasks!$I:$I,"&lt;="&amp;INDEX(Weeks!$D:$D,MATCH($C797,Weeks!$A:$A,0)),Tasks!$I:$I,"&lt;&gt;")</f>
        <v>0</v>
      </c>
      <c r="J797">
        <f>COUNTIFS(Tasks!$A:$A,$A797,Tasks!$B:$B,$B797,
Tasks!$I:$I,"&gt;"&amp;IFERROR(INDEX(Weeks!$D:$D,MATCH($C797-1,Weeks!$A:$A,0)),DATE(2000,1,1)),
Tasks!$I:$I,"&lt;="&amp;INDEX(Weeks!$D:$D,MATCH($C797,Weeks!$A:$A,0)),
Tasks!$I:$I,"&lt;&gt;")</f>
        <v>0</v>
      </c>
    </row>
    <row r="798" spans="1:10" ht="15" customHeight="1">
      <c r="A798" t="s">
        <v>102</v>
      </c>
      <c r="B798" t="s">
        <v>106</v>
      </c>
      <c r="C798">
        <v>17</v>
      </c>
      <c r="D798">
        <v>4</v>
      </c>
      <c r="E798">
        <v>4</v>
      </c>
      <c r="F798" s="5" t="str">
        <f>IFERROR(ROUND(COUNTIFS(Tasks!$A:$A,$A798,Tasks!$B:$B,$B798,Tasks!$I:$I,"&lt;="&amp;INDEX(Weeks!$D:$D,MATCH($C798,Weeks!$A:$A,0)),Tasks!$I:$I,"&lt;&gt;")/COUNTIFS(Tasks!$A:$A,$A798,Tasks!$B:$B,$B798)*100,0),"")</f>
        <v/>
      </c>
      <c r="G798" s="5" t="str">
        <f>IFERROR(ROUND(COUNTIFS(Tasks!$A:$A,$A798,Tasks!$B:$B,$B798,Tasks!$H:$H,"&lt;="&amp;INDEX(Weeks!$D:$D,MATCH($C798,Weeks!$A:$A,0)))/COUNTIFS(Tasks!$A:$A,$A798,Tasks!$B:$B,$B798)*100,0),"")</f>
        <v/>
      </c>
      <c r="H798" t="s">
        <v>101</v>
      </c>
      <c r="I798">
        <f>COUNTIFS(Tasks!$A:$A,$A798,Tasks!$B:$B,$B798,Tasks!$G:$G,"&lt;="&amp;INDEX(Weeks!$D:$D,MATCH($C798,Weeks!$A:$A,0)))-COUNTIFS(Tasks!$A:$A,$A798,Tasks!$B:$B,$B798,Tasks!$I:$I,"&lt;="&amp;INDEX(Weeks!$D:$D,MATCH($C798,Weeks!$A:$A,0)),Tasks!$I:$I,"&lt;&gt;")</f>
        <v>0</v>
      </c>
      <c r="J798">
        <f>COUNTIFS(Tasks!$A:$A,$A798,Tasks!$B:$B,$B798,
Tasks!$I:$I,"&gt;"&amp;IFERROR(INDEX(Weeks!$D:$D,MATCH($C798-1,Weeks!$A:$A,0)),DATE(2000,1,1)),
Tasks!$I:$I,"&lt;="&amp;INDEX(Weeks!$D:$D,MATCH($C798,Weeks!$A:$A,0)),
Tasks!$I:$I,"&lt;&gt;")</f>
        <v>0</v>
      </c>
    </row>
    <row r="799" spans="1:10" ht="15" customHeight="1">
      <c r="A799" t="s">
        <v>102</v>
      </c>
      <c r="B799" t="s">
        <v>106</v>
      </c>
      <c r="C799">
        <v>18</v>
      </c>
      <c r="D799">
        <v>5</v>
      </c>
      <c r="E799">
        <v>1</v>
      </c>
      <c r="F799" s="5" t="str">
        <f>IFERROR(ROUND(COUNTIFS(Tasks!$A:$A,$A799,Tasks!$B:$B,$B799,Tasks!$I:$I,"&lt;="&amp;INDEX(Weeks!$D:$D,MATCH($C799,Weeks!$A:$A,0)),Tasks!$I:$I,"&lt;&gt;")/COUNTIFS(Tasks!$A:$A,$A799,Tasks!$B:$B,$B799)*100,0),"")</f>
        <v/>
      </c>
      <c r="G799" s="5" t="str">
        <f>IFERROR(ROUND(COUNTIFS(Tasks!$A:$A,$A799,Tasks!$B:$B,$B799,Tasks!$H:$H,"&lt;="&amp;INDEX(Weeks!$D:$D,MATCH($C799,Weeks!$A:$A,0)))/COUNTIFS(Tasks!$A:$A,$A799,Tasks!$B:$B,$B799)*100,0),"")</f>
        <v/>
      </c>
      <c r="H799" t="s">
        <v>101</v>
      </c>
      <c r="I799">
        <f>COUNTIFS(Tasks!$A:$A,$A799,Tasks!$B:$B,$B799,Tasks!$G:$G,"&lt;="&amp;INDEX(Weeks!$D:$D,MATCH($C799,Weeks!$A:$A,0)))-COUNTIFS(Tasks!$A:$A,$A799,Tasks!$B:$B,$B799,Tasks!$I:$I,"&lt;="&amp;INDEX(Weeks!$D:$D,MATCH($C799,Weeks!$A:$A,0)),Tasks!$I:$I,"&lt;&gt;")</f>
        <v>0</v>
      </c>
      <c r="J799">
        <f>COUNTIFS(Tasks!$A:$A,$A799,Tasks!$B:$B,$B799,
Tasks!$I:$I,"&gt;"&amp;IFERROR(INDEX(Weeks!$D:$D,MATCH($C799-1,Weeks!$A:$A,0)),DATE(2000,1,1)),
Tasks!$I:$I,"&lt;="&amp;INDEX(Weeks!$D:$D,MATCH($C799,Weeks!$A:$A,0)),
Tasks!$I:$I,"&lt;&gt;")</f>
        <v>0</v>
      </c>
    </row>
    <row r="800" spans="1:10" ht="15" customHeight="1">
      <c r="A800" t="s">
        <v>102</v>
      </c>
      <c r="B800" t="s">
        <v>106</v>
      </c>
      <c r="C800">
        <v>19</v>
      </c>
      <c r="D800">
        <v>5</v>
      </c>
      <c r="E800">
        <v>2</v>
      </c>
      <c r="F800" s="5" t="str">
        <f>IFERROR(ROUND(COUNTIFS(Tasks!$A:$A,$A800,Tasks!$B:$B,$B800,Tasks!$I:$I,"&lt;="&amp;INDEX(Weeks!$D:$D,MATCH($C800,Weeks!$A:$A,0)),Tasks!$I:$I,"&lt;&gt;")/COUNTIFS(Tasks!$A:$A,$A800,Tasks!$B:$B,$B800)*100,0),"")</f>
        <v/>
      </c>
      <c r="G800" s="5" t="str">
        <f>IFERROR(ROUND(COUNTIFS(Tasks!$A:$A,$A800,Tasks!$B:$B,$B800,Tasks!$H:$H,"&lt;="&amp;INDEX(Weeks!$D:$D,MATCH($C800,Weeks!$A:$A,0)))/COUNTIFS(Tasks!$A:$A,$A800,Tasks!$B:$B,$B800)*100,0),"")</f>
        <v/>
      </c>
      <c r="H800" t="s">
        <v>101</v>
      </c>
      <c r="I800">
        <f>COUNTIFS(Tasks!$A:$A,$A800,Tasks!$B:$B,$B800,Tasks!$G:$G,"&lt;="&amp;INDEX(Weeks!$D:$D,MATCH($C800,Weeks!$A:$A,0)))-COUNTIFS(Tasks!$A:$A,$A800,Tasks!$B:$B,$B800,Tasks!$I:$I,"&lt;="&amp;INDEX(Weeks!$D:$D,MATCH($C800,Weeks!$A:$A,0)),Tasks!$I:$I,"&lt;&gt;")</f>
        <v>0</v>
      </c>
      <c r="J800">
        <f>COUNTIFS(Tasks!$A:$A,$A800,Tasks!$B:$B,$B800,
Tasks!$I:$I,"&gt;"&amp;IFERROR(INDEX(Weeks!$D:$D,MATCH($C800-1,Weeks!$A:$A,0)),DATE(2000,1,1)),
Tasks!$I:$I,"&lt;="&amp;INDEX(Weeks!$D:$D,MATCH($C800,Weeks!$A:$A,0)),
Tasks!$I:$I,"&lt;&gt;")</f>
        <v>0</v>
      </c>
    </row>
    <row r="801" spans="1:10" ht="15" customHeight="1">
      <c r="A801" t="s">
        <v>102</v>
      </c>
      <c r="B801" t="s">
        <v>106</v>
      </c>
      <c r="C801">
        <v>20</v>
      </c>
      <c r="D801">
        <v>5</v>
      </c>
      <c r="E801">
        <v>3</v>
      </c>
      <c r="F801" s="5" t="str">
        <f>IFERROR(ROUND(COUNTIFS(Tasks!$A:$A,$A801,Tasks!$B:$B,$B801,Tasks!$I:$I,"&lt;="&amp;INDEX(Weeks!$D:$D,MATCH($C801,Weeks!$A:$A,0)),Tasks!$I:$I,"&lt;&gt;")/COUNTIFS(Tasks!$A:$A,$A801,Tasks!$B:$B,$B801)*100,0),"")</f>
        <v/>
      </c>
      <c r="G801" s="5" t="str">
        <f>IFERROR(ROUND(COUNTIFS(Tasks!$A:$A,$A801,Tasks!$B:$B,$B801,Tasks!$H:$H,"&lt;="&amp;INDEX(Weeks!$D:$D,MATCH($C801,Weeks!$A:$A,0)))/COUNTIFS(Tasks!$A:$A,$A801,Tasks!$B:$B,$B801)*100,0),"")</f>
        <v/>
      </c>
      <c r="H801" t="s">
        <v>101</v>
      </c>
      <c r="I801">
        <f>COUNTIFS(Tasks!$A:$A,$A801,Tasks!$B:$B,$B801,Tasks!$G:$G,"&lt;="&amp;INDEX(Weeks!$D:$D,MATCH($C801,Weeks!$A:$A,0)))-COUNTIFS(Tasks!$A:$A,$A801,Tasks!$B:$B,$B801,Tasks!$I:$I,"&lt;="&amp;INDEX(Weeks!$D:$D,MATCH($C801,Weeks!$A:$A,0)),Tasks!$I:$I,"&lt;&gt;")</f>
        <v>0</v>
      </c>
      <c r="J801">
        <f>COUNTIFS(Tasks!$A:$A,$A801,Tasks!$B:$B,$B801,
Tasks!$I:$I,"&gt;"&amp;IFERROR(INDEX(Weeks!$D:$D,MATCH($C801-1,Weeks!$A:$A,0)),DATE(2000,1,1)),
Tasks!$I:$I,"&lt;="&amp;INDEX(Weeks!$D:$D,MATCH($C801,Weeks!$A:$A,0)),
Tasks!$I:$I,"&lt;&gt;")</f>
        <v>0</v>
      </c>
    </row>
    <row r="802" spans="1:10" ht="15" customHeight="1">
      <c r="A802" t="s">
        <v>102</v>
      </c>
      <c r="B802" t="s">
        <v>106</v>
      </c>
      <c r="C802">
        <v>21</v>
      </c>
      <c r="D802">
        <v>5</v>
      </c>
      <c r="E802">
        <v>4</v>
      </c>
      <c r="F802" s="5" t="str">
        <f>IFERROR(ROUND(COUNTIFS(Tasks!$A:$A,$A802,Tasks!$B:$B,$B802,Tasks!$I:$I,"&lt;="&amp;INDEX(Weeks!$D:$D,MATCH($C802,Weeks!$A:$A,0)),Tasks!$I:$I,"&lt;&gt;")/COUNTIFS(Tasks!$A:$A,$A802,Tasks!$B:$B,$B802)*100,0),"")</f>
        <v/>
      </c>
      <c r="G802" s="5" t="str">
        <f>IFERROR(ROUND(COUNTIFS(Tasks!$A:$A,$A802,Tasks!$B:$B,$B802,Tasks!$H:$H,"&lt;="&amp;INDEX(Weeks!$D:$D,MATCH($C802,Weeks!$A:$A,0)))/COUNTIFS(Tasks!$A:$A,$A802,Tasks!$B:$B,$B802)*100,0),"")</f>
        <v/>
      </c>
      <c r="H802" t="s">
        <v>101</v>
      </c>
      <c r="I802">
        <f>COUNTIFS(Tasks!$A:$A,$A802,Tasks!$B:$B,$B802,Tasks!$G:$G,"&lt;="&amp;INDEX(Weeks!$D:$D,MATCH($C802,Weeks!$A:$A,0)))-COUNTIFS(Tasks!$A:$A,$A802,Tasks!$B:$B,$B802,Tasks!$I:$I,"&lt;="&amp;INDEX(Weeks!$D:$D,MATCH($C802,Weeks!$A:$A,0)),Tasks!$I:$I,"&lt;&gt;")</f>
        <v>0</v>
      </c>
      <c r="J802">
        <f>COUNTIFS(Tasks!$A:$A,$A802,Tasks!$B:$B,$B802,
Tasks!$I:$I,"&gt;"&amp;IFERROR(INDEX(Weeks!$D:$D,MATCH($C802-1,Weeks!$A:$A,0)),DATE(2000,1,1)),
Tasks!$I:$I,"&lt;="&amp;INDEX(Weeks!$D:$D,MATCH($C802,Weeks!$A:$A,0)),
Tasks!$I:$I,"&lt;&gt;")</f>
        <v>0</v>
      </c>
    </row>
    <row r="803" spans="1:10" ht="15" customHeight="1">
      <c r="A803" t="s">
        <v>102</v>
      </c>
      <c r="B803" t="s">
        <v>106</v>
      </c>
      <c r="C803">
        <v>22</v>
      </c>
      <c r="D803">
        <v>5</v>
      </c>
      <c r="E803">
        <v>5</v>
      </c>
      <c r="F803" s="5" t="str">
        <f>IFERROR(ROUND(COUNTIFS(Tasks!$A:$A,$A803,Tasks!$B:$B,$B803,Tasks!$I:$I,"&lt;="&amp;INDEX(Weeks!$D:$D,MATCH($C803,Weeks!$A:$A,0)),Tasks!$I:$I,"&lt;&gt;")/COUNTIFS(Tasks!$A:$A,$A803,Tasks!$B:$B,$B803)*100,0),"")</f>
        <v/>
      </c>
      <c r="G803" s="5" t="str">
        <f>IFERROR(ROUND(COUNTIFS(Tasks!$A:$A,$A803,Tasks!$B:$B,$B803,Tasks!$H:$H,"&lt;="&amp;INDEX(Weeks!$D:$D,MATCH($C803,Weeks!$A:$A,0)))/COUNTIFS(Tasks!$A:$A,$A803,Tasks!$B:$B,$B803)*100,0),"")</f>
        <v/>
      </c>
      <c r="H803" t="s">
        <v>101</v>
      </c>
      <c r="I803">
        <f>COUNTIFS(Tasks!$A:$A,$A803,Tasks!$B:$B,$B803,Tasks!$G:$G,"&lt;="&amp;INDEX(Weeks!$D:$D,MATCH($C803,Weeks!$A:$A,0)))-COUNTIFS(Tasks!$A:$A,$A803,Tasks!$B:$B,$B803,Tasks!$I:$I,"&lt;="&amp;INDEX(Weeks!$D:$D,MATCH($C803,Weeks!$A:$A,0)),Tasks!$I:$I,"&lt;&gt;")</f>
        <v>0</v>
      </c>
      <c r="J803">
        <f>COUNTIFS(Tasks!$A:$A,$A803,Tasks!$B:$B,$B803,
Tasks!$I:$I,"&gt;"&amp;IFERROR(INDEX(Weeks!$D:$D,MATCH($C803-1,Weeks!$A:$A,0)),DATE(2000,1,1)),
Tasks!$I:$I,"&lt;="&amp;INDEX(Weeks!$D:$D,MATCH($C803,Weeks!$A:$A,0)),
Tasks!$I:$I,"&lt;&gt;")</f>
        <v>0</v>
      </c>
    </row>
    <row r="804" spans="1:10" ht="15" customHeight="1">
      <c r="A804" t="s">
        <v>102</v>
      </c>
      <c r="B804" t="s">
        <v>106</v>
      </c>
      <c r="C804">
        <v>23</v>
      </c>
      <c r="D804">
        <v>6</v>
      </c>
      <c r="E804">
        <v>1</v>
      </c>
      <c r="F804" s="5" t="str">
        <f>IFERROR(ROUND(COUNTIFS(Tasks!$A:$A,$A804,Tasks!$B:$B,$B804,Tasks!$I:$I,"&lt;="&amp;INDEX(Weeks!$D:$D,MATCH($C804,Weeks!$A:$A,0)),Tasks!$I:$I,"&lt;&gt;")/COUNTIFS(Tasks!$A:$A,$A804,Tasks!$B:$B,$B804)*100,0),"")</f>
        <v/>
      </c>
      <c r="G804" s="5" t="str">
        <f>IFERROR(ROUND(COUNTIFS(Tasks!$A:$A,$A804,Tasks!$B:$B,$B804,Tasks!$H:$H,"&lt;="&amp;INDEX(Weeks!$D:$D,MATCH($C804,Weeks!$A:$A,0)))/COUNTIFS(Tasks!$A:$A,$A804,Tasks!$B:$B,$B804)*100,0),"")</f>
        <v/>
      </c>
      <c r="H804" t="s">
        <v>101</v>
      </c>
      <c r="I804">
        <f>COUNTIFS(Tasks!$A:$A,$A804,Tasks!$B:$B,$B804,Tasks!$G:$G,"&lt;="&amp;INDEX(Weeks!$D:$D,MATCH($C804,Weeks!$A:$A,0)))-COUNTIFS(Tasks!$A:$A,$A804,Tasks!$B:$B,$B804,Tasks!$I:$I,"&lt;="&amp;INDEX(Weeks!$D:$D,MATCH($C804,Weeks!$A:$A,0)),Tasks!$I:$I,"&lt;&gt;")</f>
        <v>0</v>
      </c>
      <c r="J804">
        <f>COUNTIFS(Tasks!$A:$A,$A804,Tasks!$B:$B,$B804,
Tasks!$I:$I,"&gt;"&amp;IFERROR(INDEX(Weeks!$D:$D,MATCH($C804-1,Weeks!$A:$A,0)),DATE(2000,1,1)),
Tasks!$I:$I,"&lt;="&amp;INDEX(Weeks!$D:$D,MATCH($C804,Weeks!$A:$A,0)),
Tasks!$I:$I,"&lt;&gt;")</f>
        <v>0</v>
      </c>
    </row>
    <row r="805" spans="1:10" ht="15" customHeight="1">
      <c r="A805" t="s">
        <v>102</v>
      </c>
      <c r="B805" t="s">
        <v>106</v>
      </c>
      <c r="C805">
        <v>24</v>
      </c>
      <c r="D805">
        <v>6</v>
      </c>
      <c r="E805">
        <v>2</v>
      </c>
      <c r="F805" s="5" t="str">
        <f>IFERROR(ROUND(COUNTIFS(Tasks!$A:$A,$A805,Tasks!$B:$B,$B805,Tasks!$I:$I,"&lt;="&amp;INDEX(Weeks!$D:$D,MATCH($C805,Weeks!$A:$A,0)),Tasks!$I:$I,"&lt;&gt;")/COUNTIFS(Tasks!$A:$A,$A805,Tasks!$B:$B,$B805)*100,0),"")</f>
        <v/>
      </c>
      <c r="G805" s="5" t="str">
        <f>IFERROR(ROUND(COUNTIFS(Tasks!$A:$A,$A805,Tasks!$B:$B,$B805,Tasks!$H:$H,"&lt;="&amp;INDEX(Weeks!$D:$D,MATCH($C805,Weeks!$A:$A,0)))/COUNTIFS(Tasks!$A:$A,$A805,Tasks!$B:$B,$B805)*100,0),"")</f>
        <v/>
      </c>
      <c r="H805" t="s">
        <v>101</v>
      </c>
      <c r="I805">
        <f>COUNTIFS(Tasks!$A:$A,$A805,Tasks!$B:$B,$B805,Tasks!$G:$G,"&lt;="&amp;INDEX(Weeks!$D:$D,MATCH($C805,Weeks!$A:$A,0)))-COUNTIFS(Tasks!$A:$A,$A805,Tasks!$B:$B,$B805,Tasks!$I:$I,"&lt;="&amp;INDEX(Weeks!$D:$D,MATCH($C805,Weeks!$A:$A,0)),Tasks!$I:$I,"&lt;&gt;")</f>
        <v>0</v>
      </c>
      <c r="J805">
        <f>COUNTIFS(Tasks!$A:$A,$A805,Tasks!$B:$B,$B805,
Tasks!$I:$I,"&gt;"&amp;IFERROR(INDEX(Weeks!$D:$D,MATCH($C805-1,Weeks!$A:$A,0)),DATE(2000,1,1)),
Tasks!$I:$I,"&lt;="&amp;INDEX(Weeks!$D:$D,MATCH($C805,Weeks!$A:$A,0)),
Tasks!$I:$I,"&lt;&gt;")</f>
        <v>0</v>
      </c>
    </row>
    <row r="806" spans="1:10" ht="15" customHeight="1">
      <c r="A806" t="s">
        <v>102</v>
      </c>
      <c r="B806" t="s">
        <v>106</v>
      </c>
      <c r="C806">
        <v>25</v>
      </c>
      <c r="D806">
        <v>6</v>
      </c>
      <c r="E806">
        <v>3</v>
      </c>
      <c r="F806" s="5" t="str">
        <f>IFERROR(ROUND(COUNTIFS(Tasks!$A:$A,$A806,Tasks!$B:$B,$B806,Tasks!$I:$I,"&lt;="&amp;INDEX(Weeks!$D:$D,MATCH($C806,Weeks!$A:$A,0)),Tasks!$I:$I,"&lt;&gt;")/COUNTIFS(Tasks!$A:$A,$A806,Tasks!$B:$B,$B806)*100,0),"")</f>
        <v/>
      </c>
      <c r="G806" s="5" t="str">
        <f>IFERROR(ROUND(COUNTIFS(Tasks!$A:$A,$A806,Tasks!$B:$B,$B806,Tasks!$H:$H,"&lt;="&amp;INDEX(Weeks!$D:$D,MATCH($C806,Weeks!$A:$A,0)))/COUNTIFS(Tasks!$A:$A,$A806,Tasks!$B:$B,$B806)*100,0),"")</f>
        <v/>
      </c>
      <c r="I806">
        <f>COUNTIFS(Tasks!$A:$A,$A806,Tasks!$B:$B,$B806,Tasks!$G:$G,"&lt;="&amp;INDEX(Weeks!$D:$D,MATCH($C806,Weeks!$A:$A,0)))-COUNTIFS(Tasks!$A:$A,$A806,Tasks!$B:$B,$B806,Tasks!$I:$I,"&lt;="&amp;INDEX(Weeks!$D:$D,MATCH($C806,Weeks!$A:$A,0)),Tasks!$I:$I,"&lt;&gt;")</f>
        <v>0</v>
      </c>
      <c r="J806">
        <f>COUNTIFS(Tasks!$A:$A,$A806,Tasks!$B:$B,$B806,
Tasks!$I:$I,"&gt;"&amp;IFERROR(INDEX(Weeks!$D:$D,MATCH($C806-1,Weeks!$A:$A,0)),DATE(2000,1,1)),
Tasks!$I:$I,"&lt;="&amp;INDEX(Weeks!$D:$D,MATCH($C806,Weeks!$A:$A,0)),
Tasks!$I:$I,"&lt;&gt;")</f>
        <v>0</v>
      </c>
    </row>
    <row r="807" spans="1:10" ht="15" customHeight="1">
      <c r="A807" t="s">
        <v>102</v>
      </c>
      <c r="B807" t="s">
        <v>106</v>
      </c>
      <c r="C807">
        <v>26</v>
      </c>
      <c r="D807">
        <v>6</v>
      </c>
      <c r="E807">
        <v>4</v>
      </c>
      <c r="F807" s="5" t="str">
        <f>IFERROR(ROUND(COUNTIFS(Tasks!$A:$A,$A807,Tasks!$B:$B,$B807,Tasks!$I:$I,"&lt;="&amp;INDEX(Weeks!$D:$D,MATCH($C807,Weeks!$A:$A,0)),Tasks!$I:$I,"&lt;&gt;")/COUNTIFS(Tasks!$A:$A,$A807,Tasks!$B:$B,$B807)*100,0),"")</f>
        <v/>
      </c>
      <c r="G807" s="5" t="str">
        <f>IFERROR(ROUND(COUNTIFS(Tasks!$A:$A,$A807,Tasks!$B:$B,$B807,Tasks!$H:$H,"&lt;="&amp;INDEX(Weeks!$D:$D,MATCH($C807,Weeks!$A:$A,0)))/COUNTIFS(Tasks!$A:$A,$A807,Tasks!$B:$B,$B807)*100,0),"")</f>
        <v/>
      </c>
      <c r="I807">
        <f>COUNTIFS(Tasks!$A:$A,$A807,Tasks!$B:$B,$B807,Tasks!$G:$G,"&lt;="&amp;INDEX(Weeks!$D:$D,MATCH($C807,Weeks!$A:$A,0)))-COUNTIFS(Tasks!$A:$A,$A807,Tasks!$B:$B,$B807,Tasks!$I:$I,"&lt;="&amp;INDEX(Weeks!$D:$D,MATCH($C807,Weeks!$A:$A,0)),Tasks!$I:$I,"&lt;&gt;")</f>
        <v>0</v>
      </c>
      <c r="J807">
        <f>COUNTIFS(Tasks!$A:$A,$A807,Tasks!$B:$B,$B807,
Tasks!$I:$I,"&gt;"&amp;IFERROR(INDEX(Weeks!$D:$D,MATCH($C807-1,Weeks!$A:$A,0)),DATE(2000,1,1)),
Tasks!$I:$I,"&lt;="&amp;INDEX(Weeks!$D:$D,MATCH($C807,Weeks!$A:$A,0)),
Tasks!$I:$I,"&lt;&gt;")</f>
        <v>0</v>
      </c>
    </row>
    <row r="808" spans="1:10" ht="15" customHeight="1">
      <c r="A808" t="s">
        <v>102</v>
      </c>
      <c r="B808" t="s">
        <v>106</v>
      </c>
      <c r="C808">
        <v>27</v>
      </c>
      <c r="D808">
        <v>7</v>
      </c>
      <c r="E808">
        <v>1</v>
      </c>
      <c r="F808" s="5" t="str">
        <f>IFERROR(ROUND(COUNTIFS(Tasks!$A:$A,$A808,Tasks!$B:$B,$B808,Tasks!$I:$I,"&lt;="&amp;INDEX(Weeks!$D:$D,MATCH($C808,Weeks!$A:$A,0)),Tasks!$I:$I,"&lt;&gt;")/COUNTIFS(Tasks!$A:$A,$A808,Tasks!$B:$B,$B808)*100,0),"")</f>
        <v/>
      </c>
      <c r="G808" s="5" t="str">
        <f>IFERROR(ROUND(COUNTIFS(Tasks!$A:$A,$A808,Tasks!$B:$B,$B808,Tasks!$H:$H,"&lt;="&amp;INDEX(Weeks!$D:$D,MATCH($C808,Weeks!$A:$A,0)))/COUNTIFS(Tasks!$A:$A,$A808,Tasks!$B:$B,$B808)*100,0),"")</f>
        <v/>
      </c>
      <c r="I808">
        <f>COUNTIFS(Tasks!$A:$A,$A808,Tasks!$B:$B,$B808,Tasks!$G:$G,"&lt;="&amp;INDEX(Weeks!$D:$D,MATCH($C808,Weeks!$A:$A,0)))-COUNTIFS(Tasks!$A:$A,$A808,Tasks!$B:$B,$B808,Tasks!$I:$I,"&lt;="&amp;INDEX(Weeks!$D:$D,MATCH($C808,Weeks!$A:$A,0)),Tasks!$I:$I,"&lt;&gt;")</f>
        <v>0</v>
      </c>
      <c r="J808">
        <f>COUNTIFS(Tasks!$A:$A,$A808,Tasks!$B:$B,$B808,
Tasks!$I:$I,"&gt;"&amp;IFERROR(INDEX(Weeks!$D:$D,MATCH($C808-1,Weeks!$A:$A,0)),DATE(2000,1,1)),
Tasks!$I:$I,"&lt;="&amp;INDEX(Weeks!$D:$D,MATCH($C808,Weeks!$A:$A,0)),
Tasks!$I:$I,"&lt;&gt;")</f>
        <v>0</v>
      </c>
    </row>
    <row r="809" spans="1:10" ht="15" customHeight="1">
      <c r="A809" t="s">
        <v>102</v>
      </c>
      <c r="B809" t="s">
        <v>106</v>
      </c>
      <c r="C809">
        <v>28</v>
      </c>
      <c r="D809">
        <v>7</v>
      </c>
      <c r="E809">
        <v>2</v>
      </c>
      <c r="F809" s="5" t="str">
        <f>IFERROR(ROUND(COUNTIFS(Tasks!$A:$A,$A809,Tasks!$B:$B,$B809,Tasks!$I:$I,"&lt;="&amp;INDEX(Weeks!$D:$D,MATCH($C809,Weeks!$A:$A,0)),Tasks!$I:$I,"&lt;&gt;")/COUNTIFS(Tasks!$A:$A,$A809,Tasks!$B:$B,$B809)*100,0),"")</f>
        <v/>
      </c>
      <c r="G809" s="5" t="str">
        <f>IFERROR(ROUND(COUNTIFS(Tasks!$A:$A,$A809,Tasks!$B:$B,$B809,Tasks!$H:$H,"&lt;="&amp;INDEX(Weeks!$D:$D,MATCH($C809,Weeks!$A:$A,0)))/COUNTIFS(Tasks!$A:$A,$A809,Tasks!$B:$B,$B809)*100,0),"")</f>
        <v/>
      </c>
      <c r="I809">
        <f>COUNTIFS(Tasks!$A:$A,$A809,Tasks!$B:$B,$B809,Tasks!$G:$G,"&lt;="&amp;INDEX(Weeks!$D:$D,MATCH($C809,Weeks!$A:$A,0)))-COUNTIFS(Tasks!$A:$A,$A809,Tasks!$B:$B,$B809,Tasks!$I:$I,"&lt;="&amp;INDEX(Weeks!$D:$D,MATCH($C809,Weeks!$A:$A,0)),Tasks!$I:$I,"&lt;&gt;")</f>
        <v>0</v>
      </c>
      <c r="J809">
        <f>COUNTIFS(Tasks!$A:$A,$A809,Tasks!$B:$B,$B809,
Tasks!$I:$I,"&gt;"&amp;IFERROR(INDEX(Weeks!$D:$D,MATCH($C809-1,Weeks!$A:$A,0)),DATE(2000,1,1)),
Tasks!$I:$I,"&lt;="&amp;INDEX(Weeks!$D:$D,MATCH($C809,Weeks!$A:$A,0)),
Tasks!$I:$I,"&lt;&gt;")</f>
        <v>0</v>
      </c>
    </row>
    <row r="810" spans="1:10" ht="15" customHeight="1">
      <c r="A810" t="s">
        <v>102</v>
      </c>
      <c r="B810" t="s">
        <v>106</v>
      </c>
      <c r="C810">
        <v>29</v>
      </c>
      <c r="D810">
        <v>7</v>
      </c>
      <c r="E810">
        <v>3</v>
      </c>
      <c r="F810" s="5" t="str">
        <f>IFERROR(ROUND(COUNTIFS(Tasks!$A:$A,$A810,Tasks!$B:$B,$B810,Tasks!$I:$I,"&lt;="&amp;INDEX(Weeks!$D:$D,MATCH($C810,Weeks!$A:$A,0)),Tasks!$I:$I,"&lt;&gt;")/COUNTIFS(Tasks!$A:$A,$A810,Tasks!$B:$B,$B810)*100,0),"")</f>
        <v/>
      </c>
      <c r="G810" s="5" t="str">
        <f>IFERROR(ROUND(COUNTIFS(Tasks!$A:$A,$A810,Tasks!$B:$B,$B810,Tasks!$H:$H,"&lt;="&amp;INDEX(Weeks!$D:$D,MATCH($C810,Weeks!$A:$A,0)))/COUNTIFS(Tasks!$A:$A,$A810,Tasks!$B:$B,$B810)*100,0),"")</f>
        <v/>
      </c>
      <c r="I810">
        <f>COUNTIFS(Tasks!$A:$A,$A810,Tasks!$B:$B,$B810,Tasks!$G:$G,"&lt;="&amp;INDEX(Weeks!$D:$D,MATCH($C810,Weeks!$A:$A,0)))-COUNTIFS(Tasks!$A:$A,$A810,Tasks!$B:$B,$B810,Tasks!$I:$I,"&lt;="&amp;INDEX(Weeks!$D:$D,MATCH($C810,Weeks!$A:$A,0)),Tasks!$I:$I,"&lt;&gt;")</f>
        <v>0</v>
      </c>
      <c r="J810">
        <f>COUNTIFS(Tasks!$A:$A,$A810,Tasks!$B:$B,$B810,
Tasks!$I:$I,"&gt;"&amp;IFERROR(INDEX(Weeks!$D:$D,MATCH($C810-1,Weeks!$A:$A,0)),DATE(2000,1,1)),
Tasks!$I:$I,"&lt;="&amp;INDEX(Weeks!$D:$D,MATCH($C810,Weeks!$A:$A,0)),
Tasks!$I:$I,"&lt;&gt;")</f>
        <v>0</v>
      </c>
    </row>
    <row r="811" spans="1:10" ht="15" customHeight="1">
      <c r="A811" t="s">
        <v>102</v>
      </c>
      <c r="B811" t="s">
        <v>106</v>
      </c>
      <c r="C811">
        <v>30</v>
      </c>
      <c r="D811">
        <v>7</v>
      </c>
      <c r="E811">
        <v>4</v>
      </c>
      <c r="F811" s="5" t="str">
        <f>IFERROR(ROUND(COUNTIFS(Tasks!$A:$A,$A811,Tasks!$B:$B,$B811,Tasks!$I:$I,"&lt;="&amp;INDEX(Weeks!$D:$D,MATCH($C811,Weeks!$A:$A,0)),Tasks!$I:$I,"&lt;&gt;")/COUNTIFS(Tasks!$A:$A,$A811,Tasks!$B:$B,$B811)*100,0),"")</f>
        <v/>
      </c>
      <c r="G811" s="5" t="str">
        <f>IFERROR(ROUND(COUNTIFS(Tasks!$A:$A,$A811,Tasks!$B:$B,$B811,Tasks!$H:$H,"&lt;="&amp;INDEX(Weeks!$D:$D,MATCH($C811,Weeks!$A:$A,0)))/COUNTIFS(Tasks!$A:$A,$A811,Tasks!$B:$B,$B811)*100,0),"")</f>
        <v/>
      </c>
      <c r="I811">
        <f>COUNTIFS(Tasks!$A:$A,$A811,Tasks!$B:$B,$B811,Tasks!$G:$G,"&lt;="&amp;INDEX(Weeks!$D:$D,MATCH($C811,Weeks!$A:$A,0)))-COUNTIFS(Tasks!$A:$A,$A811,Tasks!$B:$B,$B811,Tasks!$I:$I,"&lt;="&amp;INDEX(Weeks!$D:$D,MATCH($C811,Weeks!$A:$A,0)),Tasks!$I:$I,"&lt;&gt;")</f>
        <v>0</v>
      </c>
      <c r="J811">
        <f>COUNTIFS(Tasks!$A:$A,$A811,Tasks!$B:$B,$B811,
Tasks!$I:$I,"&gt;"&amp;IFERROR(INDEX(Weeks!$D:$D,MATCH($C811-1,Weeks!$A:$A,0)),DATE(2000,1,1)),
Tasks!$I:$I,"&lt;="&amp;INDEX(Weeks!$D:$D,MATCH($C811,Weeks!$A:$A,0)),
Tasks!$I:$I,"&lt;&gt;")</f>
        <v>0</v>
      </c>
    </row>
    <row r="812" spans="1:10" ht="15" customHeight="1">
      <c r="A812" t="s">
        <v>102</v>
      </c>
      <c r="B812" t="s">
        <v>106</v>
      </c>
      <c r="C812">
        <v>31</v>
      </c>
      <c r="D812">
        <v>8</v>
      </c>
      <c r="E812">
        <v>1</v>
      </c>
      <c r="F812" s="5" t="str">
        <f>IFERROR(ROUND(COUNTIFS(Tasks!$A:$A,$A812,Tasks!$B:$B,$B812,Tasks!$I:$I,"&lt;="&amp;INDEX(Weeks!$D:$D,MATCH($C812,Weeks!$A:$A,0)),Tasks!$I:$I,"&lt;&gt;")/COUNTIFS(Tasks!$A:$A,$A812,Tasks!$B:$B,$B812)*100,0),"")</f>
        <v/>
      </c>
      <c r="G812" s="5" t="str">
        <f>IFERROR(ROUND(COUNTIFS(Tasks!$A:$A,$A812,Tasks!$B:$B,$B812,Tasks!$H:$H,"&lt;="&amp;INDEX(Weeks!$D:$D,MATCH($C812,Weeks!$A:$A,0)))/COUNTIFS(Tasks!$A:$A,$A812,Tasks!$B:$B,$B812)*100,0),"")</f>
        <v/>
      </c>
      <c r="I812">
        <f>COUNTIFS(Tasks!$A:$A,$A812,Tasks!$B:$B,$B812,Tasks!$G:$G,"&lt;="&amp;INDEX(Weeks!$D:$D,MATCH($C812,Weeks!$A:$A,0)))-COUNTIFS(Tasks!$A:$A,$A812,Tasks!$B:$B,$B812,Tasks!$I:$I,"&lt;="&amp;INDEX(Weeks!$D:$D,MATCH($C812,Weeks!$A:$A,0)),Tasks!$I:$I,"&lt;&gt;")</f>
        <v>0</v>
      </c>
      <c r="J812">
        <f>COUNTIFS(Tasks!$A:$A,$A812,Tasks!$B:$B,$B812,
Tasks!$I:$I,"&gt;"&amp;IFERROR(INDEX(Weeks!$D:$D,MATCH($C812-1,Weeks!$A:$A,0)),DATE(2000,1,1)),
Tasks!$I:$I,"&lt;="&amp;INDEX(Weeks!$D:$D,MATCH($C812,Weeks!$A:$A,0)),
Tasks!$I:$I,"&lt;&gt;")</f>
        <v>0</v>
      </c>
    </row>
    <row r="813" spans="1:10" ht="15" customHeight="1">
      <c r="A813" t="s">
        <v>102</v>
      </c>
      <c r="B813" t="s">
        <v>106</v>
      </c>
      <c r="C813">
        <v>32</v>
      </c>
      <c r="D813">
        <v>8</v>
      </c>
      <c r="E813">
        <v>2</v>
      </c>
      <c r="F813" s="5" t="str">
        <f>IFERROR(ROUND(COUNTIFS(Tasks!$A:$A,$A813,Tasks!$B:$B,$B813,Tasks!$I:$I,"&lt;="&amp;INDEX(Weeks!$D:$D,MATCH($C813,Weeks!$A:$A,0)),Tasks!$I:$I,"&lt;&gt;")/COUNTIFS(Tasks!$A:$A,$A813,Tasks!$B:$B,$B813)*100,0),"")</f>
        <v/>
      </c>
      <c r="G813" s="5" t="str">
        <f>IFERROR(ROUND(COUNTIFS(Tasks!$A:$A,$A813,Tasks!$B:$B,$B813,Tasks!$H:$H,"&lt;="&amp;INDEX(Weeks!$D:$D,MATCH($C813,Weeks!$A:$A,0)))/COUNTIFS(Tasks!$A:$A,$A813,Tasks!$B:$B,$B813)*100,0),"")</f>
        <v/>
      </c>
      <c r="I813">
        <f>COUNTIFS(Tasks!$A:$A,$A813,Tasks!$B:$B,$B813,Tasks!$G:$G,"&lt;="&amp;INDEX(Weeks!$D:$D,MATCH($C813,Weeks!$A:$A,0)))-COUNTIFS(Tasks!$A:$A,$A813,Tasks!$B:$B,$B813,Tasks!$I:$I,"&lt;="&amp;INDEX(Weeks!$D:$D,MATCH($C813,Weeks!$A:$A,0)),Tasks!$I:$I,"&lt;&gt;")</f>
        <v>0</v>
      </c>
      <c r="J813">
        <f>COUNTIFS(Tasks!$A:$A,$A813,Tasks!$B:$B,$B813,
Tasks!$I:$I,"&gt;"&amp;IFERROR(INDEX(Weeks!$D:$D,MATCH($C813-1,Weeks!$A:$A,0)),DATE(2000,1,1)),
Tasks!$I:$I,"&lt;="&amp;INDEX(Weeks!$D:$D,MATCH($C813,Weeks!$A:$A,0)),
Tasks!$I:$I,"&lt;&gt;")</f>
        <v>0</v>
      </c>
    </row>
    <row r="814" spans="1:10" ht="15" customHeight="1">
      <c r="A814" t="s">
        <v>102</v>
      </c>
      <c r="B814" t="s">
        <v>106</v>
      </c>
      <c r="C814">
        <v>33</v>
      </c>
      <c r="D814">
        <v>8</v>
      </c>
      <c r="E814">
        <v>3</v>
      </c>
      <c r="F814" s="5" t="str">
        <f>IFERROR(ROUND(COUNTIFS(Tasks!$A:$A,$A814,Tasks!$B:$B,$B814,Tasks!$I:$I,"&lt;="&amp;INDEX(Weeks!$D:$D,MATCH($C814,Weeks!$A:$A,0)),Tasks!$I:$I,"&lt;&gt;")/COUNTIFS(Tasks!$A:$A,$A814,Tasks!$B:$B,$B814)*100,0),"")</f>
        <v/>
      </c>
      <c r="G814" s="5" t="str">
        <f>IFERROR(ROUND(COUNTIFS(Tasks!$A:$A,$A814,Tasks!$B:$B,$B814,Tasks!$H:$H,"&lt;="&amp;INDEX(Weeks!$D:$D,MATCH($C814,Weeks!$A:$A,0)))/COUNTIFS(Tasks!$A:$A,$A814,Tasks!$B:$B,$B814)*100,0),"")</f>
        <v/>
      </c>
      <c r="I814">
        <f>COUNTIFS(Tasks!$A:$A,$A814,Tasks!$B:$B,$B814,Tasks!$G:$G,"&lt;="&amp;INDEX(Weeks!$D:$D,MATCH($C814,Weeks!$A:$A,0)))-COUNTIFS(Tasks!$A:$A,$A814,Tasks!$B:$B,$B814,Tasks!$I:$I,"&lt;="&amp;INDEX(Weeks!$D:$D,MATCH($C814,Weeks!$A:$A,0)),Tasks!$I:$I,"&lt;&gt;")</f>
        <v>0</v>
      </c>
      <c r="J814">
        <f>COUNTIFS(Tasks!$A:$A,$A814,Tasks!$B:$B,$B814,
Tasks!$I:$I,"&gt;"&amp;IFERROR(INDEX(Weeks!$D:$D,MATCH($C814-1,Weeks!$A:$A,0)),DATE(2000,1,1)),
Tasks!$I:$I,"&lt;="&amp;INDEX(Weeks!$D:$D,MATCH($C814,Weeks!$A:$A,0)),
Tasks!$I:$I,"&lt;&gt;")</f>
        <v>0</v>
      </c>
    </row>
    <row r="815" spans="1:10" ht="15" customHeight="1">
      <c r="A815" t="s">
        <v>102</v>
      </c>
      <c r="B815" t="s">
        <v>106</v>
      </c>
      <c r="C815">
        <v>34</v>
      </c>
      <c r="D815">
        <v>8</v>
      </c>
      <c r="E815">
        <v>4</v>
      </c>
      <c r="F815" s="5" t="str">
        <f>IFERROR(ROUND(COUNTIFS(Tasks!$A:$A,$A815,Tasks!$B:$B,$B815,Tasks!$I:$I,"&lt;="&amp;INDEX(Weeks!$D:$D,MATCH($C815,Weeks!$A:$A,0)),Tasks!$I:$I,"&lt;&gt;")/COUNTIFS(Tasks!$A:$A,$A815,Tasks!$B:$B,$B815)*100,0),"")</f>
        <v/>
      </c>
      <c r="G815" s="5" t="str">
        <f>IFERROR(ROUND(COUNTIFS(Tasks!$A:$A,$A815,Tasks!$B:$B,$B815,Tasks!$H:$H,"&lt;="&amp;INDEX(Weeks!$D:$D,MATCH($C815,Weeks!$A:$A,0)))/COUNTIFS(Tasks!$A:$A,$A815,Tasks!$B:$B,$B815)*100,0),"")</f>
        <v/>
      </c>
      <c r="I815">
        <f>COUNTIFS(Tasks!$A:$A,$A815,Tasks!$B:$B,$B815,Tasks!$G:$G,"&lt;="&amp;INDEX(Weeks!$D:$D,MATCH($C815,Weeks!$A:$A,0)))-COUNTIFS(Tasks!$A:$A,$A815,Tasks!$B:$B,$B815,Tasks!$I:$I,"&lt;="&amp;INDEX(Weeks!$D:$D,MATCH($C815,Weeks!$A:$A,0)),Tasks!$I:$I,"&lt;&gt;")</f>
        <v>0</v>
      </c>
      <c r="J815">
        <f>COUNTIFS(Tasks!$A:$A,$A815,Tasks!$B:$B,$B815,
Tasks!$I:$I,"&gt;"&amp;IFERROR(INDEX(Weeks!$D:$D,MATCH($C815-1,Weeks!$A:$A,0)),DATE(2000,1,1)),
Tasks!$I:$I,"&lt;="&amp;INDEX(Weeks!$D:$D,MATCH($C815,Weeks!$A:$A,0)),
Tasks!$I:$I,"&lt;&gt;")</f>
        <v>0</v>
      </c>
    </row>
    <row r="816" spans="1:10" ht="15" customHeight="1">
      <c r="A816" t="s">
        <v>102</v>
      </c>
      <c r="B816" t="s">
        <v>106</v>
      </c>
      <c r="C816">
        <v>35</v>
      </c>
      <c r="D816">
        <v>8</v>
      </c>
      <c r="E816">
        <v>5</v>
      </c>
      <c r="F816" s="5" t="str">
        <f>IFERROR(ROUND(COUNTIFS(Tasks!$A:$A,$A816,Tasks!$B:$B,$B816,Tasks!$I:$I,"&lt;="&amp;INDEX(Weeks!$D:$D,MATCH($C816,Weeks!$A:$A,0)),Tasks!$I:$I,"&lt;&gt;")/COUNTIFS(Tasks!$A:$A,$A816,Tasks!$B:$B,$B816)*100,0),"")</f>
        <v/>
      </c>
      <c r="G816" s="5" t="str">
        <f>IFERROR(ROUND(COUNTIFS(Tasks!$A:$A,$A816,Tasks!$B:$B,$B816,Tasks!$H:$H,"&lt;="&amp;INDEX(Weeks!$D:$D,MATCH($C816,Weeks!$A:$A,0)))/COUNTIFS(Tasks!$A:$A,$A816,Tasks!$B:$B,$B816)*100,0),"")</f>
        <v/>
      </c>
      <c r="I816">
        <f>COUNTIFS(Tasks!$A:$A,$A816,Tasks!$B:$B,$B816,Tasks!$G:$G,"&lt;="&amp;INDEX(Weeks!$D:$D,MATCH($C816,Weeks!$A:$A,0)))-COUNTIFS(Tasks!$A:$A,$A816,Tasks!$B:$B,$B816,Tasks!$I:$I,"&lt;="&amp;INDEX(Weeks!$D:$D,MATCH($C816,Weeks!$A:$A,0)),Tasks!$I:$I,"&lt;&gt;")</f>
        <v>0</v>
      </c>
      <c r="J816">
        <f>COUNTIFS(Tasks!$A:$A,$A816,Tasks!$B:$B,$B816,
Tasks!$I:$I,"&gt;"&amp;IFERROR(INDEX(Weeks!$D:$D,MATCH($C816-1,Weeks!$A:$A,0)),DATE(2000,1,1)),
Tasks!$I:$I,"&lt;="&amp;INDEX(Weeks!$D:$D,MATCH($C816,Weeks!$A:$A,0)),
Tasks!$I:$I,"&lt;&gt;")</f>
        <v>0</v>
      </c>
    </row>
    <row r="817" spans="1:10" ht="15" customHeight="1">
      <c r="A817" t="s">
        <v>102</v>
      </c>
      <c r="B817" t="s">
        <v>106</v>
      </c>
      <c r="C817">
        <v>36</v>
      </c>
      <c r="D817">
        <v>9</v>
      </c>
      <c r="E817">
        <v>1</v>
      </c>
      <c r="F817" s="5" t="str">
        <f>IFERROR(ROUND(COUNTIFS(Tasks!$A:$A,$A817,Tasks!$B:$B,$B817,Tasks!$I:$I,"&lt;="&amp;INDEX(Weeks!$D:$D,MATCH($C817,Weeks!$A:$A,0)),Tasks!$I:$I,"&lt;&gt;")/COUNTIFS(Tasks!$A:$A,$A817,Tasks!$B:$B,$B817)*100,0),"")</f>
        <v/>
      </c>
      <c r="G817" s="5" t="str">
        <f>IFERROR(ROUND(COUNTIFS(Tasks!$A:$A,$A817,Tasks!$B:$B,$B817,Tasks!$H:$H,"&lt;="&amp;INDEX(Weeks!$D:$D,MATCH($C817,Weeks!$A:$A,0)))/COUNTIFS(Tasks!$A:$A,$A817,Tasks!$B:$B,$B817)*100,0),"")</f>
        <v/>
      </c>
      <c r="I817">
        <f>COUNTIFS(Tasks!$A:$A,$A817,Tasks!$B:$B,$B817,Tasks!$G:$G,"&lt;="&amp;INDEX(Weeks!$D:$D,MATCH($C817,Weeks!$A:$A,0)))-COUNTIFS(Tasks!$A:$A,$A817,Tasks!$B:$B,$B817,Tasks!$I:$I,"&lt;="&amp;INDEX(Weeks!$D:$D,MATCH($C817,Weeks!$A:$A,0)),Tasks!$I:$I,"&lt;&gt;")</f>
        <v>0</v>
      </c>
      <c r="J817">
        <f>COUNTIFS(Tasks!$A:$A,$A817,Tasks!$B:$B,$B817,
Tasks!$I:$I,"&gt;"&amp;IFERROR(INDEX(Weeks!$D:$D,MATCH($C817-1,Weeks!$A:$A,0)),DATE(2000,1,1)),
Tasks!$I:$I,"&lt;="&amp;INDEX(Weeks!$D:$D,MATCH($C817,Weeks!$A:$A,0)),
Tasks!$I:$I,"&lt;&gt;")</f>
        <v>0</v>
      </c>
    </row>
    <row r="818" spans="1:10" ht="15" customHeight="1">
      <c r="A818" t="s">
        <v>102</v>
      </c>
      <c r="B818" t="s">
        <v>106</v>
      </c>
      <c r="C818">
        <v>37</v>
      </c>
      <c r="D818">
        <v>9</v>
      </c>
      <c r="E818">
        <v>2</v>
      </c>
      <c r="F818" s="5" t="str">
        <f>IFERROR(ROUND(COUNTIFS(Tasks!$A:$A,$A818,Tasks!$B:$B,$B818,Tasks!$I:$I,"&lt;="&amp;INDEX(Weeks!$D:$D,MATCH($C818,Weeks!$A:$A,0)),Tasks!$I:$I,"&lt;&gt;")/COUNTIFS(Tasks!$A:$A,$A818,Tasks!$B:$B,$B818)*100,0),"")</f>
        <v/>
      </c>
      <c r="G818" s="5" t="str">
        <f>IFERROR(ROUND(COUNTIFS(Tasks!$A:$A,$A818,Tasks!$B:$B,$B818,Tasks!$H:$H,"&lt;="&amp;INDEX(Weeks!$D:$D,MATCH($C818,Weeks!$A:$A,0)))/COUNTIFS(Tasks!$A:$A,$A818,Tasks!$B:$B,$B818)*100,0),"")</f>
        <v/>
      </c>
      <c r="I818">
        <f>COUNTIFS(Tasks!$A:$A,$A818,Tasks!$B:$B,$B818,Tasks!$G:$G,"&lt;="&amp;INDEX(Weeks!$D:$D,MATCH($C818,Weeks!$A:$A,0)))-COUNTIFS(Tasks!$A:$A,$A818,Tasks!$B:$B,$B818,Tasks!$I:$I,"&lt;="&amp;INDEX(Weeks!$D:$D,MATCH($C818,Weeks!$A:$A,0)),Tasks!$I:$I,"&lt;&gt;")</f>
        <v>0</v>
      </c>
      <c r="J818">
        <f>COUNTIFS(Tasks!$A:$A,$A818,Tasks!$B:$B,$B818,
Tasks!$I:$I,"&gt;"&amp;IFERROR(INDEX(Weeks!$D:$D,MATCH($C818-1,Weeks!$A:$A,0)),DATE(2000,1,1)),
Tasks!$I:$I,"&lt;="&amp;INDEX(Weeks!$D:$D,MATCH($C818,Weeks!$A:$A,0)),
Tasks!$I:$I,"&lt;&gt;")</f>
        <v>0</v>
      </c>
    </row>
    <row r="819" spans="1:10" ht="15" customHeight="1">
      <c r="A819" t="s">
        <v>102</v>
      </c>
      <c r="B819" t="s">
        <v>106</v>
      </c>
      <c r="C819">
        <v>38</v>
      </c>
      <c r="D819">
        <v>9</v>
      </c>
      <c r="E819">
        <v>3</v>
      </c>
      <c r="F819" s="5" t="str">
        <f>IFERROR(ROUND(COUNTIFS(Tasks!$A:$A,$A819,Tasks!$B:$B,$B819,Tasks!$I:$I,"&lt;="&amp;INDEX(Weeks!$D:$D,MATCH($C819,Weeks!$A:$A,0)),Tasks!$I:$I,"&lt;&gt;")/COUNTIFS(Tasks!$A:$A,$A819,Tasks!$B:$B,$B819)*100,0),"")</f>
        <v/>
      </c>
      <c r="G819" s="5" t="str">
        <f>IFERROR(ROUND(COUNTIFS(Tasks!$A:$A,$A819,Tasks!$B:$B,$B819,Tasks!$H:$H,"&lt;="&amp;INDEX(Weeks!$D:$D,MATCH($C819,Weeks!$A:$A,0)))/COUNTIFS(Tasks!$A:$A,$A819,Tasks!$B:$B,$B819)*100,0),"")</f>
        <v/>
      </c>
      <c r="I819">
        <f>COUNTIFS(Tasks!$A:$A,$A819,Tasks!$B:$B,$B819,Tasks!$G:$G,"&lt;="&amp;INDEX(Weeks!$D:$D,MATCH($C819,Weeks!$A:$A,0)))-COUNTIFS(Tasks!$A:$A,$A819,Tasks!$B:$B,$B819,Tasks!$I:$I,"&lt;="&amp;INDEX(Weeks!$D:$D,MATCH($C819,Weeks!$A:$A,0)),Tasks!$I:$I,"&lt;&gt;")</f>
        <v>0</v>
      </c>
      <c r="J819">
        <f>COUNTIFS(Tasks!$A:$A,$A819,Tasks!$B:$B,$B819,
Tasks!$I:$I,"&gt;"&amp;IFERROR(INDEX(Weeks!$D:$D,MATCH($C819-1,Weeks!$A:$A,0)),DATE(2000,1,1)),
Tasks!$I:$I,"&lt;="&amp;INDEX(Weeks!$D:$D,MATCH($C819,Weeks!$A:$A,0)),
Tasks!$I:$I,"&lt;&gt;")</f>
        <v>0</v>
      </c>
    </row>
    <row r="820" spans="1:10" ht="15" customHeight="1">
      <c r="A820" t="s">
        <v>102</v>
      </c>
      <c r="B820" t="s">
        <v>106</v>
      </c>
      <c r="C820">
        <v>39</v>
      </c>
      <c r="D820">
        <v>9</v>
      </c>
      <c r="E820">
        <v>4</v>
      </c>
      <c r="F820" s="5" t="str">
        <f>IFERROR(ROUND(COUNTIFS(Tasks!$A:$A,$A820,Tasks!$B:$B,$B820,Tasks!$I:$I,"&lt;="&amp;INDEX(Weeks!$D:$D,MATCH($C820,Weeks!$A:$A,0)),Tasks!$I:$I,"&lt;&gt;")/COUNTIFS(Tasks!$A:$A,$A820,Tasks!$B:$B,$B820)*100,0),"")</f>
        <v/>
      </c>
      <c r="G820" s="5" t="str">
        <f>IFERROR(ROUND(COUNTIFS(Tasks!$A:$A,$A820,Tasks!$B:$B,$B820,Tasks!$H:$H,"&lt;="&amp;INDEX(Weeks!$D:$D,MATCH($C820,Weeks!$A:$A,0)))/COUNTIFS(Tasks!$A:$A,$A820,Tasks!$B:$B,$B820)*100,0),"")</f>
        <v/>
      </c>
      <c r="I820">
        <f>COUNTIFS(Tasks!$A:$A,$A820,Tasks!$B:$B,$B820,Tasks!$G:$G,"&lt;="&amp;INDEX(Weeks!$D:$D,MATCH($C820,Weeks!$A:$A,0)))-COUNTIFS(Tasks!$A:$A,$A820,Tasks!$B:$B,$B820,Tasks!$I:$I,"&lt;="&amp;INDEX(Weeks!$D:$D,MATCH($C820,Weeks!$A:$A,0)),Tasks!$I:$I,"&lt;&gt;")</f>
        <v>0</v>
      </c>
      <c r="J820">
        <f>COUNTIFS(Tasks!$A:$A,$A820,Tasks!$B:$B,$B820,
Tasks!$I:$I,"&gt;"&amp;IFERROR(INDEX(Weeks!$D:$D,MATCH($C820-1,Weeks!$A:$A,0)),DATE(2000,1,1)),
Tasks!$I:$I,"&lt;="&amp;INDEX(Weeks!$D:$D,MATCH($C820,Weeks!$A:$A,0)),
Tasks!$I:$I,"&lt;&gt;")</f>
        <v>0</v>
      </c>
    </row>
    <row r="821" spans="1:10" ht="15" customHeight="1">
      <c r="A821" t="s">
        <v>102</v>
      </c>
      <c r="B821" t="s">
        <v>106</v>
      </c>
      <c r="C821">
        <v>40</v>
      </c>
      <c r="D821">
        <v>10</v>
      </c>
      <c r="E821">
        <v>1</v>
      </c>
      <c r="F821" s="5" t="str">
        <f>IFERROR(ROUND(COUNTIFS(Tasks!$A:$A,$A821,Tasks!$B:$B,$B821,Tasks!$I:$I,"&lt;="&amp;INDEX(Weeks!$D:$D,MATCH($C821,Weeks!$A:$A,0)),Tasks!$I:$I,"&lt;&gt;")/COUNTIFS(Tasks!$A:$A,$A821,Tasks!$B:$B,$B821)*100,0),"")</f>
        <v/>
      </c>
      <c r="G821" s="5" t="str">
        <f>IFERROR(ROUND(COUNTIFS(Tasks!$A:$A,$A821,Tasks!$B:$B,$B821,Tasks!$H:$H,"&lt;="&amp;INDEX(Weeks!$D:$D,MATCH($C821,Weeks!$A:$A,0)))/COUNTIFS(Tasks!$A:$A,$A821,Tasks!$B:$B,$B821)*100,0),"")</f>
        <v/>
      </c>
      <c r="I821">
        <f>COUNTIFS(Tasks!$A:$A,$A821,Tasks!$B:$B,$B821,Tasks!$G:$G,"&lt;="&amp;INDEX(Weeks!$D:$D,MATCH($C821,Weeks!$A:$A,0)))-COUNTIFS(Tasks!$A:$A,$A821,Tasks!$B:$B,$B821,Tasks!$I:$I,"&lt;="&amp;INDEX(Weeks!$D:$D,MATCH($C821,Weeks!$A:$A,0)),Tasks!$I:$I,"&lt;&gt;")</f>
        <v>0</v>
      </c>
      <c r="J821">
        <f>COUNTIFS(Tasks!$A:$A,$A821,Tasks!$B:$B,$B821,
Tasks!$I:$I,"&gt;"&amp;IFERROR(INDEX(Weeks!$D:$D,MATCH($C821-1,Weeks!$A:$A,0)),DATE(2000,1,1)),
Tasks!$I:$I,"&lt;="&amp;INDEX(Weeks!$D:$D,MATCH($C821,Weeks!$A:$A,0)),
Tasks!$I:$I,"&lt;&gt;")</f>
        <v>0</v>
      </c>
    </row>
    <row r="822" spans="1:10" ht="15" customHeight="1">
      <c r="A822" t="s">
        <v>102</v>
      </c>
      <c r="B822" t="s">
        <v>106</v>
      </c>
      <c r="C822">
        <v>41</v>
      </c>
      <c r="D822">
        <v>10</v>
      </c>
      <c r="E822">
        <v>2</v>
      </c>
      <c r="F822" s="5" t="str">
        <f>IFERROR(ROUND(COUNTIFS(Tasks!$A:$A,$A822,Tasks!$B:$B,$B822,Tasks!$I:$I,"&lt;="&amp;INDEX(Weeks!$D:$D,MATCH($C822,Weeks!$A:$A,0)),Tasks!$I:$I,"&lt;&gt;")/COUNTIFS(Tasks!$A:$A,$A822,Tasks!$B:$B,$B822)*100,0),"")</f>
        <v/>
      </c>
      <c r="G822" s="5" t="str">
        <f>IFERROR(ROUND(COUNTIFS(Tasks!$A:$A,$A822,Tasks!$B:$B,$B822,Tasks!$H:$H,"&lt;="&amp;INDEX(Weeks!$D:$D,MATCH($C822,Weeks!$A:$A,0)))/COUNTIFS(Tasks!$A:$A,$A822,Tasks!$B:$B,$B822)*100,0),"")</f>
        <v/>
      </c>
      <c r="I822">
        <f>COUNTIFS(Tasks!$A:$A,$A822,Tasks!$B:$B,$B822,Tasks!$G:$G,"&lt;="&amp;INDEX(Weeks!$D:$D,MATCH($C822,Weeks!$A:$A,0)))-COUNTIFS(Tasks!$A:$A,$A822,Tasks!$B:$B,$B822,Tasks!$I:$I,"&lt;="&amp;INDEX(Weeks!$D:$D,MATCH($C822,Weeks!$A:$A,0)),Tasks!$I:$I,"&lt;&gt;")</f>
        <v>0</v>
      </c>
      <c r="J822">
        <f>COUNTIFS(Tasks!$A:$A,$A822,Tasks!$B:$B,$B822,
Tasks!$I:$I,"&gt;"&amp;IFERROR(INDEX(Weeks!$D:$D,MATCH($C822-1,Weeks!$A:$A,0)),DATE(2000,1,1)),
Tasks!$I:$I,"&lt;="&amp;INDEX(Weeks!$D:$D,MATCH($C822,Weeks!$A:$A,0)),
Tasks!$I:$I,"&lt;&gt;")</f>
        <v>0</v>
      </c>
    </row>
    <row r="823" spans="1:10" ht="15" customHeight="1">
      <c r="A823" t="s">
        <v>102</v>
      </c>
      <c r="B823" t="s">
        <v>106</v>
      </c>
      <c r="C823">
        <v>42</v>
      </c>
      <c r="D823">
        <v>10</v>
      </c>
      <c r="E823">
        <v>3</v>
      </c>
      <c r="F823" s="5" t="str">
        <f>IFERROR(ROUND(COUNTIFS(Tasks!$A:$A,$A823,Tasks!$B:$B,$B823,Tasks!$I:$I,"&lt;="&amp;INDEX(Weeks!$D:$D,MATCH($C823,Weeks!$A:$A,0)),Tasks!$I:$I,"&lt;&gt;")/COUNTIFS(Tasks!$A:$A,$A823,Tasks!$B:$B,$B823)*100,0),"")</f>
        <v/>
      </c>
      <c r="G823" s="5" t="str">
        <f>IFERROR(ROUND(COUNTIFS(Tasks!$A:$A,$A823,Tasks!$B:$B,$B823,Tasks!$H:$H,"&lt;="&amp;INDEX(Weeks!$D:$D,MATCH($C823,Weeks!$A:$A,0)))/COUNTIFS(Tasks!$A:$A,$A823,Tasks!$B:$B,$B823)*100,0),"")</f>
        <v/>
      </c>
      <c r="I823">
        <f>COUNTIFS(Tasks!$A:$A,$A823,Tasks!$B:$B,$B823,Tasks!$G:$G,"&lt;="&amp;INDEX(Weeks!$D:$D,MATCH($C823,Weeks!$A:$A,0)))-COUNTIFS(Tasks!$A:$A,$A823,Tasks!$B:$B,$B823,Tasks!$I:$I,"&lt;="&amp;INDEX(Weeks!$D:$D,MATCH($C823,Weeks!$A:$A,0)),Tasks!$I:$I,"&lt;&gt;")</f>
        <v>0</v>
      </c>
      <c r="J823">
        <f>COUNTIFS(Tasks!$A:$A,$A823,Tasks!$B:$B,$B823,
Tasks!$I:$I,"&gt;"&amp;IFERROR(INDEX(Weeks!$D:$D,MATCH($C823-1,Weeks!$A:$A,0)),DATE(2000,1,1)),
Tasks!$I:$I,"&lt;="&amp;INDEX(Weeks!$D:$D,MATCH($C823,Weeks!$A:$A,0)),
Tasks!$I:$I,"&lt;&gt;")</f>
        <v>0</v>
      </c>
    </row>
    <row r="824" spans="1:10" ht="15" customHeight="1">
      <c r="A824" t="s">
        <v>102</v>
      </c>
      <c r="B824" t="s">
        <v>106</v>
      </c>
      <c r="C824">
        <v>43</v>
      </c>
      <c r="D824">
        <v>10</v>
      </c>
      <c r="E824">
        <v>4</v>
      </c>
      <c r="F824" s="5" t="str">
        <f>IFERROR(ROUND(COUNTIFS(Tasks!$A:$A,$A824,Tasks!$B:$B,$B824,Tasks!$I:$I,"&lt;="&amp;INDEX(Weeks!$D:$D,MATCH($C824,Weeks!$A:$A,0)),Tasks!$I:$I,"&lt;&gt;")/COUNTIFS(Tasks!$A:$A,$A824,Tasks!$B:$B,$B824)*100,0),"")</f>
        <v/>
      </c>
      <c r="G824" s="5" t="str">
        <f>IFERROR(ROUND(COUNTIFS(Tasks!$A:$A,$A824,Tasks!$B:$B,$B824,Tasks!$H:$H,"&lt;="&amp;INDEX(Weeks!$D:$D,MATCH($C824,Weeks!$A:$A,0)))/COUNTIFS(Tasks!$A:$A,$A824,Tasks!$B:$B,$B824)*100,0),"")</f>
        <v/>
      </c>
      <c r="I824">
        <f>COUNTIFS(Tasks!$A:$A,$A824,Tasks!$B:$B,$B824,Tasks!$G:$G,"&lt;="&amp;INDEX(Weeks!$D:$D,MATCH($C824,Weeks!$A:$A,0)))-COUNTIFS(Tasks!$A:$A,$A824,Tasks!$B:$B,$B824,Tasks!$I:$I,"&lt;="&amp;INDEX(Weeks!$D:$D,MATCH($C824,Weeks!$A:$A,0)),Tasks!$I:$I,"&lt;&gt;")</f>
        <v>0</v>
      </c>
      <c r="J824">
        <f>COUNTIFS(Tasks!$A:$A,$A824,Tasks!$B:$B,$B824,
Tasks!$I:$I,"&gt;"&amp;IFERROR(INDEX(Weeks!$D:$D,MATCH($C824-1,Weeks!$A:$A,0)),DATE(2000,1,1)),
Tasks!$I:$I,"&lt;="&amp;INDEX(Weeks!$D:$D,MATCH($C824,Weeks!$A:$A,0)),
Tasks!$I:$I,"&lt;&gt;")</f>
        <v>0</v>
      </c>
    </row>
    <row r="825" spans="1:10" ht="15" customHeight="1">
      <c r="A825" t="s">
        <v>102</v>
      </c>
      <c r="B825" t="s">
        <v>106</v>
      </c>
      <c r="C825">
        <v>44</v>
      </c>
      <c r="D825">
        <v>10</v>
      </c>
      <c r="E825">
        <v>5</v>
      </c>
      <c r="F825" s="5" t="str">
        <f>IFERROR(ROUND(COUNTIFS(Tasks!$A:$A,$A825,Tasks!$B:$B,$B825,Tasks!$I:$I,"&lt;="&amp;INDEX(Weeks!$D:$D,MATCH($C825,Weeks!$A:$A,0)),Tasks!$I:$I,"&lt;&gt;")/COUNTIFS(Tasks!$A:$A,$A825,Tasks!$B:$B,$B825)*100,0),"")</f>
        <v/>
      </c>
      <c r="G825" s="5" t="str">
        <f>IFERROR(ROUND(COUNTIFS(Tasks!$A:$A,$A825,Tasks!$B:$B,$B825,Tasks!$H:$H,"&lt;="&amp;INDEX(Weeks!$D:$D,MATCH($C825,Weeks!$A:$A,0)))/COUNTIFS(Tasks!$A:$A,$A825,Tasks!$B:$B,$B825)*100,0),"")</f>
        <v/>
      </c>
      <c r="I825">
        <f>COUNTIFS(Tasks!$A:$A,$A825,Tasks!$B:$B,$B825,Tasks!$G:$G,"&lt;="&amp;INDEX(Weeks!$D:$D,MATCH($C825,Weeks!$A:$A,0)))-COUNTIFS(Tasks!$A:$A,$A825,Tasks!$B:$B,$B825,Tasks!$I:$I,"&lt;="&amp;INDEX(Weeks!$D:$D,MATCH($C825,Weeks!$A:$A,0)),Tasks!$I:$I,"&lt;&gt;")</f>
        <v>0</v>
      </c>
      <c r="J825">
        <f>COUNTIFS(Tasks!$A:$A,$A825,Tasks!$B:$B,$B825,
Tasks!$I:$I,"&gt;"&amp;IFERROR(INDEX(Weeks!$D:$D,MATCH($C825-1,Weeks!$A:$A,0)),DATE(2000,1,1)),
Tasks!$I:$I,"&lt;="&amp;INDEX(Weeks!$D:$D,MATCH($C825,Weeks!$A:$A,0)),
Tasks!$I:$I,"&lt;&gt;")</f>
        <v>0</v>
      </c>
    </row>
    <row r="826" spans="1:10" ht="15" customHeight="1">
      <c r="A826" t="s">
        <v>102</v>
      </c>
      <c r="B826" t="s">
        <v>106</v>
      </c>
      <c r="C826">
        <v>45</v>
      </c>
      <c r="D826">
        <v>11</v>
      </c>
      <c r="E826">
        <v>1</v>
      </c>
      <c r="F826" s="5" t="str">
        <f>IFERROR(ROUND(COUNTIFS(Tasks!$A:$A,$A826,Tasks!$B:$B,$B826,Tasks!$I:$I,"&lt;="&amp;INDEX(Weeks!$D:$D,MATCH($C826,Weeks!$A:$A,0)),Tasks!$I:$I,"&lt;&gt;")/COUNTIFS(Tasks!$A:$A,$A826,Tasks!$B:$B,$B826)*100,0),"")</f>
        <v/>
      </c>
      <c r="G826" s="5" t="str">
        <f>IFERROR(ROUND(COUNTIFS(Tasks!$A:$A,$A826,Tasks!$B:$B,$B826,Tasks!$H:$H,"&lt;="&amp;INDEX(Weeks!$D:$D,MATCH($C826,Weeks!$A:$A,0)))/COUNTIFS(Tasks!$A:$A,$A826,Tasks!$B:$B,$B826)*100,0),"")</f>
        <v/>
      </c>
      <c r="I826">
        <f>COUNTIFS(Tasks!$A:$A,$A826,Tasks!$B:$B,$B826,Tasks!$G:$G,"&lt;="&amp;INDEX(Weeks!$D:$D,MATCH($C826,Weeks!$A:$A,0)))-COUNTIFS(Tasks!$A:$A,$A826,Tasks!$B:$B,$B826,Tasks!$I:$I,"&lt;="&amp;INDEX(Weeks!$D:$D,MATCH($C826,Weeks!$A:$A,0)),Tasks!$I:$I,"&lt;&gt;")</f>
        <v>0</v>
      </c>
      <c r="J826">
        <f>COUNTIFS(Tasks!$A:$A,$A826,Tasks!$B:$B,$B826,
Tasks!$I:$I,"&gt;"&amp;IFERROR(INDEX(Weeks!$D:$D,MATCH($C826-1,Weeks!$A:$A,0)),DATE(2000,1,1)),
Tasks!$I:$I,"&lt;="&amp;INDEX(Weeks!$D:$D,MATCH($C826,Weeks!$A:$A,0)),
Tasks!$I:$I,"&lt;&gt;")</f>
        <v>0</v>
      </c>
    </row>
    <row r="827" spans="1:10" ht="15" customHeight="1">
      <c r="A827" t="s">
        <v>102</v>
      </c>
      <c r="B827" t="s">
        <v>106</v>
      </c>
      <c r="C827">
        <v>46</v>
      </c>
      <c r="D827">
        <v>11</v>
      </c>
      <c r="E827">
        <v>2</v>
      </c>
      <c r="F827" s="5" t="str">
        <f>IFERROR(ROUND(COUNTIFS(Tasks!$A:$A,$A827,Tasks!$B:$B,$B827,Tasks!$I:$I,"&lt;="&amp;INDEX(Weeks!$D:$D,MATCH($C827,Weeks!$A:$A,0)),Tasks!$I:$I,"&lt;&gt;")/COUNTIFS(Tasks!$A:$A,$A827,Tasks!$B:$B,$B827)*100,0),"")</f>
        <v/>
      </c>
      <c r="G827" s="5" t="str">
        <f>IFERROR(ROUND(COUNTIFS(Tasks!$A:$A,$A827,Tasks!$B:$B,$B827,Tasks!$H:$H,"&lt;="&amp;INDEX(Weeks!$D:$D,MATCH($C827,Weeks!$A:$A,0)))/COUNTIFS(Tasks!$A:$A,$A827,Tasks!$B:$B,$B827)*100,0),"")</f>
        <v/>
      </c>
      <c r="I827">
        <f>COUNTIFS(Tasks!$A:$A,$A827,Tasks!$B:$B,$B827,Tasks!$G:$G,"&lt;="&amp;INDEX(Weeks!$D:$D,MATCH($C827,Weeks!$A:$A,0)))-COUNTIFS(Tasks!$A:$A,$A827,Tasks!$B:$B,$B827,Tasks!$I:$I,"&lt;="&amp;INDEX(Weeks!$D:$D,MATCH($C827,Weeks!$A:$A,0)),Tasks!$I:$I,"&lt;&gt;")</f>
        <v>0</v>
      </c>
      <c r="J827">
        <f>COUNTIFS(Tasks!$A:$A,$A827,Tasks!$B:$B,$B827,
Tasks!$I:$I,"&gt;"&amp;IFERROR(INDEX(Weeks!$D:$D,MATCH($C827-1,Weeks!$A:$A,0)),DATE(2000,1,1)),
Tasks!$I:$I,"&lt;="&amp;INDEX(Weeks!$D:$D,MATCH($C827,Weeks!$A:$A,0)),
Tasks!$I:$I,"&lt;&gt;")</f>
        <v>0</v>
      </c>
    </row>
    <row r="828" spans="1:10" ht="15" customHeight="1">
      <c r="A828" t="s">
        <v>102</v>
      </c>
      <c r="B828" t="s">
        <v>106</v>
      </c>
      <c r="C828">
        <v>47</v>
      </c>
      <c r="D828">
        <v>11</v>
      </c>
      <c r="E828">
        <v>3</v>
      </c>
      <c r="F828" s="5" t="str">
        <f>IFERROR(ROUND(COUNTIFS(Tasks!$A:$A,$A828,Tasks!$B:$B,$B828,Tasks!$I:$I,"&lt;="&amp;INDEX(Weeks!$D:$D,MATCH($C828,Weeks!$A:$A,0)),Tasks!$I:$I,"&lt;&gt;")/COUNTIFS(Tasks!$A:$A,$A828,Tasks!$B:$B,$B828)*100,0),"")</f>
        <v/>
      </c>
      <c r="G828" s="5" t="str">
        <f>IFERROR(ROUND(COUNTIFS(Tasks!$A:$A,$A828,Tasks!$B:$B,$B828,Tasks!$H:$H,"&lt;="&amp;INDEX(Weeks!$D:$D,MATCH($C828,Weeks!$A:$A,0)))/COUNTIFS(Tasks!$A:$A,$A828,Tasks!$B:$B,$B828)*100,0),"")</f>
        <v/>
      </c>
      <c r="I828">
        <f>COUNTIFS(Tasks!$A:$A,$A828,Tasks!$B:$B,$B828,Tasks!$G:$G,"&lt;="&amp;INDEX(Weeks!$D:$D,MATCH($C828,Weeks!$A:$A,0)))-COUNTIFS(Tasks!$A:$A,$A828,Tasks!$B:$B,$B828,Tasks!$I:$I,"&lt;="&amp;INDEX(Weeks!$D:$D,MATCH($C828,Weeks!$A:$A,0)),Tasks!$I:$I,"&lt;&gt;")</f>
        <v>0</v>
      </c>
      <c r="J828">
        <f>COUNTIFS(Tasks!$A:$A,$A828,Tasks!$B:$B,$B828,
Tasks!$I:$I,"&gt;"&amp;IFERROR(INDEX(Weeks!$D:$D,MATCH($C828-1,Weeks!$A:$A,0)),DATE(2000,1,1)),
Tasks!$I:$I,"&lt;="&amp;INDEX(Weeks!$D:$D,MATCH($C828,Weeks!$A:$A,0)),
Tasks!$I:$I,"&lt;&gt;")</f>
        <v>0</v>
      </c>
    </row>
    <row r="829" spans="1:10" ht="15" customHeight="1">
      <c r="A829" t="s">
        <v>102</v>
      </c>
      <c r="B829" t="s">
        <v>106</v>
      </c>
      <c r="C829">
        <v>48</v>
      </c>
      <c r="D829">
        <v>11</v>
      </c>
      <c r="E829">
        <v>4</v>
      </c>
      <c r="F829" s="5" t="str">
        <f>IFERROR(ROUND(COUNTIFS(Tasks!$A:$A,$A829,Tasks!$B:$B,$B829,Tasks!$I:$I,"&lt;="&amp;INDEX(Weeks!$D:$D,MATCH($C829,Weeks!$A:$A,0)),Tasks!$I:$I,"&lt;&gt;")/COUNTIFS(Tasks!$A:$A,$A829,Tasks!$B:$B,$B829)*100,0),"")</f>
        <v/>
      </c>
      <c r="G829" s="5" t="str">
        <f>IFERROR(ROUND(COUNTIFS(Tasks!$A:$A,$A829,Tasks!$B:$B,$B829,Tasks!$H:$H,"&lt;="&amp;INDEX(Weeks!$D:$D,MATCH($C829,Weeks!$A:$A,0)))/COUNTIFS(Tasks!$A:$A,$A829,Tasks!$B:$B,$B829)*100,0),"")</f>
        <v/>
      </c>
      <c r="I829">
        <f>COUNTIFS(Tasks!$A:$A,$A829,Tasks!$B:$B,$B829,Tasks!$G:$G,"&lt;="&amp;INDEX(Weeks!$D:$D,MATCH($C829,Weeks!$A:$A,0)))-COUNTIFS(Tasks!$A:$A,$A829,Tasks!$B:$B,$B829,Tasks!$I:$I,"&lt;="&amp;INDEX(Weeks!$D:$D,MATCH($C829,Weeks!$A:$A,0)),Tasks!$I:$I,"&lt;&gt;")</f>
        <v>0</v>
      </c>
      <c r="J829">
        <f>COUNTIFS(Tasks!$A:$A,$A829,Tasks!$B:$B,$B829,
Tasks!$I:$I,"&gt;"&amp;IFERROR(INDEX(Weeks!$D:$D,MATCH($C829-1,Weeks!$A:$A,0)),DATE(2000,1,1)),
Tasks!$I:$I,"&lt;="&amp;INDEX(Weeks!$D:$D,MATCH($C829,Weeks!$A:$A,0)),
Tasks!$I:$I,"&lt;&gt;")</f>
        <v>0</v>
      </c>
    </row>
    <row r="830" spans="1:10" ht="15" customHeight="1">
      <c r="A830" t="s">
        <v>102</v>
      </c>
      <c r="B830" t="s">
        <v>106</v>
      </c>
      <c r="C830">
        <v>49</v>
      </c>
      <c r="D830">
        <v>12</v>
      </c>
      <c r="E830">
        <v>1</v>
      </c>
      <c r="F830" s="5" t="str">
        <f>IFERROR(ROUND(COUNTIFS(Tasks!$A:$A,$A830,Tasks!$B:$B,$B830,Tasks!$I:$I,"&lt;="&amp;INDEX(Weeks!$D:$D,MATCH($C830,Weeks!$A:$A,0)),Tasks!$I:$I,"&lt;&gt;")/COUNTIFS(Tasks!$A:$A,$A830,Tasks!$B:$B,$B830)*100,0),"")</f>
        <v/>
      </c>
      <c r="G830" s="5" t="str">
        <f>IFERROR(ROUND(COUNTIFS(Tasks!$A:$A,$A830,Tasks!$B:$B,$B830,Tasks!$H:$H,"&lt;="&amp;INDEX(Weeks!$D:$D,MATCH($C830,Weeks!$A:$A,0)))/COUNTIFS(Tasks!$A:$A,$A830,Tasks!$B:$B,$B830)*100,0),"")</f>
        <v/>
      </c>
      <c r="I830">
        <f>COUNTIFS(Tasks!$A:$A,$A830,Tasks!$B:$B,$B830,Tasks!$G:$G,"&lt;="&amp;INDEX(Weeks!$D:$D,MATCH($C830,Weeks!$A:$A,0)))-COUNTIFS(Tasks!$A:$A,$A830,Tasks!$B:$B,$B830,Tasks!$I:$I,"&lt;="&amp;INDEX(Weeks!$D:$D,MATCH($C830,Weeks!$A:$A,0)),Tasks!$I:$I,"&lt;&gt;")</f>
        <v>0</v>
      </c>
      <c r="J830">
        <f>COUNTIFS(Tasks!$A:$A,$A830,Tasks!$B:$B,$B830,
Tasks!$I:$I,"&gt;"&amp;IFERROR(INDEX(Weeks!$D:$D,MATCH($C830-1,Weeks!$A:$A,0)),DATE(2000,1,1)),
Tasks!$I:$I,"&lt;="&amp;INDEX(Weeks!$D:$D,MATCH($C830,Weeks!$A:$A,0)),
Tasks!$I:$I,"&lt;&gt;")</f>
        <v>0</v>
      </c>
    </row>
    <row r="831" spans="1:10" ht="15" customHeight="1">
      <c r="A831" t="s">
        <v>102</v>
      </c>
      <c r="B831" t="s">
        <v>106</v>
      </c>
      <c r="C831">
        <v>50</v>
      </c>
      <c r="D831">
        <v>12</v>
      </c>
      <c r="E831">
        <v>2</v>
      </c>
      <c r="F831" s="5" t="str">
        <f>IFERROR(ROUND(COUNTIFS(Tasks!$A:$A,$A831,Tasks!$B:$B,$B831,Tasks!$I:$I,"&lt;="&amp;INDEX(Weeks!$D:$D,MATCH($C831,Weeks!$A:$A,0)),Tasks!$I:$I,"&lt;&gt;")/COUNTIFS(Tasks!$A:$A,$A831,Tasks!$B:$B,$B831)*100,0),"")</f>
        <v/>
      </c>
      <c r="G831" s="5" t="str">
        <f>IFERROR(ROUND(COUNTIFS(Tasks!$A:$A,$A831,Tasks!$B:$B,$B831,Tasks!$H:$H,"&lt;="&amp;INDEX(Weeks!$D:$D,MATCH($C831,Weeks!$A:$A,0)))/COUNTIFS(Tasks!$A:$A,$A831,Tasks!$B:$B,$B831)*100,0),"")</f>
        <v/>
      </c>
      <c r="I831">
        <f>COUNTIFS(Tasks!$A:$A,$A831,Tasks!$B:$B,$B831,Tasks!$G:$G,"&lt;="&amp;INDEX(Weeks!$D:$D,MATCH($C831,Weeks!$A:$A,0)))-COUNTIFS(Tasks!$A:$A,$A831,Tasks!$B:$B,$B831,Tasks!$I:$I,"&lt;="&amp;INDEX(Weeks!$D:$D,MATCH($C831,Weeks!$A:$A,0)),Tasks!$I:$I,"&lt;&gt;")</f>
        <v>0</v>
      </c>
      <c r="J831">
        <f>COUNTIFS(Tasks!$A:$A,$A831,Tasks!$B:$B,$B831,
Tasks!$I:$I,"&gt;"&amp;IFERROR(INDEX(Weeks!$D:$D,MATCH($C831-1,Weeks!$A:$A,0)),DATE(2000,1,1)),
Tasks!$I:$I,"&lt;="&amp;INDEX(Weeks!$D:$D,MATCH($C831,Weeks!$A:$A,0)),
Tasks!$I:$I,"&lt;&gt;")</f>
        <v>0</v>
      </c>
    </row>
    <row r="832" spans="1:10" ht="15" customHeight="1">
      <c r="A832" t="s">
        <v>102</v>
      </c>
      <c r="B832" t="s">
        <v>106</v>
      </c>
      <c r="C832">
        <v>51</v>
      </c>
      <c r="D832">
        <v>12</v>
      </c>
      <c r="E832">
        <v>3</v>
      </c>
      <c r="F832" s="5" t="str">
        <f>IFERROR(ROUND(COUNTIFS(Tasks!$A:$A,$A832,Tasks!$B:$B,$B832,Tasks!$I:$I,"&lt;="&amp;INDEX(Weeks!$D:$D,MATCH($C832,Weeks!$A:$A,0)),Tasks!$I:$I,"&lt;&gt;")/COUNTIFS(Tasks!$A:$A,$A832,Tasks!$B:$B,$B832)*100,0),"")</f>
        <v/>
      </c>
      <c r="G832" s="5" t="str">
        <f>IFERROR(ROUND(COUNTIFS(Tasks!$A:$A,$A832,Tasks!$B:$B,$B832,Tasks!$H:$H,"&lt;="&amp;INDEX(Weeks!$D:$D,MATCH($C832,Weeks!$A:$A,0)))/COUNTIFS(Tasks!$A:$A,$A832,Tasks!$B:$B,$B832)*100,0),"")</f>
        <v/>
      </c>
      <c r="I832">
        <f>COUNTIFS(Tasks!$A:$A,$A832,Tasks!$B:$B,$B832,Tasks!$G:$G,"&lt;="&amp;INDEX(Weeks!$D:$D,MATCH($C832,Weeks!$A:$A,0)))-COUNTIFS(Tasks!$A:$A,$A832,Tasks!$B:$B,$B832,Tasks!$I:$I,"&lt;="&amp;INDEX(Weeks!$D:$D,MATCH($C832,Weeks!$A:$A,0)),Tasks!$I:$I,"&lt;&gt;")</f>
        <v>0</v>
      </c>
      <c r="J832">
        <f>COUNTIFS(Tasks!$A:$A,$A832,Tasks!$B:$B,$B832,
Tasks!$I:$I,"&gt;"&amp;IFERROR(INDEX(Weeks!$D:$D,MATCH($C832-1,Weeks!$A:$A,0)),DATE(2000,1,1)),
Tasks!$I:$I,"&lt;="&amp;INDEX(Weeks!$D:$D,MATCH($C832,Weeks!$A:$A,0)),
Tasks!$I:$I,"&lt;&gt;")</f>
        <v>0</v>
      </c>
    </row>
    <row r="833" spans="1:10" ht="15" customHeight="1">
      <c r="A833" t="s">
        <v>102</v>
      </c>
      <c r="B833" t="s">
        <v>106</v>
      </c>
      <c r="C833">
        <v>52</v>
      </c>
      <c r="D833">
        <v>12</v>
      </c>
      <c r="E833">
        <v>4</v>
      </c>
      <c r="F833" s="5" t="str">
        <f>IFERROR(ROUND(COUNTIFS(Tasks!$A:$A,$A833,Tasks!$B:$B,$B833,Tasks!$I:$I,"&lt;="&amp;INDEX(Weeks!$D:$D,MATCH($C833,Weeks!$A:$A,0)),Tasks!$I:$I,"&lt;&gt;")/COUNTIFS(Tasks!$A:$A,$A833,Tasks!$B:$B,$B833)*100,0),"")</f>
        <v/>
      </c>
      <c r="G833" s="5" t="str">
        <f>IFERROR(ROUND(COUNTIFS(Tasks!$A:$A,$A833,Tasks!$B:$B,$B833,Tasks!$H:$H,"&lt;="&amp;INDEX(Weeks!$D:$D,MATCH($C833,Weeks!$A:$A,0)))/COUNTIFS(Tasks!$A:$A,$A833,Tasks!$B:$B,$B833)*100,0),"")</f>
        <v/>
      </c>
      <c r="I833">
        <f>COUNTIFS(Tasks!$A:$A,$A833,Tasks!$B:$B,$B833,Tasks!$G:$G,"&lt;="&amp;INDEX(Weeks!$D:$D,MATCH($C833,Weeks!$A:$A,0)))-COUNTIFS(Tasks!$A:$A,$A833,Tasks!$B:$B,$B833,Tasks!$I:$I,"&lt;="&amp;INDEX(Weeks!$D:$D,MATCH($C833,Weeks!$A:$A,0)),Tasks!$I:$I,"&lt;&gt;")</f>
        <v>0</v>
      </c>
      <c r="J833">
        <f>COUNTIFS(Tasks!$A:$A,$A833,Tasks!$B:$B,$B833,
Tasks!$I:$I,"&gt;"&amp;IFERROR(INDEX(Weeks!$D:$D,MATCH($C833-1,Weeks!$A:$A,0)),DATE(2000,1,1)),
Tasks!$I:$I,"&lt;="&amp;INDEX(Weeks!$D:$D,MATCH($C833,Weeks!$A:$A,0)),
Tasks!$I:$I,"&lt;&gt;")</f>
        <v>0</v>
      </c>
    </row>
    <row r="834" spans="1:10" ht="15" customHeight="1">
      <c r="A834" t="s">
        <v>107</v>
      </c>
      <c r="B834" t="s">
        <v>108</v>
      </c>
      <c r="C834">
        <v>1</v>
      </c>
      <c r="D834">
        <v>1</v>
      </c>
      <c r="E834">
        <v>1</v>
      </c>
      <c r="F834" s="5" t="str">
        <f>IFERROR(ROUND(COUNTIFS(Tasks!$A:$A,$A834,Tasks!$B:$B,$B834,Tasks!$I:$I,"&lt;="&amp;INDEX(Weeks!$D:$D,MATCH($C834,Weeks!$A:$A,0)),Tasks!$I:$I,"&lt;&gt;")/COUNTIFS(Tasks!$A:$A,$A834,Tasks!$B:$B,$B834)*100,0),"")</f>
        <v/>
      </c>
      <c r="G834" s="5" t="str">
        <f>IFERROR(ROUND(COUNTIFS(Tasks!$A:$A,$A834,Tasks!$B:$B,$B834,Tasks!$H:$H,"&lt;="&amp;INDEX(Weeks!$D:$D,MATCH($C834,Weeks!$A:$A,0)))/COUNTIFS(Tasks!$A:$A,$A834,Tasks!$B:$B,$B834)*100,0),"")</f>
        <v/>
      </c>
      <c r="H834" t="s">
        <v>109</v>
      </c>
      <c r="I834">
        <f>COUNTIFS(Tasks!$A:$A,$A834,Tasks!$B:$B,$B834,Tasks!$G:$G,"&lt;="&amp;INDEX(Weeks!$D:$D,MATCH($C834,Weeks!$A:$A,0)))-COUNTIFS(Tasks!$A:$A,$A834,Tasks!$B:$B,$B834,Tasks!$I:$I,"&lt;="&amp;INDEX(Weeks!$D:$D,MATCH($C834,Weeks!$A:$A,0)),Tasks!$I:$I,"&lt;&gt;")</f>
        <v>0</v>
      </c>
      <c r="J834">
        <f>COUNTIFS(Tasks!$A:$A,$A834,Tasks!$B:$B,$B834,
Tasks!$I:$I,"&gt;"&amp;IFERROR(INDEX(Weeks!$D:$D,MATCH($C834-1,Weeks!$A:$A,0)),DATE(2000,1,1)),
Tasks!$I:$I,"&lt;="&amp;INDEX(Weeks!$D:$D,MATCH($C834,Weeks!$A:$A,0)),
Tasks!$I:$I,"&lt;&gt;")</f>
        <v>0</v>
      </c>
    </row>
    <row r="835" spans="1:10" ht="15" customHeight="1">
      <c r="A835" t="s">
        <v>107</v>
      </c>
      <c r="B835" t="s">
        <v>108</v>
      </c>
      <c r="C835">
        <v>2</v>
      </c>
      <c r="D835">
        <v>1</v>
      </c>
      <c r="E835">
        <v>2</v>
      </c>
      <c r="F835" s="5" t="str">
        <f>IFERROR(ROUND(COUNTIFS(Tasks!$A:$A,$A835,Tasks!$B:$B,$B835,Tasks!$I:$I,"&lt;="&amp;INDEX(Weeks!$D:$D,MATCH($C835,Weeks!$A:$A,0)),Tasks!$I:$I,"&lt;&gt;")/COUNTIFS(Tasks!$A:$A,$A835,Tasks!$B:$B,$B835)*100,0),"")</f>
        <v/>
      </c>
      <c r="G835" s="5" t="str">
        <f>IFERROR(ROUND(COUNTIFS(Tasks!$A:$A,$A835,Tasks!$B:$B,$B835,Tasks!$H:$H,"&lt;="&amp;INDEX(Weeks!$D:$D,MATCH($C835,Weeks!$A:$A,0)))/COUNTIFS(Tasks!$A:$A,$A835,Tasks!$B:$B,$B835)*100,0),"")</f>
        <v/>
      </c>
      <c r="H835" t="s">
        <v>109</v>
      </c>
      <c r="I835">
        <f>COUNTIFS(Tasks!$A:$A,$A835,Tasks!$B:$B,$B835,Tasks!$G:$G,"&lt;="&amp;INDEX(Weeks!$D:$D,MATCH($C835,Weeks!$A:$A,0)))-COUNTIFS(Tasks!$A:$A,$A835,Tasks!$B:$B,$B835,Tasks!$I:$I,"&lt;="&amp;INDEX(Weeks!$D:$D,MATCH($C835,Weeks!$A:$A,0)),Tasks!$I:$I,"&lt;&gt;")</f>
        <v>0</v>
      </c>
      <c r="J835">
        <f>COUNTIFS(Tasks!$A:$A,$A835,Tasks!$B:$B,$B835,
Tasks!$I:$I,"&gt;"&amp;IFERROR(INDEX(Weeks!$D:$D,MATCH($C835-1,Weeks!$A:$A,0)),DATE(2000,1,1)),
Tasks!$I:$I,"&lt;="&amp;INDEX(Weeks!$D:$D,MATCH($C835,Weeks!$A:$A,0)),
Tasks!$I:$I,"&lt;&gt;")</f>
        <v>0</v>
      </c>
    </row>
    <row r="836" spans="1:10" ht="15" customHeight="1">
      <c r="A836" t="s">
        <v>107</v>
      </c>
      <c r="B836" t="s">
        <v>108</v>
      </c>
      <c r="C836">
        <v>3</v>
      </c>
      <c r="D836">
        <v>1</v>
      </c>
      <c r="E836">
        <v>3</v>
      </c>
      <c r="F836" s="5" t="str">
        <f>IFERROR(ROUND(COUNTIFS(Tasks!$A:$A,$A836,Tasks!$B:$B,$B836,Tasks!$I:$I,"&lt;="&amp;INDEX(Weeks!$D:$D,MATCH($C836,Weeks!$A:$A,0)),Tasks!$I:$I,"&lt;&gt;")/COUNTIFS(Tasks!$A:$A,$A836,Tasks!$B:$B,$B836)*100,0),"")</f>
        <v/>
      </c>
      <c r="G836" s="5" t="str">
        <f>IFERROR(ROUND(COUNTIFS(Tasks!$A:$A,$A836,Tasks!$B:$B,$B836,Tasks!$H:$H,"&lt;="&amp;INDEX(Weeks!$D:$D,MATCH($C836,Weeks!$A:$A,0)))/COUNTIFS(Tasks!$A:$A,$A836,Tasks!$B:$B,$B836)*100,0),"")</f>
        <v/>
      </c>
      <c r="H836" t="s">
        <v>109</v>
      </c>
      <c r="I836">
        <f>COUNTIFS(Tasks!$A:$A,$A836,Tasks!$B:$B,$B836,Tasks!$G:$G,"&lt;="&amp;INDEX(Weeks!$D:$D,MATCH($C836,Weeks!$A:$A,0)))-COUNTIFS(Tasks!$A:$A,$A836,Tasks!$B:$B,$B836,Tasks!$I:$I,"&lt;="&amp;INDEX(Weeks!$D:$D,MATCH($C836,Weeks!$A:$A,0)),Tasks!$I:$I,"&lt;&gt;")</f>
        <v>0</v>
      </c>
      <c r="J836">
        <f>COUNTIFS(Tasks!$A:$A,$A836,Tasks!$B:$B,$B836,
Tasks!$I:$I,"&gt;"&amp;IFERROR(INDEX(Weeks!$D:$D,MATCH($C836-1,Weeks!$A:$A,0)),DATE(2000,1,1)),
Tasks!$I:$I,"&lt;="&amp;INDEX(Weeks!$D:$D,MATCH($C836,Weeks!$A:$A,0)),
Tasks!$I:$I,"&lt;&gt;")</f>
        <v>0</v>
      </c>
    </row>
    <row r="837" spans="1:10" ht="15" customHeight="1">
      <c r="A837" t="s">
        <v>107</v>
      </c>
      <c r="B837" t="s">
        <v>108</v>
      </c>
      <c r="C837">
        <v>4</v>
      </c>
      <c r="D837">
        <v>1</v>
      </c>
      <c r="E837">
        <v>4</v>
      </c>
      <c r="F837" s="5" t="str">
        <f>IFERROR(ROUND(COUNTIFS(Tasks!$A:$A,$A837,Tasks!$B:$B,$B837,Tasks!$I:$I,"&lt;="&amp;INDEX(Weeks!$D:$D,MATCH($C837,Weeks!$A:$A,0)),Tasks!$I:$I,"&lt;&gt;")/COUNTIFS(Tasks!$A:$A,$A837,Tasks!$B:$B,$B837)*100,0),"")</f>
        <v/>
      </c>
      <c r="G837" s="5" t="str">
        <f>IFERROR(ROUND(COUNTIFS(Tasks!$A:$A,$A837,Tasks!$B:$B,$B837,Tasks!$H:$H,"&lt;="&amp;INDEX(Weeks!$D:$D,MATCH($C837,Weeks!$A:$A,0)))/COUNTIFS(Tasks!$A:$A,$A837,Tasks!$B:$B,$B837)*100,0),"")</f>
        <v/>
      </c>
      <c r="H837" t="s">
        <v>109</v>
      </c>
      <c r="I837">
        <f>COUNTIFS(Tasks!$A:$A,$A837,Tasks!$B:$B,$B837,Tasks!$G:$G,"&lt;="&amp;INDEX(Weeks!$D:$D,MATCH($C837,Weeks!$A:$A,0)))-COUNTIFS(Tasks!$A:$A,$A837,Tasks!$B:$B,$B837,Tasks!$I:$I,"&lt;="&amp;INDEX(Weeks!$D:$D,MATCH($C837,Weeks!$A:$A,0)),Tasks!$I:$I,"&lt;&gt;")</f>
        <v>0</v>
      </c>
      <c r="J837">
        <f>COUNTIFS(Tasks!$A:$A,$A837,Tasks!$B:$B,$B837,
Tasks!$I:$I,"&gt;"&amp;IFERROR(INDEX(Weeks!$D:$D,MATCH($C837-1,Weeks!$A:$A,0)),DATE(2000,1,1)),
Tasks!$I:$I,"&lt;="&amp;INDEX(Weeks!$D:$D,MATCH($C837,Weeks!$A:$A,0)),
Tasks!$I:$I,"&lt;&gt;")</f>
        <v>0</v>
      </c>
    </row>
    <row r="838" spans="1:10" ht="15" customHeight="1">
      <c r="A838" t="s">
        <v>107</v>
      </c>
      <c r="B838" t="s">
        <v>108</v>
      </c>
      <c r="C838">
        <v>5</v>
      </c>
      <c r="D838">
        <v>1</v>
      </c>
      <c r="E838">
        <v>5</v>
      </c>
      <c r="F838" s="5" t="str">
        <f>IFERROR(ROUND(COUNTIFS(Tasks!$A:$A,$A838,Tasks!$B:$B,$B838,Tasks!$I:$I,"&lt;="&amp;INDEX(Weeks!$D:$D,MATCH($C838,Weeks!$A:$A,0)),Tasks!$I:$I,"&lt;&gt;")/COUNTIFS(Tasks!$A:$A,$A838,Tasks!$B:$B,$B838)*100,0),"")</f>
        <v/>
      </c>
      <c r="G838" s="5" t="str">
        <f>IFERROR(ROUND(COUNTIFS(Tasks!$A:$A,$A838,Tasks!$B:$B,$B838,Tasks!$H:$H,"&lt;="&amp;INDEX(Weeks!$D:$D,MATCH($C838,Weeks!$A:$A,0)))/COUNTIFS(Tasks!$A:$A,$A838,Tasks!$B:$B,$B838)*100,0),"")</f>
        <v/>
      </c>
      <c r="H838" t="s">
        <v>109</v>
      </c>
      <c r="I838">
        <f>COUNTIFS(Tasks!$A:$A,$A838,Tasks!$B:$B,$B838,Tasks!$G:$G,"&lt;="&amp;INDEX(Weeks!$D:$D,MATCH($C838,Weeks!$A:$A,0)))-COUNTIFS(Tasks!$A:$A,$A838,Tasks!$B:$B,$B838,Tasks!$I:$I,"&lt;="&amp;INDEX(Weeks!$D:$D,MATCH($C838,Weeks!$A:$A,0)),Tasks!$I:$I,"&lt;&gt;")</f>
        <v>0</v>
      </c>
      <c r="J838">
        <f>COUNTIFS(Tasks!$A:$A,$A838,Tasks!$B:$B,$B838,
Tasks!$I:$I,"&gt;"&amp;IFERROR(INDEX(Weeks!$D:$D,MATCH($C838-1,Weeks!$A:$A,0)),DATE(2000,1,1)),
Tasks!$I:$I,"&lt;="&amp;INDEX(Weeks!$D:$D,MATCH($C838,Weeks!$A:$A,0)),
Tasks!$I:$I,"&lt;&gt;")</f>
        <v>0</v>
      </c>
    </row>
    <row r="839" spans="1:10" ht="15" customHeight="1">
      <c r="A839" t="s">
        <v>107</v>
      </c>
      <c r="B839" t="s">
        <v>108</v>
      </c>
      <c r="C839">
        <v>6</v>
      </c>
      <c r="D839">
        <v>2</v>
      </c>
      <c r="E839">
        <v>1</v>
      </c>
      <c r="F839" s="5" t="str">
        <f>IFERROR(ROUND(COUNTIFS(Tasks!$A:$A,$A839,Tasks!$B:$B,$B839,Tasks!$I:$I,"&lt;="&amp;INDEX(Weeks!$D:$D,MATCH($C839,Weeks!$A:$A,0)),Tasks!$I:$I,"&lt;&gt;")/COUNTIFS(Tasks!$A:$A,$A839,Tasks!$B:$B,$B839)*100,0),"")</f>
        <v/>
      </c>
      <c r="G839" s="5" t="str">
        <f>IFERROR(ROUND(COUNTIFS(Tasks!$A:$A,$A839,Tasks!$B:$B,$B839,Tasks!$H:$H,"&lt;="&amp;INDEX(Weeks!$D:$D,MATCH($C839,Weeks!$A:$A,0)))/COUNTIFS(Tasks!$A:$A,$A839,Tasks!$B:$B,$B839)*100,0),"")</f>
        <v/>
      </c>
      <c r="H839" t="s">
        <v>109</v>
      </c>
      <c r="I839">
        <f>COUNTIFS(Tasks!$A:$A,$A839,Tasks!$B:$B,$B839,Tasks!$G:$G,"&lt;="&amp;INDEX(Weeks!$D:$D,MATCH($C839,Weeks!$A:$A,0)))-COUNTIFS(Tasks!$A:$A,$A839,Tasks!$B:$B,$B839,Tasks!$I:$I,"&lt;="&amp;INDEX(Weeks!$D:$D,MATCH($C839,Weeks!$A:$A,0)),Tasks!$I:$I,"&lt;&gt;")</f>
        <v>0</v>
      </c>
      <c r="J839">
        <f>COUNTIFS(Tasks!$A:$A,$A839,Tasks!$B:$B,$B839,
Tasks!$I:$I,"&gt;"&amp;IFERROR(INDEX(Weeks!$D:$D,MATCH($C839-1,Weeks!$A:$A,0)),DATE(2000,1,1)),
Tasks!$I:$I,"&lt;="&amp;INDEX(Weeks!$D:$D,MATCH($C839,Weeks!$A:$A,0)),
Tasks!$I:$I,"&lt;&gt;")</f>
        <v>0</v>
      </c>
    </row>
    <row r="840" spans="1:10" ht="15" customHeight="1">
      <c r="A840" t="s">
        <v>107</v>
      </c>
      <c r="B840" t="s">
        <v>108</v>
      </c>
      <c r="C840">
        <v>7</v>
      </c>
      <c r="D840">
        <v>2</v>
      </c>
      <c r="E840">
        <v>2</v>
      </c>
      <c r="F840" s="5" t="str">
        <f>IFERROR(ROUND(COUNTIFS(Tasks!$A:$A,$A840,Tasks!$B:$B,$B840,Tasks!$I:$I,"&lt;="&amp;INDEX(Weeks!$D:$D,MATCH($C840,Weeks!$A:$A,0)),Tasks!$I:$I,"&lt;&gt;")/COUNTIFS(Tasks!$A:$A,$A840,Tasks!$B:$B,$B840)*100,0),"")</f>
        <v/>
      </c>
      <c r="G840" s="5" t="str">
        <f>IFERROR(ROUND(COUNTIFS(Tasks!$A:$A,$A840,Tasks!$B:$B,$B840,Tasks!$H:$H,"&lt;="&amp;INDEX(Weeks!$D:$D,MATCH($C840,Weeks!$A:$A,0)))/COUNTIFS(Tasks!$A:$A,$A840,Tasks!$B:$B,$B840)*100,0),"")</f>
        <v/>
      </c>
      <c r="H840" t="s">
        <v>109</v>
      </c>
      <c r="I840">
        <f>COUNTIFS(Tasks!$A:$A,$A840,Tasks!$B:$B,$B840,Tasks!$G:$G,"&lt;="&amp;INDEX(Weeks!$D:$D,MATCH($C840,Weeks!$A:$A,0)))-COUNTIFS(Tasks!$A:$A,$A840,Tasks!$B:$B,$B840,Tasks!$I:$I,"&lt;="&amp;INDEX(Weeks!$D:$D,MATCH($C840,Weeks!$A:$A,0)),Tasks!$I:$I,"&lt;&gt;")</f>
        <v>0</v>
      </c>
      <c r="J840">
        <f>COUNTIFS(Tasks!$A:$A,$A840,Tasks!$B:$B,$B840,
Tasks!$I:$I,"&gt;"&amp;IFERROR(INDEX(Weeks!$D:$D,MATCH($C840-1,Weeks!$A:$A,0)),DATE(2000,1,1)),
Tasks!$I:$I,"&lt;="&amp;INDEX(Weeks!$D:$D,MATCH($C840,Weeks!$A:$A,0)),
Tasks!$I:$I,"&lt;&gt;")</f>
        <v>0</v>
      </c>
    </row>
    <row r="841" spans="1:10" ht="15" customHeight="1">
      <c r="A841" t="s">
        <v>107</v>
      </c>
      <c r="B841" t="s">
        <v>108</v>
      </c>
      <c r="C841">
        <v>8</v>
      </c>
      <c r="D841">
        <v>2</v>
      </c>
      <c r="E841">
        <v>3</v>
      </c>
      <c r="F841" s="5" t="str">
        <f>IFERROR(ROUND(COUNTIFS(Tasks!$A:$A,$A841,Tasks!$B:$B,$B841,Tasks!$I:$I,"&lt;="&amp;INDEX(Weeks!$D:$D,MATCH($C841,Weeks!$A:$A,0)),Tasks!$I:$I,"&lt;&gt;")/COUNTIFS(Tasks!$A:$A,$A841,Tasks!$B:$B,$B841)*100,0),"")</f>
        <v/>
      </c>
      <c r="G841" s="5" t="str">
        <f>IFERROR(ROUND(COUNTIFS(Tasks!$A:$A,$A841,Tasks!$B:$B,$B841,Tasks!$H:$H,"&lt;="&amp;INDEX(Weeks!$D:$D,MATCH($C841,Weeks!$A:$A,0)))/COUNTIFS(Tasks!$A:$A,$A841,Tasks!$B:$B,$B841)*100,0),"")</f>
        <v/>
      </c>
      <c r="H841" t="s">
        <v>109</v>
      </c>
      <c r="I841">
        <f>COUNTIFS(Tasks!$A:$A,$A841,Tasks!$B:$B,$B841,Tasks!$G:$G,"&lt;="&amp;INDEX(Weeks!$D:$D,MATCH($C841,Weeks!$A:$A,0)))-COUNTIFS(Tasks!$A:$A,$A841,Tasks!$B:$B,$B841,Tasks!$I:$I,"&lt;="&amp;INDEX(Weeks!$D:$D,MATCH($C841,Weeks!$A:$A,0)),Tasks!$I:$I,"&lt;&gt;")</f>
        <v>0</v>
      </c>
      <c r="J841">
        <f>COUNTIFS(Tasks!$A:$A,$A841,Tasks!$B:$B,$B841,
Tasks!$I:$I,"&gt;"&amp;IFERROR(INDEX(Weeks!$D:$D,MATCH($C841-1,Weeks!$A:$A,0)),DATE(2000,1,1)),
Tasks!$I:$I,"&lt;="&amp;INDEX(Weeks!$D:$D,MATCH($C841,Weeks!$A:$A,0)),
Tasks!$I:$I,"&lt;&gt;")</f>
        <v>0</v>
      </c>
    </row>
    <row r="842" spans="1:10" ht="15" customHeight="1">
      <c r="A842" t="s">
        <v>107</v>
      </c>
      <c r="B842" t="s">
        <v>108</v>
      </c>
      <c r="C842">
        <v>9</v>
      </c>
      <c r="D842">
        <v>2</v>
      </c>
      <c r="E842">
        <v>4</v>
      </c>
      <c r="F842" s="5" t="str">
        <f>IFERROR(ROUND(COUNTIFS(Tasks!$A:$A,$A842,Tasks!$B:$B,$B842,Tasks!$I:$I,"&lt;="&amp;INDEX(Weeks!$D:$D,MATCH($C842,Weeks!$A:$A,0)),Tasks!$I:$I,"&lt;&gt;")/COUNTIFS(Tasks!$A:$A,$A842,Tasks!$B:$B,$B842)*100,0),"")</f>
        <v/>
      </c>
      <c r="G842" s="5" t="str">
        <f>IFERROR(ROUND(COUNTIFS(Tasks!$A:$A,$A842,Tasks!$B:$B,$B842,Tasks!$H:$H,"&lt;="&amp;INDEX(Weeks!$D:$D,MATCH($C842,Weeks!$A:$A,0)))/COUNTIFS(Tasks!$A:$A,$A842,Tasks!$B:$B,$B842)*100,0),"")</f>
        <v/>
      </c>
      <c r="H842" t="s">
        <v>109</v>
      </c>
      <c r="I842">
        <f>COUNTIFS(Tasks!$A:$A,$A842,Tasks!$B:$B,$B842,Tasks!$G:$G,"&lt;="&amp;INDEX(Weeks!$D:$D,MATCH($C842,Weeks!$A:$A,0)))-COUNTIFS(Tasks!$A:$A,$A842,Tasks!$B:$B,$B842,Tasks!$I:$I,"&lt;="&amp;INDEX(Weeks!$D:$D,MATCH($C842,Weeks!$A:$A,0)),Tasks!$I:$I,"&lt;&gt;")</f>
        <v>0</v>
      </c>
      <c r="J842">
        <f>COUNTIFS(Tasks!$A:$A,$A842,Tasks!$B:$B,$B842,
Tasks!$I:$I,"&gt;"&amp;IFERROR(INDEX(Weeks!$D:$D,MATCH($C842-1,Weeks!$A:$A,0)),DATE(2000,1,1)),
Tasks!$I:$I,"&lt;="&amp;INDEX(Weeks!$D:$D,MATCH($C842,Weeks!$A:$A,0)),
Tasks!$I:$I,"&lt;&gt;")</f>
        <v>0</v>
      </c>
    </row>
    <row r="843" spans="1:10" ht="15" customHeight="1">
      <c r="A843" t="s">
        <v>107</v>
      </c>
      <c r="B843" t="s">
        <v>108</v>
      </c>
      <c r="C843">
        <v>10</v>
      </c>
      <c r="D843">
        <v>3</v>
      </c>
      <c r="E843">
        <v>1</v>
      </c>
      <c r="F843" s="5" t="str">
        <f>IFERROR(ROUND(COUNTIFS(Tasks!$A:$A,$A843,Tasks!$B:$B,$B843,Tasks!$I:$I,"&lt;="&amp;INDEX(Weeks!$D:$D,MATCH($C843,Weeks!$A:$A,0)),Tasks!$I:$I,"&lt;&gt;")/COUNTIFS(Tasks!$A:$A,$A843,Tasks!$B:$B,$B843)*100,0),"")</f>
        <v/>
      </c>
      <c r="G843" s="5" t="str">
        <f>IFERROR(ROUND(COUNTIFS(Tasks!$A:$A,$A843,Tasks!$B:$B,$B843,Tasks!$H:$H,"&lt;="&amp;INDEX(Weeks!$D:$D,MATCH($C843,Weeks!$A:$A,0)))/COUNTIFS(Tasks!$A:$A,$A843,Tasks!$B:$B,$B843)*100,0),"")</f>
        <v/>
      </c>
      <c r="H843" t="s">
        <v>109</v>
      </c>
      <c r="I843">
        <f>COUNTIFS(Tasks!$A:$A,$A843,Tasks!$B:$B,$B843,Tasks!$G:$G,"&lt;="&amp;INDEX(Weeks!$D:$D,MATCH($C843,Weeks!$A:$A,0)))-COUNTIFS(Tasks!$A:$A,$A843,Tasks!$B:$B,$B843,Tasks!$I:$I,"&lt;="&amp;INDEX(Weeks!$D:$D,MATCH($C843,Weeks!$A:$A,0)),Tasks!$I:$I,"&lt;&gt;")</f>
        <v>0</v>
      </c>
      <c r="J843">
        <f>COUNTIFS(Tasks!$A:$A,$A843,Tasks!$B:$B,$B843,
Tasks!$I:$I,"&gt;"&amp;IFERROR(INDEX(Weeks!$D:$D,MATCH($C843-1,Weeks!$A:$A,0)),DATE(2000,1,1)),
Tasks!$I:$I,"&lt;="&amp;INDEX(Weeks!$D:$D,MATCH($C843,Weeks!$A:$A,0)),
Tasks!$I:$I,"&lt;&gt;")</f>
        <v>0</v>
      </c>
    </row>
    <row r="844" spans="1:10" ht="15" customHeight="1">
      <c r="A844" t="s">
        <v>107</v>
      </c>
      <c r="B844" t="s">
        <v>108</v>
      </c>
      <c r="C844">
        <v>11</v>
      </c>
      <c r="D844">
        <v>3</v>
      </c>
      <c r="E844">
        <v>2</v>
      </c>
      <c r="F844" s="5" t="str">
        <f>IFERROR(ROUND(COUNTIFS(Tasks!$A:$A,$A844,Tasks!$B:$B,$B844,Tasks!$I:$I,"&lt;="&amp;INDEX(Weeks!$D:$D,MATCH($C844,Weeks!$A:$A,0)),Tasks!$I:$I,"&lt;&gt;")/COUNTIFS(Tasks!$A:$A,$A844,Tasks!$B:$B,$B844)*100,0),"")</f>
        <v/>
      </c>
      <c r="G844" s="5" t="str">
        <f>IFERROR(ROUND(COUNTIFS(Tasks!$A:$A,$A844,Tasks!$B:$B,$B844,Tasks!$H:$H,"&lt;="&amp;INDEX(Weeks!$D:$D,MATCH($C844,Weeks!$A:$A,0)))/COUNTIFS(Tasks!$A:$A,$A844,Tasks!$B:$B,$B844)*100,0),"")</f>
        <v/>
      </c>
      <c r="H844" t="s">
        <v>109</v>
      </c>
      <c r="I844">
        <f>COUNTIFS(Tasks!$A:$A,$A844,Tasks!$B:$B,$B844,Tasks!$G:$G,"&lt;="&amp;INDEX(Weeks!$D:$D,MATCH($C844,Weeks!$A:$A,0)))-COUNTIFS(Tasks!$A:$A,$A844,Tasks!$B:$B,$B844,Tasks!$I:$I,"&lt;="&amp;INDEX(Weeks!$D:$D,MATCH($C844,Weeks!$A:$A,0)),Tasks!$I:$I,"&lt;&gt;")</f>
        <v>0</v>
      </c>
      <c r="J844">
        <f>COUNTIFS(Tasks!$A:$A,$A844,Tasks!$B:$B,$B844,
Tasks!$I:$I,"&gt;"&amp;IFERROR(INDEX(Weeks!$D:$D,MATCH($C844-1,Weeks!$A:$A,0)),DATE(2000,1,1)),
Tasks!$I:$I,"&lt;="&amp;INDEX(Weeks!$D:$D,MATCH($C844,Weeks!$A:$A,0)),
Tasks!$I:$I,"&lt;&gt;")</f>
        <v>0</v>
      </c>
    </row>
    <row r="845" spans="1:10" ht="15" customHeight="1">
      <c r="A845" t="s">
        <v>107</v>
      </c>
      <c r="B845" t="s">
        <v>108</v>
      </c>
      <c r="C845">
        <v>12</v>
      </c>
      <c r="D845">
        <v>3</v>
      </c>
      <c r="E845">
        <v>3</v>
      </c>
      <c r="F845" s="5" t="str">
        <f>IFERROR(ROUND(COUNTIFS(Tasks!$A:$A,$A845,Tasks!$B:$B,$B845,Tasks!$I:$I,"&lt;="&amp;INDEX(Weeks!$D:$D,MATCH($C845,Weeks!$A:$A,0)),Tasks!$I:$I,"&lt;&gt;")/COUNTIFS(Tasks!$A:$A,$A845,Tasks!$B:$B,$B845)*100,0),"")</f>
        <v/>
      </c>
      <c r="G845" s="5" t="str">
        <f>IFERROR(ROUND(COUNTIFS(Tasks!$A:$A,$A845,Tasks!$B:$B,$B845,Tasks!$H:$H,"&lt;="&amp;INDEX(Weeks!$D:$D,MATCH($C845,Weeks!$A:$A,0)))/COUNTIFS(Tasks!$A:$A,$A845,Tasks!$B:$B,$B845)*100,0),"")</f>
        <v/>
      </c>
      <c r="H845" t="s">
        <v>109</v>
      </c>
      <c r="I845">
        <f>COUNTIFS(Tasks!$A:$A,$A845,Tasks!$B:$B,$B845,Tasks!$G:$G,"&lt;="&amp;INDEX(Weeks!$D:$D,MATCH($C845,Weeks!$A:$A,0)))-COUNTIFS(Tasks!$A:$A,$A845,Tasks!$B:$B,$B845,Tasks!$I:$I,"&lt;="&amp;INDEX(Weeks!$D:$D,MATCH($C845,Weeks!$A:$A,0)),Tasks!$I:$I,"&lt;&gt;")</f>
        <v>0</v>
      </c>
      <c r="J845">
        <f>COUNTIFS(Tasks!$A:$A,$A845,Tasks!$B:$B,$B845,
Tasks!$I:$I,"&gt;"&amp;IFERROR(INDEX(Weeks!$D:$D,MATCH($C845-1,Weeks!$A:$A,0)),DATE(2000,1,1)),
Tasks!$I:$I,"&lt;="&amp;INDEX(Weeks!$D:$D,MATCH($C845,Weeks!$A:$A,0)),
Tasks!$I:$I,"&lt;&gt;")</f>
        <v>0</v>
      </c>
    </row>
    <row r="846" spans="1:10" ht="15" customHeight="1">
      <c r="A846" t="s">
        <v>107</v>
      </c>
      <c r="B846" t="s">
        <v>108</v>
      </c>
      <c r="C846">
        <v>13</v>
      </c>
      <c r="D846">
        <v>3</v>
      </c>
      <c r="E846">
        <v>4</v>
      </c>
      <c r="F846" s="5" t="str">
        <f>IFERROR(ROUND(COUNTIFS(Tasks!$A:$A,$A846,Tasks!$B:$B,$B846,Tasks!$I:$I,"&lt;="&amp;INDEX(Weeks!$D:$D,MATCH($C846,Weeks!$A:$A,0)),Tasks!$I:$I,"&lt;&gt;")/COUNTIFS(Tasks!$A:$A,$A846,Tasks!$B:$B,$B846)*100,0),"")</f>
        <v/>
      </c>
      <c r="G846" s="5" t="str">
        <f>IFERROR(ROUND(COUNTIFS(Tasks!$A:$A,$A846,Tasks!$B:$B,$B846,Tasks!$H:$H,"&lt;="&amp;INDEX(Weeks!$D:$D,MATCH($C846,Weeks!$A:$A,0)))/COUNTIFS(Tasks!$A:$A,$A846,Tasks!$B:$B,$B846)*100,0),"")</f>
        <v/>
      </c>
      <c r="H846" t="s">
        <v>109</v>
      </c>
      <c r="I846">
        <f>COUNTIFS(Tasks!$A:$A,$A846,Tasks!$B:$B,$B846,Tasks!$G:$G,"&lt;="&amp;INDEX(Weeks!$D:$D,MATCH($C846,Weeks!$A:$A,0)))-COUNTIFS(Tasks!$A:$A,$A846,Tasks!$B:$B,$B846,Tasks!$I:$I,"&lt;="&amp;INDEX(Weeks!$D:$D,MATCH($C846,Weeks!$A:$A,0)),Tasks!$I:$I,"&lt;&gt;")</f>
        <v>0</v>
      </c>
      <c r="J846">
        <f>COUNTIFS(Tasks!$A:$A,$A846,Tasks!$B:$B,$B846,
Tasks!$I:$I,"&gt;"&amp;IFERROR(INDEX(Weeks!$D:$D,MATCH($C846-1,Weeks!$A:$A,0)),DATE(2000,1,1)),
Tasks!$I:$I,"&lt;="&amp;INDEX(Weeks!$D:$D,MATCH($C846,Weeks!$A:$A,0)),
Tasks!$I:$I,"&lt;&gt;")</f>
        <v>0</v>
      </c>
    </row>
    <row r="847" spans="1:10" ht="15" customHeight="1">
      <c r="A847" t="s">
        <v>107</v>
      </c>
      <c r="B847" t="s">
        <v>108</v>
      </c>
      <c r="C847">
        <v>14</v>
      </c>
      <c r="D847">
        <v>4</v>
      </c>
      <c r="E847">
        <v>1</v>
      </c>
      <c r="F847" s="5" t="str">
        <f>IFERROR(ROUND(COUNTIFS(Tasks!$A:$A,$A847,Tasks!$B:$B,$B847,Tasks!$I:$I,"&lt;="&amp;INDEX(Weeks!$D:$D,MATCH($C847,Weeks!$A:$A,0)),Tasks!$I:$I,"&lt;&gt;")/COUNTIFS(Tasks!$A:$A,$A847,Tasks!$B:$B,$B847)*100,0),"")</f>
        <v/>
      </c>
      <c r="G847" s="5" t="str">
        <f>IFERROR(ROUND(COUNTIFS(Tasks!$A:$A,$A847,Tasks!$B:$B,$B847,Tasks!$H:$H,"&lt;="&amp;INDEX(Weeks!$D:$D,MATCH($C847,Weeks!$A:$A,0)))/COUNTIFS(Tasks!$A:$A,$A847,Tasks!$B:$B,$B847)*100,0),"")</f>
        <v/>
      </c>
      <c r="H847" t="s">
        <v>109</v>
      </c>
      <c r="I847">
        <f>COUNTIFS(Tasks!$A:$A,$A847,Tasks!$B:$B,$B847,Tasks!$G:$G,"&lt;="&amp;INDEX(Weeks!$D:$D,MATCH($C847,Weeks!$A:$A,0)))-COUNTIFS(Tasks!$A:$A,$A847,Tasks!$B:$B,$B847,Tasks!$I:$I,"&lt;="&amp;INDEX(Weeks!$D:$D,MATCH($C847,Weeks!$A:$A,0)),Tasks!$I:$I,"&lt;&gt;")</f>
        <v>0</v>
      </c>
      <c r="J847">
        <f>COUNTIFS(Tasks!$A:$A,$A847,Tasks!$B:$B,$B847,
Tasks!$I:$I,"&gt;"&amp;IFERROR(INDEX(Weeks!$D:$D,MATCH($C847-1,Weeks!$A:$A,0)),DATE(2000,1,1)),
Tasks!$I:$I,"&lt;="&amp;INDEX(Weeks!$D:$D,MATCH($C847,Weeks!$A:$A,0)),
Tasks!$I:$I,"&lt;&gt;")</f>
        <v>0</v>
      </c>
    </row>
    <row r="848" spans="1:10" ht="15" customHeight="1">
      <c r="A848" t="s">
        <v>107</v>
      </c>
      <c r="B848" t="s">
        <v>108</v>
      </c>
      <c r="C848">
        <v>15</v>
      </c>
      <c r="D848">
        <v>4</v>
      </c>
      <c r="E848">
        <v>2</v>
      </c>
      <c r="F848" s="5" t="str">
        <f>IFERROR(ROUND(COUNTIFS(Tasks!$A:$A,$A848,Tasks!$B:$B,$B848,Tasks!$I:$I,"&lt;="&amp;INDEX(Weeks!$D:$D,MATCH($C848,Weeks!$A:$A,0)),Tasks!$I:$I,"&lt;&gt;")/COUNTIFS(Tasks!$A:$A,$A848,Tasks!$B:$B,$B848)*100,0),"")</f>
        <v/>
      </c>
      <c r="G848" s="5" t="str">
        <f>IFERROR(ROUND(COUNTIFS(Tasks!$A:$A,$A848,Tasks!$B:$B,$B848,Tasks!$H:$H,"&lt;="&amp;INDEX(Weeks!$D:$D,MATCH($C848,Weeks!$A:$A,0)))/COUNTIFS(Tasks!$A:$A,$A848,Tasks!$B:$B,$B848)*100,0),"")</f>
        <v/>
      </c>
      <c r="H848" t="s">
        <v>109</v>
      </c>
      <c r="I848">
        <f>COUNTIFS(Tasks!$A:$A,$A848,Tasks!$B:$B,$B848,Tasks!$G:$G,"&lt;="&amp;INDEX(Weeks!$D:$D,MATCH($C848,Weeks!$A:$A,0)))-COUNTIFS(Tasks!$A:$A,$A848,Tasks!$B:$B,$B848,Tasks!$I:$I,"&lt;="&amp;INDEX(Weeks!$D:$D,MATCH($C848,Weeks!$A:$A,0)),Tasks!$I:$I,"&lt;&gt;")</f>
        <v>0</v>
      </c>
      <c r="J848">
        <f>COUNTIFS(Tasks!$A:$A,$A848,Tasks!$B:$B,$B848,
Tasks!$I:$I,"&gt;"&amp;IFERROR(INDEX(Weeks!$D:$D,MATCH($C848-1,Weeks!$A:$A,0)),DATE(2000,1,1)),
Tasks!$I:$I,"&lt;="&amp;INDEX(Weeks!$D:$D,MATCH($C848,Weeks!$A:$A,0)),
Tasks!$I:$I,"&lt;&gt;")</f>
        <v>0</v>
      </c>
    </row>
    <row r="849" spans="1:10" ht="15" customHeight="1">
      <c r="A849" t="s">
        <v>107</v>
      </c>
      <c r="B849" t="s">
        <v>108</v>
      </c>
      <c r="C849">
        <v>16</v>
      </c>
      <c r="D849">
        <v>4</v>
      </c>
      <c r="E849">
        <v>3</v>
      </c>
      <c r="F849" s="5" t="str">
        <f>IFERROR(ROUND(COUNTIFS(Tasks!$A:$A,$A849,Tasks!$B:$B,$B849,Tasks!$I:$I,"&lt;="&amp;INDEX(Weeks!$D:$D,MATCH($C849,Weeks!$A:$A,0)),Tasks!$I:$I,"&lt;&gt;")/COUNTIFS(Tasks!$A:$A,$A849,Tasks!$B:$B,$B849)*100,0),"")</f>
        <v/>
      </c>
      <c r="G849" s="5" t="str">
        <f>IFERROR(ROUND(COUNTIFS(Tasks!$A:$A,$A849,Tasks!$B:$B,$B849,Tasks!$H:$H,"&lt;="&amp;INDEX(Weeks!$D:$D,MATCH($C849,Weeks!$A:$A,0)))/COUNTIFS(Tasks!$A:$A,$A849,Tasks!$B:$B,$B849)*100,0),"")</f>
        <v/>
      </c>
      <c r="H849" t="s">
        <v>109</v>
      </c>
      <c r="I849">
        <f>COUNTIFS(Tasks!$A:$A,$A849,Tasks!$B:$B,$B849,Tasks!$G:$G,"&lt;="&amp;INDEX(Weeks!$D:$D,MATCH($C849,Weeks!$A:$A,0)))-COUNTIFS(Tasks!$A:$A,$A849,Tasks!$B:$B,$B849,Tasks!$I:$I,"&lt;="&amp;INDEX(Weeks!$D:$D,MATCH($C849,Weeks!$A:$A,0)),Tasks!$I:$I,"&lt;&gt;")</f>
        <v>0</v>
      </c>
      <c r="J849">
        <f>COUNTIFS(Tasks!$A:$A,$A849,Tasks!$B:$B,$B849,
Tasks!$I:$I,"&gt;"&amp;IFERROR(INDEX(Weeks!$D:$D,MATCH($C849-1,Weeks!$A:$A,0)),DATE(2000,1,1)),
Tasks!$I:$I,"&lt;="&amp;INDEX(Weeks!$D:$D,MATCH($C849,Weeks!$A:$A,0)),
Tasks!$I:$I,"&lt;&gt;")</f>
        <v>0</v>
      </c>
    </row>
    <row r="850" spans="1:10" ht="15" customHeight="1">
      <c r="A850" t="s">
        <v>107</v>
      </c>
      <c r="B850" t="s">
        <v>108</v>
      </c>
      <c r="C850">
        <v>17</v>
      </c>
      <c r="D850">
        <v>4</v>
      </c>
      <c r="E850">
        <v>4</v>
      </c>
      <c r="F850" s="5" t="str">
        <f>IFERROR(ROUND(COUNTIFS(Tasks!$A:$A,$A850,Tasks!$B:$B,$B850,Tasks!$I:$I,"&lt;="&amp;INDEX(Weeks!$D:$D,MATCH($C850,Weeks!$A:$A,0)),Tasks!$I:$I,"&lt;&gt;")/COUNTIFS(Tasks!$A:$A,$A850,Tasks!$B:$B,$B850)*100,0),"")</f>
        <v/>
      </c>
      <c r="G850" s="5" t="str">
        <f>IFERROR(ROUND(COUNTIFS(Tasks!$A:$A,$A850,Tasks!$B:$B,$B850,Tasks!$H:$H,"&lt;="&amp;INDEX(Weeks!$D:$D,MATCH($C850,Weeks!$A:$A,0)))/COUNTIFS(Tasks!$A:$A,$A850,Tasks!$B:$B,$B850)*100,0),"")</f>
        <v/>
      </c>
      <c r="H850" t="s">
        <v>109</v>
      </c>
      <c r="I850">
        <f>COUNTIFS(Tasks!$A:$A,$A850,Tasks!$B:$B,$B850,Tasks!$G:$G,"&lt;="&amp;INDEX(Weeks!$D:$D,MATCH($C850,Weeks!$A:$A,0)))-COUNTIFS(Tasks!$A:$A,$A850,Tasks!$B:$B,$B850,Tasks!$I:$I,"&lt;="&amp;INDEX(Weeks!$D:$D,MATCH($C850,Weeks!$A:$A,0)),Tasks!$I:$I,"&lt;&gt;")</f>
        <v>0</v>
      </c>
      <c r="J850">
        <f>COUNTIFS(Tasks!$A:$A,$A850,Tasks!$B:$B,$B850,
Tasks!$I:$I,"&gt;"&amp;IFERROR(INDEX(Weeks!$D:$D,MATCH($C850-1,Weeks!$A:$A,0)),DATE(2000,1,1)),
Tasks!$I:$I,"&lt;="&amp;INDEX(Weeks!$D:$D,MATCH($C850,Weeks!$A:$A,0)),
Tasks!$I:$I,"&lt;&gt;")</f>
        <v>0</v>
      </c>
    </row>
    <row r="851" spans="1:10" ht="15" customHeight="1">
      <c r="A851" t="s">
        <v>107</v>
      </c>
      <c r="B851" t="s">
        <v>108</v>
      </c>
      <c r="C851">
        <v>18</v>
      </c>
      <c r="D851">
        <v>5</v>
      </c>
      <c r="E851">
        <v>1</v>
      </c>
      <c r="F851" s="5" t="str">
        <f>IFERROR(ROUND(COUNTIFS(Tasks!$A:$A,$A851,Tasks!$B:$B,$B851,Tasks!$I:$I,"&lt;="&amp;INDEX(Weeks!$D:$D,MATCH($C851,Weeks!$A:$A,0)),Tasks!$I:$I,"&lt;&gt;")/COUNTIFS(Tasks!$A:$A,$A851,Tasks!$B:$B,$B851)*100,0),"")</f>
        <v/>
      </c>
      <c r="G851" s="5" t="str">
        <f>IFERROR(ROUND(COUNTIFS(Tasks!$A:$A,$A851,Tasks!$B:$B,$B851,Tasks!$H:$H,"&lt;="&amp;INDEX(Weeks!$D:$D,MATCH($C851,Weeks!$A:$A,0)))/COUNTIFS(Tasks!$A:$A,$A851,Tasks!$B:$B,$B851)*100,0),"")</f>
        <v/>
      </c>
      <c r="H851" t="s">
        <v>109</v>
      </c>
      <c r="I851">
        <f>COUNTIFS(Tasks!$A:$A,$A851,Tasks!$B:$B,$B851,Tasks!$G:$G,"&lt;="&amp;INDEX(Weeks!$D:$D,MATCH($C851,Weeks!$A:$A,0)))-COUNTIFS(Tasks!$A:$A,$A851,Tasks!$B:$B,$B851,Tasks!$I:$I,"&lt;="&amp;INDEX(Weeks!$D:$D,MATCH($C851,Weeks!$A:$A,0)),Tasks!$I:$I,"&lt;&gt;")</f>
        <v>0</v>
      </c>
      <c r="J851">
        <f>COUNTIFS(Tasks!$A:$A,$A851,Tasks!$B:$B,$B851,
Tasks!$I:$I,"&gt;"&amp;IFERROR(INDEX(Weeks!$D:$D,MATCH($C851-1,Weeks!$A:$A,0)),DATE(2000,1,1)),
Tasks!$I:$I,"&lt;="&amp;INDEX(Weeks!$D:$D,MATCH($C851,Weeks!$A:$A,0)),
Tasks!$I:$I,"&lt;&gt;")</f>
        <v>0</v>
      </c>
    </row>
    <row r="852" spans="1:10" ht="15" customHeight="1">
      <c r="A852" t="s">
        <v>107</v>
      </c>
      <c r="B852" t="s">
        <v>108</v>
      </c>
      <c r="C852">
        <v>19</v>
      </c>
      <c r="D852">
        <v>5</v>
      </c>
      <c r="E852">
        <v>2</v>
      </c>
      <c r="F852" s="5" t="str">
        <f>IFERROR(ROUND(COUNTIFS(Tasks!$A:$A,$A852,Tasks!$B:$B,$B852,Tasks!$I:$I,"&lt;="&amp;INDEX(Weeks!$D:$D,MATCH($C852,Weeks!$A:$A,0)),Tasks!$I:$I,"&lt;&gt;")/COUNTIFS(Tasks!$A:$A,$A852,Tasks!$B:$B,$B852)*100,0),"")</f>
        <v/>
      </c>
      <c r="G852" s="5" t="str">
        <f>IFERROR(ROUND(COUNTIFS(Tasks!$A:$A,$A852,Tasks!$B:$B,$B852,Tasks!$H:$H,"&lt;="&amp;INDEX(Weeks!$D:$D,MATCH($C852,Weeks!$A:$A,0)))/COUNTIFS(Tasks!$A:$A,$A852,Tasks!$B:$B,$B852)*100,0),"")</f>
        <v/>
      </c>
      <c r="H852" t="s">
        <v>109</v>
      </c>
      <c r="I852">
        <f>COUNTIFS(Tasks!$A:$A,$A852,Tasks!$B:$B,$B852,Tasks!$G:$G,"&lt;="&amp;INDEX(Weeks!$D:$D,MATCH($C852,Weeks!$A:$A,0)))-COUNTIFS(Tasks!$A:$A,$A852,Tasks!$B:$B,$B852,Tasks!$I:$I,"&lt;="&amp;INDEX(Weeks!$D:$D,MATCH($C852,Weeks!$A:$A,0)),Tasks!$I:$I,"&lt;&gt;")</f>
        <v>0</v>
      </c>
      <c r="J852">
        <f>COUNTIFS(Tasks!$A:$A,$A852,Tasks!$B:$B,$B852,
Tasks!$I:$I,"&gt;"&amp;IFERROR(INDEX(Weeks!$D:$D,MATCH($C852-1,Weeks!$A:$A,0)),DATE(2000,1,1)),
Tasks!$I:$I,"&lt;="&amp;INDEX(Weeks!$D:$D,MATCH($C852,Weeks!$A:$A,0)),
Tasks!$I:$I,"&lt;&gt;")</f>
        <v>0</v>
      </c>
    </row>
    <row r="853" spans="1:10" ht="15" customHeight="1">
      <c r="A853" t="s">
        <v>107</v>
      </c>
      <c r="B853" t="s">
        <v>108</v>
      </c>
      <c r="C853">
        <v>20</v>
      </c>
      <c r="D853">
        <v>5</v>
      </c>
      <c r="E853">
        <v>3</v>
      </c>
      <c r="F853" s="5" t="str">
        <f>IFERROR(ROUND(COUNTIFS(Tasks!$A:$A,$A853,Tasks!$B:$B,$B853,Tasks!$I:$I,"&lt;="&amp;INDEX(Weeks!$D:$D,MATCH($C853,Weeks!$A:$A,0)),Tasks!$I:$I,"&lt;&gt;")/COUNTIFS(Tasks!$A:$A,$A853,Tasks!$B:$B,$B853)*100,0),"")</f>
        <v/>
      </c>
      <c r="G853" s="5" t="str">
        <f>IFERROR(ROUND(COUNTIFS(Tasks!$A:$A,$A853,Tasks!$B:$B,$B853,Tasks!$H:$H,"&lt;="&amp;INDEX(Weeks!$D:$D,MATCH($C853,Weeks!$A:$A,0)))/COUNTIFS(Tasks!$A:$A,$A853,Tasks!$B:$B,$B853)*100,0),"")</f>
        <v/>
      </c>
      <c r="H853" t="s">
        <v>109</v>
      </c>
      <c r="I853">
        <f>COUNTIFS(Tasks!$A:$A,$A853,Tasks!$B:$B,$B853,Tasks!$G:$G,"&lt;="&amp;INDEX(Weeks!$D:$D,MATCH($C853,Weeks!$A:$A,0)))-COUNTIFS(Tasks!$A:$A,$A853,Tasks!$B:$B,$B853,Tasks!$I:$I,"&lt;="&amp;INDEX(Weeks!$D:$D,MATCH($C853,Weeks!$A:$A,0)),Tasks!$I:$I,"&lt;&gt;")</f>
        <v>0</v>
      </c>
      <c r="J853">
        <f>COUNTIFS(Tasks!$A:$A,$A853,Tasks!$B:$B,$B853,
Tasks!$I:$I,"&gt;"&amp;IFERROR(INDEX(Weeks!$D:$D,MATCH($C853-1,Weeks!$A:$A,0)),DATE(2000,1,1)),
Tasks!$I:$I,"&lt;="&amp;INDEX(Weeks!$D:$D,MATCH($C853,Weeks!$A:$A,0)),
Tasks!$I:$I,"&lt;&gt;")</f>
        <v>0</v>
      </c>
    </row>
    <row r="854" spans="1:10" ht="15" customHeight="1">
      <c r="A854" t="s">
        <v>107</v>
      </c>
      <c r="B854" t="s">
        <v>108</v>
      </c>
      <c r="C854">
        <v>21</v>
      </c>
      <c r="D854">
        <v>5</v>
      </c>
      <c r="E854">
        <v>4</v>
      </c>
      <c r="F854" s="5" t="str">
        <f>IFERROR(ROUND(COUNTIFS(Tasks!$A:$A,$A854,Tasks!$B:$B,$B854,Tasks!$I:$I,"&lt;="&amp;INDEX(Weeks!$D:$D,MATCH($C854,Weeks!$A:$A,0)),Tasks!$I:$I,"&lt;&gt;")/COUNTIFS(Tasks!$A:$A,$A854,Tasks!$B:$B,$B854)*100,0),"")</f>
        <v/>
      </c>
      <c r="G854" s="5" t="str">
        <f>IFERROR(ROUND(COUNTIFS(Tasks!$A:$A,$A854,Tasks!$B:$B,$B854,Tasks!$H:$H,"&lt;="&amp;INDEX(Weeks!$D:$D,MATCH($C854,Weeks!$A:$A,0)))/COUNTIFS(Tasks!$A:$A,$A854,Tasks!$B:$B,$B854)*100,0),"")</f>
        <v/>
      </c>
      <c r="H854" t="s">
        <v>109</v>
      </c>
      <c r="I854">
        <f>COUNTIFS(Tasks!$A:$A,$A854,Tasks!$B:$B,$B854,Tasks!$G:$G,"&lt;="&amp;INDEX(Weeks!$D:$D,MATCH($C854,Weeks!$A:$A,0)))-COUNTIFS(Tasks!$A:$A,$A854,Tasks!$B:$B,$B854,Tasks!$I:$I,"&lt;="&amp;INDEX(Weeks!$D:$D,MATCH($C854,Weeks!$A:$A,0)),Tasks!$I:$I,"&lt;&gt;")</f>
        <v>0</v>
      </c>
      <c r="J854">
        <f>COUNTIFS(Tasks!$A:$A,$A854,Tasks!$B:$B,$B854,
Tasks!$I:$I,"&gt;"&amp;IFERROR(INDEX(Weeks!$D:$D,MATCH($C854-1,Weeks!$A:$A,0)),DATE(2000,1,1)),
Tasks!$I:$I,"&lt;="&amp;INDEX(Weeks!$D:$D,MATCH($C854,Weeks!$A:$A,0)),
Tasks!$I:$I,"&lt;&gt;")</f>
        <v>0</v>
      </c>
    </row>
    <row r="855" spans="1:10" ht="15" customHeight="1">
      <c r="A855" t="s">
        <v>107</v>
      </c>
      <c r="B855" t="s">
        <v>108</v>
      </c>
      <c r="C855">
        <v>22</v>
      </c>
      <c r="D855">
        <v>5</v>
      </c>
      <c r="E855">
        <v>5</v>
      </c>
      <c r="F855" s="5" t="str">
        <f>IFERROR(ROUND(COUNTIFS(Tasks!$A:$A,$A855,Tasks!$B:$B,$B855,Tasks!$I:$I,"&lt;="&amp;INDEX(Weeks!$D:$D,MATCH($C855,Weeks!$A:$A,0)),Tasks!$I:$I,"&lt;&gt;")/COUNTIFS(Tasks!$A:$A,$A855,Tasks!$B:$B,$B855)*100,0),"")</f>
        <v/>
      </c>
      <c r="G855" s="5" t="str">
        <f>IFERROR(ROUND(COUNTIFS(Tasks!$A:$A,$A855,Tasks!$B:$B,$B855,Tasks!$H:$H,"&lt;="&amp;INDEX(Weeks!$D:$D,MATCH($C855,Weeks!$A:$A,0)))/COUNTIFS(Tasks!$A:$A,$A855,Tasks!$B:$B,$B855)*100,0),"")</f>
        <v/>
      </c>
      <c r="H855" t="s">
        <v>109</v>
      </c>
      <c r="I855">
        <f>COUNTIFS(Tasks!$A:$A,$A855,Tasks!$B:$B,$B855,Tasks!$G:$G,"&lt;="&amp;INDEX(Weeks!$D:$D,MATCH($C855,Weeks!$A:$A,0)))-COUNTIFS(Tasks!$A:$A,$A855,Tasks!$B:$B,$B855,Tasks!$I:$I,"&lt;="&amp;INDEX(Weeks!$D:$D,MATCH($C855,Weeks!$A:$A,0)),Tasks!$I:$I,"&lt;&gt;")</f>
        <v>0</v>
      </c>
      <c r="J855">
        <f>COUNTIFS(Tasks!$A:$A,$A855,Tasks!$B:$B,$B855,
Tasks!$I:$I,"&gt;"&amp;IFERROR(INDEX(Weeks!$D:$D,MATCH($C855-1,Weeks!$A:$A,0)),DATE(2000,1,1)),
Tasks!$I:$I,"&lt;="&amp;INDEX(Weeks!$D:$D,MATCH($C855,Weeks!$A:$A,0)),
Tasks!$I:$I,"&lt;&gt;")</f>
        <v>0</v>
      </c>
    </row>
    <row r="856" spans="1:10" ht="15" customHeight="1">
      <c r="A856" t="s">
        <v>107</v>
      </c>
      <c r="B856" t="s">
        <v>108</v>
      </c>
      <c r="C856">
        <v>23</v>
      </c>
      <c r="D856">
        <v>6</v>
      </c>
      <c r="E856">
        <v>1</v>
      </c>
      <c r="F856" s="5" t="str">
        <f>IFERROR(ROUND(COUNTIFS(Tasks!$A:$A,$A856,Tasks!$B:$B,$B856,Tasks!$I:$I,"&lt;="&amp;INDEX(Weeks!$D:$D,MATCH($C856,Weeks!$A:$A,0)),Tasks!$I:$I,"&lt;&gt;")/COUNTIFS(Tasks!$A:$A,$A856,Tasks!$B:$B,$B856)*100,0),"")</f>
        <v/>
      </c>
      <c r="G856" s="5" t="str">
        <f>IFERROR(ROUND(COUNTIFS(Tasks!$A:$A,$A856,Tasks!$B:$B,$B856,Tasks!$H:$H,"&lt;="&amp;INDEX(Weeks!$D:$D,MATCH($C856,Weeks!$A:$A,0)))/COUNTIFS(Tasks!$A:$A,$A856,Tasks!$B:$B,$B856)*100,0),"")</f>
        <v/>
      </c>
      <c r="H856" t="s">
        <v>109</v>
      </c>
      <c r="I856">
        <f>COUNTIFS(Tasks!$A:$A,$A856,Tasks!$B:$B,$B856,Tasks!$G:$G,"&lt;="&amp;INDEX(Weeks!$D:$D,MATCH($C856,Weeks!$A:$A,0)))-COUNTIFS(Tasks!$A:$A,$A856,Tasks!$B:$B,$B856,Tasks!$I:$I,"&lt;="&amp;INDEX(Weeks!$D:$D,MATCH($C856,Weeks!$A:$A,0)),Tasks!$I:$I,"&lt;&gt;")</f>
        <v>0</v>
      </c>
      <c r="J856">
        <f>COUNTIFS(Tasks!$A:$A,$A856,Tasks!$B:$B,$B856,
Tasks!$I:$I,"&gt;"&amp;IFERROR(INDEX(Weeks!$D:$D,MATCH($C856-1,Weeks!$A:$A,0)),DATE(2000,1,1)),
Tasks!$I:$I,"&lt;="&amp;INDEX(Weeks!$D:$D,MATCH($C856,Weeks!$A:$A,0)),
Tasks!$I:$I,"&lt;&gt;")</f>
        <v>0</v>
      </c>
    </row>
    <row r="857" spans="1:10" ht="15" customHeight="1">
      <c r="A857" t="s">
        <v>107</v>
      </c>
      <c r="B857" t="s">
        <v>108</v>
      </c>
      <c r="C857">
        <v>24</v>
      </c>
      <c r="D857">
        <v>6</v>
      </c>
      <c r="E857">
        <v>2</v>
      </c>
      <c r="F857" s="5" t="str">
        <f>IFERROR(ROUND(COUNTIFS(Tasks!$A:$A,$A857,Tasks!$B:$B,$B857,Tasks!$I:$I,"&lt;="&amp;INDEX(Weeks!$D:$D,MATCH($C857,Weeks!$A:$A,0)),Tasks!$I:$I,"&lt;&gt;")/COUNTIFS(Tasks!$A:$A,$A857,Tasks!$B:$B,$B857)*100,0),"")</f>
        <v/>
      </c>
      <c r="G857" s="5" t="str">
        <f>IFERROR(ROUND(COUNTIFS(Tasks!$A:$A,$A857,Tasks!$B:$B,$B857,Tasks!$H:$H,"&lt;="&amp;INDEX(Weeks!$D:$D,MATCH($C857,Weeks!$A:$A,0)))/COUNTIFS(Tasks!$A:$A,$A857,Tasks!$B:$B,$B857)*100,0),"")</f>
        <v/>
      </c>
      <c r="H857" t="s">
        <v>109</v>
      </c>
      <c r="I857">
        <f>COUNTIFS(Tasks!$A:$A,$A857,Tasks!$B:$B,$B857,Tasks!$G:$G,"&lt;="&amp;INDEX(Weeks!$D:$D,MATCH($C857,Weeks!$A:$A,0)))-COUNTIFS(Tasks!$A:$A,$A857,Tasks!$B:$B,$B857,Tasks!$I:$I,"&lt;="&amp;INDEX(Weeks!$D:$D,MATCH($C857,Weeks!$A:$A,0)),Tasks!$I:$I,"&lt;&gt;")</f>
        <v>0</v>
      </c>
      <c r="J857">
        <f>COUNTIFS(Tasks!$A:$A,$A857,Tasks!$B:$B,$B857,
Tasks!$I:$I,"&gt;"&amp;IFERROR(INDEX(Weeks!$D:$D,MATCH($C857-1,Weeks!$A:$A,0)),DATE(2000,1,1)),
Tasks!$I:$I,"&lt;="&amp;INDEX(Weeks!$D:$D,MATCH($C857,Weeks!$A:$A,0)),
Tasks!$I:$I,"&lt;&gt;")</f>
        <v>0</v>
      </c>
    </row>
    <row r="858" spans="1:10" ht="15" customHeight="1">
      <c r="A858" t="s">
        <v>107</v>
      </c>
      <c r="B858" t="s">
        <v>108</v>
      </c>
      <c r="C858">
        <v>25</v>
      </c>
      <c r="D858">
        <v>6</v>
      </c>
      <c r="E858">
        <v>3</v>
      </c>
      <c r="F858" s="5" t="str">
        <f>IFERROR(ROUND(COUNTIFS(Tasks!$A:$A,$A858,Tasks!$B:$B,$B858,Tasks!$I:$I,"&lt;="&amp;INDEX(Weeks!$D:$D,MATCH($C858,Weeks!$A:$A,0)),Tasks!$I:$I,"&lt;&gt;")/COUNTIFS(Tasks!$A:$A,$A858,Tasks!$B:$B,$B858)*100,0),"")</f>
        <v/>
      </c>
      <c r="G858" s="5" t="str">
        <f>IFERROR(ROUND(COUNTIFS(Tasks!$A:$A,$A858,Tasks!$B:$B,$B858,Tasks!$H:$H,"&lt;="&amp;INDEX(Weeks!$D:$D,MATCH($C858,Weeks!$A:$A,0)))/COUNTIFS(Tasks!$A:$A,$A858,Tasks!$B:$B,$B858)*100,0),"")</f>
        <v/>
      </c>
      <c r="I858">
        <f>COUNTIFS(Tasks!$A:$A,$A858,Tasks!$B:$B,$B858,Tasks!$G:$G,"&lt;="&amp;INDEX(Weeks!$D:$D,MATCH($C858,Weeks!$A:$A,0)))-COUNTIFS(Tasks!$A:$A,$A858,Tasks!$B:$B,$B858,Tasks!$I:$I,"&lt;="&amp;INDEX(Weeks!$D:$D,MATCH($C858,Weeks!$A:$A,0)),Tasks!$I:$I,"&lt;&gt;")</f>
        <v>0</v>
      </c>
      <c r="J858">
        <f>COUNTIFS(Tasks!$A:$A,$A858,Tasks!$B:$B,$B858,
Tasks!$I:$I,"&gt;"&amp;IFERROR(INDEX(Weeks!$D:$D,MATCH($C858-1,Weeks!$A:$A,0)),DATE(2000,1,1)),
Tasks!$I:$I,"&lt;="&amp;INDEX(Weeks!$D:$D,MATCH($C858,Weeks!$A:$A,0)),
Tasks!$I:$I,"&lt;&gt;")</f>
        <v>0</v>
      </c>
    </row>
    <row r="859" spans="1:10" ht="15" customHeight="1">
      <c r="A859" t="s">
        <v>107</v>
      </c>
      <c r="B859" t="s">
        <v>108</v>
      </c>
      <c r="C859">
        <v>26</v>
      </c>
      <c r="D859">
        <v>6</v>
      </c>
      <c r="E859">
        <v>4</v>
      </c>
      <c r="F859" s="5" t="str">
        <f>IFERROR(ROUND(COUNTIFS(Tasks!$A:$A,$A859,Tasks!$B:$B,$B859,Tasks!$I:$I,"&lt;="&amp;INDEX(Weeks!$D:$D,MATCH($C859,Weeks!$A:$A,0)),Tasks!$I:$I,"&lt;&gt;")/COUNTIFS(Tasks!$A:$A,$A859,Tasks!$B:$B,$B859)*100,0),"")</f>
        <v/>
      </c>
      <c r="G859" s="5" t="str">
        <f>IFERROR(ROUND(COUNTIFS(Tasks!$A:$A,$A859,Tasks!$B:$B,$B859,Tasks!$H:$H,"&lt;="&amp;INDEX(Weeks!$D:$D,MATCH($C859,Weeks!$A:$A,0)))/COUNTIFS(Tasks!$A:$A,$A859,Tasks!$B:$B,$B859)*100,0),"")</f>
        <v/>
      </c>
      <c r="I859">
        <f>COUNTIFS(Tasks!$A:$A,$A859,Tasks!$B:$B,$B859,Tasks!$G:$G,"&lt;="&amp;INDEX(Weeks!$D:$D,MATCH($C859,Weeks!$A:$A,0)))-COUNTIFS(Tasks!$A:$A,$A859,Tasks!$B:$B,$B859,Tasks!$I:$I,"&lt;="&amp;INDEX(Weeks!$D:$D,MATCH($C859,Weeks!$A:$A,0)),Tasks!$I:$I,"&lt;&gt;")</f>
        <v>0</v>
      </c>
      <c r="J859">
        <f>COUNTIFS(Tasks!$A:$A,$A859,Tasks!$B:$B,$B859,
Tasks!$I:$I,"&gt;"&amp;IFERROR(INDEX(Weeks!$D:$D,MATCH($C859-1,Weeks!$A:$A,0)),DATE(2000,1,1)),
Tasks!$I:$I,"&lt;="&amp;INDEX(Weeks!$D:$D,MATCH($C859,Weeks!$A:$A,0)),
Tasks!$I:$I,"&lt;&gt;")</f>
        <v>0</v>
      </c>
    </row>
    <row r="860" spans="1:10" ht="15" customHeight="1">
      <c r="A860" t="s">
        <v>107</v>
      </c>
      <c r="B860" t="s">
        <v>108</v>
      </c>
      <c r="C860">
        <v>27</v>
      </c>
      <c r="D860">
        <v>7</v>
      </c>
      <c r="E860">
        <v>1</v>
      </c>
      <c r="F860" s="5" t="str">
        <f>IFERROR(ROUND(COUNTIFS(Tasks!$A:$A,$A860,Tasks!$B:$B,$B860,Tasks!$I:$I,"&lt;="&amp;INDEX(Weeks!$D:$D,MATCH($C860,Weeks!$A:$A,0)),Tasks!$I:$I,"&lt;&gt;")/COUNTIFS(Tasks!$A:$A,$A860,Tasks!$B:$B,$B860)*100,0),"")</f>
        <v/>
      </c>
      <c r="G860" s="5" t="str">
        <f>IFERROR(ROUND(COUNTIFS(Tasks!$A:$A,$A860,Tasks!$B:$B,$B860,Tasks!$H:$H,"&lt;="&amp;INDEX(Weeks!$D:$D,MATCH($C860,Weeks!$A:$A,0)))/COUNTIFS(Tasks!$A:$A,$A860,Tasks!$B:$B,$B860)*100,0),"")</f>
        <v/>
      </c>
      <c r="I860">
        <f>COUNTIFS(Tasks!$A:$A,$A860,Tasks!$B:$B,$B860,Tasks!$G:$G,"&lt;="&amp;INDEX(Weeks!$D:$D,MATCH($C860,Weeks!$A:$A,0)))-COUNTIFS(Tasks!$A:$A,$A860,Tasks!$B:$B,$B860,Tasks!$I:$I,"&lt;="&amp;INDEX(Weeks!$D:$D,MATCH($C860,Weeks!$A:$A,0)),Tasks!$I:$I,"&lt;&gt;")</f>
        <v>0</v>
      </c>
      <c r="J860">
        <f>COUNTIFS(Tasks!$A:$A,$A860,Tasks!$B:$B,$B860,
Tasks!$I:$I,"&gt;"&amp;IFERROR(INDEX(Weeks!$D:$D,MATCH($C860-1,Weeks!$A:$A,0)),DATE(2000,1,1)),
Tasks!$I:$I,"&lt;="&amp;INDEX(Weeks!$D:$D,MATCH($C860,Weeks!$A:$A,0)),
Tasks!$I:$I,"&lt;&gt;")</f>
        <v>0</v>
      </c>
    </row>
    <row r="861" spans="1:10" ht="15" customHeight="1">
      <c r="A861" t="s">
        <v>107</v>
      </c>
      <c r="B861" t="s">
        <v>108</v>
      </c>
      <c r="C861">
        <v>28</v>
      </c>
      <c r="D861">
        <v>7</v>
      </c>
      <c r="E861">
        <v>2</v>
      </c>
      <c r="F861" s="5" t="str">
        <f>IFERROR(ROUND(COUNTIFS(Tasks!$A:$A,$A861,Tasks!$B:$B,$B861,Tasks!$I:$I,"&lt;="&amp;INDEX(Weeks!$D:$D,MATCH($C861,Weeks!$A:$A,0)),Tasks!$I:$I,"&lt;&gt;")/COUNTIFS(Tasks!$A:$A,$A861,Tasks!$B:$B,$B861)*100,0),"")</f>
        <v/>
      </c>
      <c r="G861" s="5" t="str">
        <f>IFERROR(ROUND(COUNTIFS(Tasks!$A:$A,$A861,Tasks!$B:$B,$B861,Tasks!$H:$H,"&lt;="&amp;INDEX(Weeks!$D:$D,MATCH($C861,Weeks!$A:$A,0)))/COUNTIFS(Tasks!$A:$A,$A861,Tasks!$B:$B,$B861)*100,0),"")</f>
        <v/>
      </c>
      <c r="I861">
        <f>COUNTIFS(Tasks!$A:$A,$A861,Tasks!$B:$B,$B861,Tasks!$G:$G,"&lt;="&amp;INDEX(Weeks!$D:$D,MATCH($C861,Weeks!$A:$A,0)))-COUNTIFS(Tasks!$A:$A,$A861,Tasks!$B:$B,$B861,Tasks!$I:$I,"&lt;="&amp;INDEX(Weeks!$D:$D,MATCH($C861,Weeks!$A:$A,0)),Tasks!$I:$I,"&lt;&gt;")</f>
        <v>0</v>
      </c>
      <c r="J861">
        <f>COUNTIFS(Tasks!$A:$A,$A861,Tasks!$B:$B,$B861,
Tasks!$I:$I,"&gt;"&amp;IFERROR(INDEX(Weeks!$D:$D,MATCH($C861-1,Weeks!$A:$A,0)),DATE(2000,1,1)),
Tasks!$I:$I,"&lt;="&amp;INDEX(Weeks!$D:$D,MATCH($C861,Weeks!$A:$A,0)),
Tasks!$I:$I,"&lt;&gt;")</f>
        <v>0</v>
      </c>
    </row>
    <row r="862" spans="1:10" ht="15" customHeight="1">
      <c r="A862" t="s">
        <v>107</v>
      </c>
      <c r="B862" t="s">
        <v>108</v>
      </c>
      <c r="C862">
        <v>29</v>
      </c>
      <c r="D862">
        <v>7</v>
      </c>
      <c r="E862">
        <v>3</v>
      </c>
      <c r="F862" s="5" t="str">
        <f>IFERROR(ROUND(COUNTIFS(Tasks!$A:$A,$A862,Tasks!$B:$B,$B862,Tasks!$I:$I,"&lt;="&amp;INDEX(Weeks!$D:$D,MATCH($C862,Weeks!$A:$A,0)),Tasks!$I:$I,"&lt;&gt;")/COUNTIFS(Tasks!$A:$A,$A862,Tasks!$B:$B,$B862)*100,0),"")</f>
        <v/>
      </c>
      <c r="G862" s="5" t="str">
        <f>IFERROR(ROUND(COUNTIFS(Tasks!$A:$A,$A862,Tasks!$B:$B,$B862,Tasks!$H:$H,"&lt;="&amp;INDEX(Weeks!$D:$D,MATCH($C862,Weeks!$A:$A,0)))/COUNTIFS(Tasks!$A:$A,$A862,Tasks!$B:$B,$B862)*100,0),"")</f>
        <v/>
      </c>
      <c r="I862">
        <f>COUNTIFS(Tasks!$A:$A,$A862,Tasks!$B:$B,$B862,Tasks!$G:$G,"&lt;="&amp;INDEX(Weeks!$D:$D,MATCH($C862,Weeks!$A:$A,0)))-COUNTIFS(Tasks!$A:$A,$A862,Tasks!$B:$B,$B862,Tasks!$I:$I,"&lt;="&amp;INDEX(Weeks!$D:$D,MATCH($C862,Weeks!$A:$A,0)),Tasks!$I:$I,"&lt;&gt;")</f>
        <v>0</v>
      </c>
      <c r="J862">
        <f>COUNTIFS(Tasks!$A:$A,$A862,Tasks!$B:$B,$B862,
Tasks!$I:$I,"&gt;"&amp;IFERROR(INDEX(Weeks!$D:$D,MATCH($C862-1,Weeks!$A:$A,0)),DATE(2000,1,1)),
Tasks!$I:$I,"&lt;="&amp;INDEX(Weeks!$D:$D,MATCH($C862,Weeks!$A:$A,0)),
Tasks!$I:$I,"&lt;&gt;")</f>
        <v>0</v>
      </c>
    </row>
    <row r="863" spans="1:10" ht="15" customHeight="1">
      <c r="A863" t="s">
        <v>107</v>
      </c>
      <c r="B863" t="s">
        <v>108</v>
      </c>
      <c r="C863">
        <v>30</v>
      </c>
      <c r="D863">
        <v>7</v>
      </c>
      <c r="E863">
        <v>4</v>
      </c>
      <c r="F863" s="5" t="str">
        <f>IFERROR(ROUND(COUNTIFS(Tasks!$A:$A,$A863,Tasks!$B:$B,$B863,Tasks!$I:$I,"&lt;="&amp;INDEX(Weeks!$D:$D,MATCH($C863,Weeks!$A:$A,0)),Tasks!$I:$I,"&lt;&gt;")/COUNTIFS(Tasks!$A:$A,$A863,Tasks!$B:$B,$B863)*100,0),"")</f>
        <v/>
      </c>
      <c r="G863" s="5" t="str">
        <f>IFERROR(ROUND(COUNTIFS(Tasks!$A:$A,$A863,Tasks!$B:$B,$B863,Tasks!$H:$H,"&lt;="&amp;INDEX(Weeks!$D:$D,MATCH($C863,Weeks!$A:$A,0)))/COUNTIFS(Tasks!$A:$A,$A863,Tasks!$B:$B,$B863)*100,0),"")</f>
        <v/>
      </c>
      <c r="I863">
        <f>COUNTIFS(Tasks!$A:$A,$A863,Tasks!$B:$B,$B863,Tasks!$G:$G,"&lt;="&amp;INDEX(Weeks!$D:$D,MATCH($C863,Weeks!$A:$A,0)))-COUNTIFS(Tasks!$A:$A,$A863,Tasks!$B:$B,$B863,Tasks!$I:$I,"&lt;="&amp;INDEX(Weeks!$D:$D,MATCH($C863,Weeks!$A:$A,0)),Tasks!$I:$I,"&lt;&gt;")</f>
        <v>0</v>
      </c>
      <c r="J863">
        <f>COUNTIFS(Tasks!$A:$A,$A863,Tasks!$B:$B,$B863,
Tasks!$I:$I,"&gt;"&amp;IFERROR(INDEX(Weeks!$D:$D,MATCH($C863-1,Weeks!$A:$A,0)),DATE(2000,1,1)),
Tasks!$I:$I,"&lt;="&amp;INDEX(Weeks!$D:$D,MATCH($C863,Weeks!$A:$A,0)),
Tasks!$I:$I,"&lt;&gt;")</f>
        <v>0</v>
      </c>
    </row>
    <row r="864" spans="1:10" ht="15" customHeight="1">
      <c r="A864" t="s">
        <v>107</v>
      </c>
      <c r="B864" t="s">
        <v>108</v>
      </c>
      <c r="C864">
        <v>31</v>
      </c>
      <c r="D864">
        <v>8</v>
      </c>
      <c r="E864">
        <v>1</v>
      </c>
      <c r="F864" s="5" t="str">
        <f>IFERROR(ROUND(COUNTIFS(Tasks!$A:$A,$A864,Tasks!$B:$B,$B864,Tasks!$I:$I,"&lt;="&amp;INDEX(Weeks!$D:$D,MATCH($C864,Weeks!$A:$A,0)),Tasks!$I:$I,"&lt;&gt;")/COUNTIFS(Tasks!$A:$A,$A864,Tasks!$B:$B,$B864)*100,0),"")</f>
        <v/>
      </c>
      <c r="G864" s="5" t="str">
        <f>IFERROR(ROUND(COUNTIFS(Tasks!$A:$A,$A864,Tasks!$B:$B,$B864,Tasks!$H:$H,"&lt;="&amp;INDEX(Weeks!$D:$D,MATCH($C864,Weeks!$A:$A,0)))/COUNTIFS(Tasks!$A:$A,$A864,Tasks!$B:$B,$B864)*100,0),"")</f>
        <v/>
      </c>
      <c r="I864">
        <f>COUNTIFS(Tasks!$A:$A,$A864,Tasks!$B:$B,$B864,Tasks!$G:$G,"&lt;="&amp;INDEX(Weeks!$D:$D,MATCH($C864,Weeks!$A:$A,0)))-COUNTIFS(Tasks!$A:$A,$A864,Tasks!$B:$B,$B864,Tasks!$I:$I,"&lt;="&amp;INDEX(Weeks!$D:$D,MATCH($C864,Weeks!$A:$A,0)),Tasks!$I:$I,"&lt;&gt;")</f>
        <v>0</v>
      </c>
      <c r="J864">
        <f>COUNTIFS(Tasks!$A:$A,$A864,Tasks!$B:$B,$B864,
Tasks!$I:$I,"&gt;"&amp;IFERROR(INDEX(Weeks!$D:$D,MATCH($C864-1,Weeks!$A:$A,0)),DATE(2000,1,1)),
Tasks!$I:$I,"&lt;="&amp;INDEX(Weeks!$D:$D,MATCH($C864,Weeks!$A:$A,0)),
Tasks!$I:$I,"&lt;&gt;")</f>
        <v>0</v>
      </c>
    </row>
    <row r="865" spans="1:10" ht="15" customHeight="1">
      <c r="A865" t="s">
        <v>107</v>
      </c>
      <c r="B865" t="s">
        <v>108</v>
      </c>
      <c r="C865">
        <v>32</v>
      </c>
      <c r="D865">
        <v>8</v>
      </c>
      <c r="E865">
        <v>2</v>
      </c>
      <c r="F865" s="5" t="str">
        <f>IFERROR(ROUND(COUNTIFS(Tasks!$A:$A,$A865,Tasks!$B:$B,$B865,Tasks!$I:$I,"&lt;="&amp;INDEX(Weeks!$D:$D,MATCH($C865,Weeks!$A:$A,0)),Tasks!$I:$I,"&lt;&gt;")/COUNTIFS(Tasks!$A:$A,$A865,Tasks!$B:$B,$B865)*100,0),"")</f>
        <v/>
      </c>
      <c r="G865" s="5" t="str">
        <f>IFERROR(ROUND(COUNTIFS(Tasks!$A:$A,$A865,Tasks!$B:$B,$B865,Tasks!$H:$H,"&lt;="&amp;INDEX(Weeks!$D:$D,MATCH($C865,Weeks!$A:$A,0)))/COUNTIFS(Tasks!$A:$A,$A865,Tasks!$B:$B,$B865)*100,0),"")</f>
        <v/>
      </c>
      <c r="I865">
        <f>COUNTIFS(Tasks!$A:$A,$A865,Tasks!$B:$B,$B865,Tasks!$G:$G,"&lt;="&amp;INDEX(Weeks!$D:$D,MATCH($C865,Weeks!$A:$A,0)))-COUNTIFS(Tasks!$A:$A,$A865,Tasks!$B:$B,$B865,Tasks!$I:$I,"&lt;="&amp;INDEX(Weeks!$D:$D,MATCH($C865,Weeks!$A:$A,0)),Tasks!$I:$I,"&lt;&gt;")</f>
        <v>0</v>
      </c>
      <c r="J865">
        <f>COUNTIFS(Tasks!$A:$A,$A865,Tasks!$B:$B,$B865,
Tasks!$I:$I,"&gt;"&amp;IFERROR(INDEX(Weeks!$D:$D,MATCH($C865-1,Weeks!$A:$A,0)),DATE(2000,1,1)),
Tasks!$I:$I,"&lt;="&amp;INDEX(Weeks!$D:$D,MATCH($C865,Weeks!$A:$A,0)),
Tasks!$I:$I,"&lt;&gt;")</f>
        <v>0</v>
      </c>
    </row>
    <row r="866" spans="1:10" ht="15" customHeight="1">
      <c r="A866" t="s">
        <v>107</v>
      </c>
      <c r="B866" t="s">
        <v>108</v>
      </c>
      <c r="C866">
        <v>33</v>
      </c>
      <c r="D866">
        <v>8</v>
      </c>
      <c r="E866">
        <v>3</v>
      </c>
      <c r="F866" s="5" t="str">
        <f>IFERROR(ROUND(COUNTIFS(Tasks!$A:$A,$A866,Tasks!$B:$B,$B866,Tasks!$I:$I,"&lt;="&amp;INDEX(Weeks!$D:$D,MATCH($C866,Weeks!$A:$A,0)),Tasks!$I:$I,"&lt;&gt;")/COUNTIFS(Tasks!$A:$A,$A866,Tasks!$B:$B,$B866)*100,0),"")</f>
        <v/>
      </c>
      <c r="G866" s="5" t="str">
        <f>IFERROR(ROUND(COUNTIFS(Tasks!$A:$A,$A866,Tasks!$B:$B,$B866,Tasks!$H:$H,"&lt;="&amp;INDEX(Weeks!$D:$D,MATCH($C866,Weeks!$A:$A,0)))/COUNTIFS(Tasks!$A:$A,$A866,Tasks!$B:$B,$B866)*100,0),"")</f>
        <v/>
      </c>
      <c r="I866">
        <f>COUNTIFS(Tasks!$A:$A,$A866,Tasks!$B:$B,$B866,Tasks!$G:$G,"&lt;="&amp;INDEX(Weeks!$D:$D,MATCH($C866,Weeks!$A:$A,0)))-COUNTIFS(Tasks!$A:$A,$A866,Tasks!$B:$B,$B866,Tasks!$I:$I,"&lt;="&amp;INDEX(Weeks!$D:$D,MATCH($C866,Weeks!$A:$A,0)),Tasks!$I:$I,"&lt;&gt;")</f>
        <v>0</v>
      </c>
      <c r="J866">
        <f>COUNTIFS(Tasks!$A:$A,$A866,Tasks!$B:$B,$B866,
Tasks!$I:$I,"&gt;"&amp;IFERROR(INDEX(Weeks!$D:$D,MATCH($C866-1,Weeks!$A:$A,0)),DATE(2000,1,1)),
Tasks!$I:$I,"&lt;="&amp;INDEX(Weeks!$D:$D,MATCH($C866,Weeks!$A:$A,0)),
Tasks!$I:$I,"&lt;&gt;")</f>
        <v>0</v>
      </c>
    </row>
    <row r="867" spans="1:10" ht="15" customHeight="1">
      <c r="A867" t="s">
        <v>107</v>
      </c>
      <c r="B867" t="s">
        <v>108</v>
      </c>
      <c r="C867">
        <v>34</v>
      </c>
      <c r="D867">
        <v>8</v>
      </c>
      <c r="E867">
        <v>4</v>
      </c>
      <c r="F867" s="5" t="str">
        <f>IFERROR(ROUND(COUNTIFS(Tasks!$A:$A,$A867,Tasks!$B:$B,$B867,Tasks!$I:$I,"&lt;="&amp;INDEX(Weeks!$D:$D,MATCH($C867,Weeks!$A:$A,0)),Tasks!$I:$I,"&lt;&gt;")/COUNTIFS(Tasks!$A:$A,$A867,Tasks!$B:$B,$B867)*100,0),"")</f>
        <v/>
      </c>
      <c r="G867" s="5" t="str">
        <f>IFERROR(ROUND(COUNTIFS(Tasks!$A:$A,$A867,Tasks!$B:$B,$B867,Tasks!$H:$H,"&lt;="&amp;INDEX(Weeks!$D:$D,MATCH($C867,Weeks!$A:$A,0)))/COUNTIFS(Tasks!$A:$A,$A867,Tasks!$B:$B,$B867)*100,0),"")</f>
        <v/>
      </c>
      <c r="I867">
        <f>COUNTIFS(Tasks!$A:$A,$A867,Tasks!$B:$B,$B867,Tasks!$G:$G,"&lt;="&amp;INDEX(Weeks!$D:$D,MATCH($C867,Weeks!$A:$A,0)))-COUNTIFS(Tasks!$A:$A,$A867,Tasks!$B:$B,$B867,Tasks!$I:$I,"&lt;="&amp;INDEX(Weeks!$D:$D,MATCH($C867,Weeks!$A:$A,0)),Tasks!$I:$I,"&lt;&gt;")</f>
        <v>0</v>
      </c>
      <c r="J867">
        <f>COUNTIFS(Tasks!$A:$A,$A867,Tasks!$B:$B,$B867,
Tasks!$I:$I,"&gt;"&amp;IFERROR(INDEX(Weeks!$D:$D,MATCH($C867-1,Weeks!$A:$A,0)),DATE(2000,1,1)),
Tasks!$I:$I,"&lt;="&amp;INDEX(Weeks!$D:$D,MATCH($C867,Weeks!$A:$A,0)),
Tasks!$I:$I,"&lt;&gt;")</f>
        <v>0</v>
      </c>
    </row>
    <row r="868" spans="1:10" ht="15" customHeight="1">
      <c r="A868" t="s">
        <v>107</v>
      </c>
      <c r="B868" t="s">
        <v>108</v>
      </c>
      <c r="C868">
        <v>35</v>
      </c>
      <c r="D868">
        <v>8</v>
      </c>
      <c r="E868">
        <v>5</v>
      </c>
      <c r="F868" s="5" t="str">
        <f>IFERROR(ROUND(COUNTIFS(Tasks!$A:$A,$A868,Tasks!$B:$B,$B868,Tasks!$I:$I,"&lt;="&amp;INDEX(Weeks!$D:$D,MATCH($C868,Weeks!$A:$A,0)),Tasks!$I:$I,"&lt;&gt;")/COUNTIFS(Tasks!$A:$A,$A868,Tasks!$B:$B,$B868)*100,0),"")</f>
        <v/>
      </c>
      <c r="G868" s="5" t="str">
        <f>IFERROR(ROUND(COUNTIFS(Tasks!$A:$A,$A868,Tasks!$B:$B,$B868,Tasks!$H:$H,"&lt;="&amp;INDEX(Weeks!$D:$D,MATCH($C868,Weeks!$A:$A,0)))/COUNTIFS(Tasks!$A:$A,$A868,Tasks!$B:$B,$B868)*100,0),"")</f>
        <v/>
      </c>
      <c r="I868">
        <f>COUNTIFS(Tasks!$A:$A,$A868,Tasks!$B:$B,$B868,Tasks!$G:$G,"&lt;="&amp;INDEX(Weeks!$D:$D,MATCH($C868,Weeks!$A:$A,0)))-COUNTIFS(Tasks!$A:$A,$A868,Tasks!$B:$B,$B868,Tasks!$I:$I,"&lt;="&amp;INDEX(Weeks!$D:$D,MATCH($C868,Weeks!$A:$A,0)),Tasks!$I:$I,"&lt;&gt;")</f>
        <v>0</v>
      </c>
      <c r="J868">
        <f>COUNTIFS(Tasks!$A:$A,$A868,Tasks!$B:$B,$B868,
Tasks!$I:$I,"&gt;"&amp;IFERROR(INDEX(Weeks!$D:$D,MATCH($C868-1,Weeks!$A:$A,0)),DATE(2000,1,1)),
Tasks!$I:$I,"&lt;="&amp;INDEX(Weeks!$D:$D,MATCH($C868,Weeks!$A:$A,0)),
Tasks!$I:$I,"&lt;&gt;")</f>
        <v>0</v>
      </c>
    </row>
    <row r="869" spans="1:10" ht="15" customHeight="1">
      <c r="A869" t="s">
        <v>107</v>
      </c>
      <c r="B869" t="s">
        <v>108</v>
      </c>
      <c r="C869">
        <v>36</v>
      </c>
      <c r="D869">
        <v>9</v>
      </c>
      <c r="E869">
        <v>1</v>
      </c>
      <c r="F869" s="5" t="str">
        <f>IFERROR(ROUND(COUNTIFS(Tasks!$A:$A,$A869,Tasks!$B:$B,$B869,Tasks!$I:$I,"&lt;="&amp;INDEX(Weeks!$D:$D,MATCH($C869,Weeks!$A:$A,0)),Tasks!$I:$I,"&lt;&gt;")/COUNTIFS(Tasks!$A:$A,$A869,Tasks!$B:$B,$B869)*100,0),"")</f>
        <v/>
      </c>
      <c r="G869" s="5" t="str">
        <f>IFERROR(ROUND(COUNTIFS(Tasks!$A:$A,$A869,Tasks!$B:$B,$B869,Tasks!$H:$H,"&lt;="&amp;INDEX(Weeks!$D:$D,MATCH($C869,Weeks!$A:$A,0)))/COUNTIFS(Tasks!$A:$A,$A869,Tasks!$B:$B,$B869)*100,0),"")</f>
        <v/>
      </c>
      <c r="I869">
        <f>COUNTIFS(Tasks!$A:$A,$A869,Tasks!$B:$B,$B869,Tasks!$G:$G,"&lt;="&amp;INDEX(Weeks!$D:$D,MATCH($C869,Weeks!$A:$A,0)))-COUNTIFS(Tasks!$A:$A,$A869,Tasks!$B:$B,$B869,Tasks!$I:$I,"&lt;="&amp;INDEX(Weeks!$D:$D,MATCH($C869,Weeks!$A:$A,0)),Tasks!$I:$I,"&lt;&gt;")</f>
        <v>0</v>
      </c>
      <c r="J869">
        <f>COUNTIFS(Tasks!$A:$A,$A869,Tasks!$B:$B,$B869,
Tasks!$I:$I,"&gt;"&amp;IFERROR(INDEX(Weeks!$D:$D,MATCH($C869-1,Weeks!$A:$A,0)),DATE(2000,1,1)),
Tasks!$I:$I,"&lt;="&amp;INDEX(Weeks!$D:$D,MATCH($C869,Weeks!$A:$A,0)),
Tasks!$I:$I,"&lt;&gt;")</f>
        <v>0</v>
      </c>
    </row>
    <row r="870" spans="1:10" ht="15" customHeight="1">
      <c r="A870" t="s">
        <v>107</v>
      </c>
      <c r="B870" t="s">
        <v>108</v>
      </c>
      <c r="C870">
        <v>37</v>
      </c>
      <c r="D870">
        <v>9</v>
      </c>
      <c r="E870">
        <v>2</v>
      </c>
      <c r="F870" s="5" t="str">
        <f>IFERROR(ROUND(COUNTIFS(Tasks!$A:$A,$A870,Tasks!$B:$B,$B870,Tasks!$I:$I,"&lt;="&amp;INDEX(Weeks!$D:$D,MATCH($C870,Weeks!$A:$A,0)),Tasks!$I:$I,"&lt;&gt;")/COUNTIFS(Tasks!$A:$A,$A870,Tasks!$B:$B,$B870)*100,0),"")</f>
        <v/>
      </c>
      <c r="G870" s="5" t="str">
        <f>IFERROR(ROUND(COUNTIFS(Tasks!$A:$A,$A870,Tasks!$B:$B,$B870,Tasks!$H:$H,"&lt;="&amp;INDEX(Weeks!$D:$D,MATCH($C870,Weeks!$A:$A,0)))/COUNTIFS(Tasks!$A:$A,$A870,Tasks!$B:$B,$B870)*100,0),"")</f>
        <v/>
      </c>
      <c r="I870">
        <f>COUNTIFS(Tasks!$A:$A,$A870,Tasks!$B:$B,$B870,Tasks!$G:$G,"&lt;="&amp;INDEX(Weeks!$D:$D,MATCH($C870,Weeks!$A:$A,0)))-COUNTIFS(Tasks!$A:$A,$A870,Tasks!$B:$B,$B870,Tasks!$I:$I,"&lt;="&amp;INDEX(Weeks!$D:$D,MATCH($C870,Weeks!$A:$A,0)),Tasks!$I:$I,"&lt;&gt;")</f>
        <v>0</v>
      </c>
      <c r="J870">
        <f>COUNTIFS(Tasks!$A:$A,$A870,Tasks!$B:$B,$B870,
Tasks!$I:$I,"&gt;"&amp;IFERROR(INDEX(Weeks!$D:$D,MATCH($C870-1,Weeks!$A:$A,0)),DATE(2000,1,1)),
Tasks!$I:$I,"&lt;="&amp;INDEX(Weeks!$D:$D,MATCH($C870,Weeks!$A:$A,0)),
Tasks!$I:$I,"&lt;&gt;")</f>
        <v>0</v>
      </c>
    </row>
    <row r="871" spans="1:10" ht="15" customHeight="1">
      <c r="A871" t="s">
        <v>107</v>
      </c>
      <c r="B871" t="s">
        <v>108</v>
      </c>
      <c r="C871">
        <v>38</v>
      </c>
      <c r="D871">
        <v>9</v>
      </c>
      <c r="E871">
        <v>3</v>
      </c>
      <c r="F871" s="5" t="str">
        <f>IFERROR(ROUND(COUNTIFS(Tasks!$A:$A,$A871,Tasks!$B:$B,$B871,Tasks!$I:$I,"&lt;="&amp;INDEX(Weeks!$D:$D,MATCH($C871,Weeks!$A:$A,0)),Tasks!$I:$I,"&lt;&gt;")/COUNTIFS(Tasks!$A:$A,$A871,Tasks!$B:$B,$B871)*100,0),"")</f>
        <v/>
      </c>
      <c r="G871" s="5" t="str">
        <f>IFERROR(ROUND(COUNTIFS(Tasks!$A:$A,$A871,Tasks!$B:$B,$B871,Tasks!$H:$H,"&lt;="&amp;INDEX(Weeks!$D:$D,MATCH($C871,Weeks!$A:$A,0)))/COUNTIFS(Tasks!$A:$A,$A871,Tasks!$B:$B,$B871)*100,0),"")</f>
        <v/>
      </c>
      <c r="I871">
        <f>COUNTIFS(Tasks!$A:$A,$A871,Tasks!$B:$B,$B871,Tasks!$G:$G,"&lt;="&amp;INDEX(Weeks!$D:$D,MATCH($C871,Weeks!$A:$A,0)))-COUNTIFS(Tasks!$A:$A,$A871,Tasks!$B:$B,$B871,Tasks!$I:$I,"&lt;="&amp;INDEX(Weeks!$D:$D,MATCH($C871,Weeks!$A:$A,0)),Tasks!$I:$I,"&lt;&gt;")</f>
        <v>0</v>
      </c>
      <c r="J871">
        <f>COUNTIFS(Tasks!$A:$A,$A871,Tasks!$B:$B,$B871,
Tasks!$I:$I,"&gt;"&amp;IFERROR(INDEX(Weeks!$D:$D,MATCH($C871-1,Weeks!$A:$A,0)),DATE(2000,1,1)),
Tasks!$I:$I,"&lt;="&amp;INDEX(Weeks!$D:$D,MATCH($C871,Weeks!$A:$A,0)),
Tasks!$I:$I,"&lt;&gt;")</f>
        <v>0</v>
      </c>
    </row>
    <row r="872" spans="1:10" ht="15" customHeight="1">
      <c r="A872" t="s">
        <v>107</v>
      </c>
      <c r="B872" t="s">
        <v>108</v>
      </c>
      <c r="C872">
        <v>39</v>
      </c>
      <c r="D872">
        <v>9</v>
      </c>
      <c r="E872">
        <v>4</v>
      </c>
      <c r="F872" s="5" t="str">
        <f>IFERROR(ROUND(COUNTIFS(Tasks!$A:$A,$A872,Tasks!$B:$B,$B872,Tasks!$I:$I,"&lt;="&amp;INDEX(Weeks!$D:$D,MATCH($C872,Weeks!$A:$A,0)),Tasks!$I:$I,"&lt;&gt;")/COUNTIFS(Tasks!$A:$A,$A872,Tasks!$B:$B,$B872)*100,0),"")</f>
        <v/>
      </c>
      <c r="G872" s="5" t="str">
        <f>IFERROR(ROUND(COUNTIFS(Tasks!$A:$A,$A872,Tasks!$B:$B,$B872,Tasks!$H:$H,"&lt;="&amp;INDEX(Weeks!$D:$D,MATCH($C872,Weeks!$A:$A,0)))/COUNTIFS(Tasks!$A:$A,$A872,Tasks!$B:$B,$B872)*100,0),"")</f>
        <v/>
      </c>
      <c r="I872">
        <f>COUNTIFS(Tasks!$A:$A,$A872,Tasks!$B:$B,$B872,Tasks!$G:$G,"&lt;="&amp;INDEX(Weeks!$D:$D,MATCH($C872,Weeks!$A:$A,0)))-COUNTIFS(Tasks!$A:$A,$A872,Tasks!$B:$B,$B872,Tasks!$I:$I,"&lt;="&amp;INDEX(Weeks!$D:$D,MATCH($C872,Weeks!$A:$A,0)),Tasks!$I:$I,"&lt;&gt;")</f>
        <v>0</v>
      </c>
      <c r="J872">
        <f>COUNTIFS(Tasks!$A:$A,$A872,Tasks!$B:$B,$B872,
Tasks!$I:$I,"&gt;"&amp;IFERROR(INDEX(Weeks!$D:$D,MATCH($C872-1,Weeks!$A:$A,0)),DATE(2000,1,1)),
Tasks!$I:$I,"&lt;="&amp;INDEX(Weeks!$D:$D,MATCH($C872,Weeks!$A:$A,0)),
Tasks!$I:$I,"&lt;&gt;")</f>
        <v>0</v>
      </c>
    </row>
    <row r="873" spans="1:10" ht="15" customHeight="1">
      <c r="A873" t="s">
        <v>107</v>
      </c>
      <c r="B873" t="s">
        <v>108</v>
      </c>
      <c r="C873">
        <v>40</v>
      </c>
      <c r="D873">
        <v>10</v>
      </c>
      <c r="E873">
        <v>1</v>
      </c>
      <c r="F873" s="5" t="str">
        <f>IFERROR(ROUND(COUNTIFS(Tasks!$A:$A,$A873,Tasks!$B:$B,$B873,Tasks!$I:$I,"&lt;="&amp;INDEX(Weeks!$D:$D,MATCH($C873,Weeks!$A:$A,0)),Tasks!$I:$I,"&lt;&gt;")/COUNTIFS(Tasks!$A:$A,$A873,Tasks!$B:$B,$B873)*100,0),"")</f>
        <v/>
      </c>
      <c r="G873" s="5" t="str">
        <f>IFERROR(ROUND(COUNTIFS(Tasks!$A:$A,$A873,Tasks!$B:$B,$B873,Tasks!$H:$H,"&lt;="&amp;INDEX(Weeks!$D:$D,MATCH($C873,Weeks!$A:$A,0)))/COUNTIFS(Tasks!$A:$A,$A873,Tasks!$B:$B,$B873)*100,0),"")</f>
        <v/>
      </c>
      <c r="I873">
        <f>COUNTIFS(Tasks!$A:$A,$A873,Tasks!$B:$B,$B873,Tasks!$G:$G,"&lt;="&amp;INDEX(Weeks!$D:$D,MATCH($C873,Weeks!$A:$A,0)))-COUNTIFS(Tasks!$A:$A,$A873,Tasks!$B:$B,$B873,Tasks!$I:$I,"&lt;="&amp;INDEX(Weeks!$D:$D,MATCH($C873,Weeks!$A:$A,0)),Tasks!$I:$I,"&lt;&gt;")</f>
        <v>0</v>
      </c>
      <c r="J873">
        <f>COUNTIFS(Tasks!$A:$A,$A873,Tasks!$B:$B,$B873,
Tasks!$I:$I,"&gt;"&amp;IFERROR(INDEX(Weeks!$D:$D,MATCH($C873-1,Weeks!$A:$A,0)),DATE(2000,1,1)),
Tasks!$I:$I,"&lt;="&amp;INDEX(Weeks!$D:$D,MATCH($C873,Weeks!$A:$A,0)),
Tasks!$I:$I,"&lt;&gt;")</f>
        <v>0</v>
      </c>
    </row>
    <row r="874" spans="1:10" ht="15" customHeight="1">
      <c r="A874" t="s">
        <v>107</v>
      </c>
      <c r="B874" t="s">
        <v>108</v>
      </c>
      <c r="C874">
        <v>41</v>
      </c>
      <c r="D874">
        <v>10</v>
      </c>
      <c r="E874">
        <v>2</v>
      </c>
      <c r="F874" s="5" t="str">
        <f>IFERROR(ROUND(COUNTIFS(Tasks!$A:$A,$A874,Tasks!$B:$B,$B874,Tasks!$I:$I,"&lt;="&amp;INDEX(Weeks!$D:$D,MATCH($C874,Weeks!$A:$A,0)),Tasks!$I:$I,"&lt;&gt;")/COUNTIFS(Tasks!$A:$A,$A874,Tasks!$B:$B,$B874)*100,0),"")</f>
        <v/>
      </c>
      <c r="G874" s="5" t="str">
        <f>IFERROR(ROUND(COUNTIFS(Tasks!$A:$A,$A874,Tasks!$B:$B,$B874,Tasks!$H:$H,"&lt;="&amp;INDEX(Weeks!$D:$D,MATCH($C874,Weeks!$A:$A,0)))/COUNTIFS(Tasks!$A:$A,$A874,Tasks!$B:$B,$B874)*100,0),"")</f>
        <v/>
      </c>
      <c r="I874">
        <f>COUNTIFS(Tasks!$A:$A,$A874,Tasks!$B:$B,$B874,Tasks!$G:$G,"&lt;="&amp;INDEX(Weeks!$D:$D,MATCH($C874,Weeks!$A:$A,0)))-COUNTIFS(Tasks!$A:$A,$A874,Tasks!$B:$B,$B874,Tasks!$I:$I,"&lt;="&amp;INDEX(Weeks!$D:$D,MATCH($C874,Weeks!$A:$A,0)),Tasks!$I:$I,"&lt;&gt;")</f>
        <v>0</v>
      </c>
      <c r="J874">
        <f>COUNTIFS(Tasks!$A:$A,$A874,Tasks!$B:$B,$B874,
Tasks!$I:$I,"&gt;"&amp;IFERROR(INDEX(Weeks!$D:$D,MATCH($C874-1,Weeks!$A:$A,0)),DATE(2000,1,1)),
Tasks!$I:$I,"&lt;="&amp;INDEX(Weeks!$D:$D,MATCH($C874,Weeks!$A:$A,0)),
Tasks!$I:$I,"&lt;&gt;")</f>
        <v>0</v>
      </c>
    </row>
    <row r="875" spans="1:10" ht="15" customHeight="1">
      <c r="A875" t="s">
        <v>107</v>
      </c>
      <c r="B875" t="s">
        <v>108</v>
      </c>
      <c r="C875">
        <v>42</v>
      </c>
      <c r="D875">
        <v>10</v>
      </c>
      <c r="E875">
        <v>3</v>
      </c>
      <c r="F875" s="5" t="str">
        <f>IFERROR(ROUND(COUNTIFS(Tasks!$A:$A,$A875,Tasks!$B:$B,$B875,Tasks!$I:$I,"&lt;="&amp;INDEX(Weeks!$D:$D,MATCH($C875,Weeks!$A:$A,0)),Tasks!$I:$I,"&lt;&gt;")/COUNTIFS(Tasks!$A:$A,$A875,Tasks!$B:$B,$B875)*100,0),"")</f>
        <v/>
      </c>
      <c r="G875" s="5" t="str">
        <f>IFERROR(ROUND(COUNTIFS(Tasks!$A:$A,$A875,Tasks!$B:$B,$B875,Tasks!$H:$H,"&lt;="&amp;INDEX(Weeks!$D:$D,MATCH($C875,Weeks!$A:$A,0)))/COUNTIFS(Tasks!$A:$A,$A875,Tasks!$B:$B,$B875)*100,0),"")</f>
        <v/>
      </c>
      <c r="I875">
        <f>COUNTIFS(Tasks!$A:$A,$A875,Tasks!$B:$B,$B875,Tasks!$G:$G,"&lt;="&amp;INDEX(Weeks!$D:$D,MATCH($C875,Weeks!$A:$A,0)))-COUNTIFS(Tasks!$A:$A,$A875,Tasks!$B:$B,$B875,Tasks!$I:$I,"&lt;="&amp;INDEX(Weeks!$D:$D,MATCH($C875,Weeks!$A:$A,0)),Tasks!$I:$I,"&lt;&gt;")</f>
        <v>0</v>
      </c>
      <c r="J875">
        <f>COUNTIFS(Tasks!$A:$A,$A875,Tasks!$B:$B,$B875,
Tasks!$I:$I,"&gt;"&amp;IFERROR(INDEX(Weeks!$D:$D,MATCH($C875-1,Weeks!$A:$A,0)),DATE(2000,1,1)),
Tasks!$I:$I,"&lt;="&amp;INDEX(Weeks!$D:$D,MATCH($C875,Weeks!$A:$A,0)),
Tasks!$I:$I,"&lt;&gt;")</f>
        <v>0</v>
      </c>
    </row>
    <row r="876" spans="1:10" ht="15" customHeight="1">
      <c r="A876" t="s">
        <v>107</v>
      </c>
      <c r="B876" t="s">
        <v>108</v>
      </c>
      <c r="C876">
        <v>43</v>
      </c>
      <c r="D876">
        <v>10</v>
      </c>
      <c r="E876">
        <v>4</v>
      </c>
      <c r="F876" s="5" t="str">
        <f>IFERROR(ROUND(COUNTIFS(Tasks!$A:$A,$A876,Tasks!$B:$B,$B876,Tasks!$I:$I,"&lt;="&amp;INDEX(Weeks!$D:$D,MATCH($C876,Weeks!$A:$A,0)),Tasks!$I:$I,"&lt;&gt;")/COUNTIFS(Tasks!$A:$A,$A876,Tasks!$B:$B,$B876)*100,0),"")</f>
        <v/>
      </c>
      <c r="G876" s="5" t="str">
        <f>IFERROR(ROUND(COUNTIFS(Tasks!$A:$A,$A876,Tasks!$B:$B,$B876,Tasks!$H:$H,"&lt;="&amp;INDEX(Weeks!$D:$D,MATCH($C876,Weeks!$A:$A,0)))/COUNTIFS(Tasks!$A:$A,$A876,Tasks!$B:$B,$B876)*100,0),"")</f>
        <v/>
      </c>
      <c r="I876">
        <f>COUNTIFS(Tasks!$A:$A,$A876,Tasks!$B:$B,$B876,Tasks!$G:$G,"&lt;="&amp;INDEX(Weeks!$D:$D,MATCH($C876,Weeks!$A:$A,0)))-COUNTIFS(Tasks!$A:$A,$A876,Tasks!$B:$B,$B876,Tasks!$I:$I,"&lt;="&amp;INDEX(Weeks!$D:$D,MATCH($C876,Weeks!$A:$A,0)),Tasks!$I:$I,"&lt;&gt;")</f>
        <v>0</v>
      </c>
      <c r="J876">
        <f>COUNTIFS(Tasks!$A:$A,$A876,Tasks!$B:$B,$B876,
Tasks!$I:$I,"&gt;"&amp;IFERROR(INDEX(Weeks!$D:$D,MATCH($C876-1,Weeks!$A:$A,0)),DATE(2000,1,1)),
Tasks!$I:$I,"&lt;="&amp;INDEX(Weeks!$D:$D,MATCH($C876,Weeks!$A:$A,0)),
Tasks!$I:$I,"&lt;&gt;")</f>
        <v>0</v>
      </c>
    </row>
    <row r="877" spans="1:10" ht="15" customHeight="1">
      <c r="A877" t="s">
        <v>107</v>
      </c>
      <c r="B877" t="s">
        <v>108</v>
      </c>
      <c r="C877">
        <v>44</v>
      </c>
      <c r="D877">
        <v>10</v>
      </c>
      <c r="E877">
        <v>5</v>
      </c>
      <c r="F877" s="5" t="str">
        <f>IFERROR(ROUND(COUNTIFS(Tasks!$A:$A,$A877,Tasks!$B:$B,$B877,Tasks!$I:$I,"&lt;="&amp;INDEX(Weeks!$D:$D,MATCH($C877,Weeks!$A:$A,0)),Tasks!$I:$I,"&lt;&gt;")/COUNTIFS(Tasks!$A:$A,$A877,Tasks!$B:$B,$B877)*100,0),"")</f>
        <v/>
      </c>
      <c r="G877" s="5" t="str">
        <f>IFERROR(ROUND(COUNTIFS(Tasks!$A:$A,$A877,Tasks!$B:$B,$B877,Tasks!$H:$H,"&lt;="&amp;INDEX(Weeks!$D:$D,MATCH($C877,Weeks!$A:$A,0)))/COUNTIFS(Tasks!$A:$A,$A877,Tasks!$B:$B,$B877)*100,0),"")</f>
        <v/>
      </c>
      <c r="I877">
        <f>COUNTIFS(Tasks!$A:$A,$A877,Tasks!$B:$B,$B877,Tasks!$G:$G,"&lt;="&amp;INDEX(Weeks!$D:$D,MATCH($C877,Weeks!$A:$A,0)))-COUNTIFS(Tasks!$A:$A,$A877,Tasks!$B:$B,$B877,Tasks!$I:$I,"&lt;="&amp;INDEX(Weeks!$D:$D,MATCH($C877,Weeks!$A:$A,0)),Tasks!$I:$I,"&lt;&gt;")</f>
        <v>0</v>
      </c>
      <c r="J877">
        <f>COUNTIFS(Tasks!$A:$A,$A877,Tasks!$B:$B,$B877,
Tasks!$I:$I,"&gt;"&amp;IFERROR(INDEX(Weeks!$D:$D,MATCH($C877-1,Weeks!$A:$A,0)),DATE(2000,1,1)),
Tasks!$I:$I,"&lt;="&amp;INDEX(Weeks!$D:$D,MATCH($C877,Weeks!$A:$A,0)),
Tasks!$I:$I,"&lt;&gt;")</f>
        <v>0</v>
      </c>
    </row>
    <row r="878" spans="1:10" ht="15" customHeight="1">
      <c r="A878" t="s">
        <v>107</v>
      </c>
      <c r="B878" t="s">
        <v>108</v>
      </c>
      <c r="C878">
        <v>45</v>
      </c>
      <c r="D878">
        <v>11</v>
      </c>
      <c r="E878">
        <v>1</v>
      </c>
      <c r="F878" s="5" t="str">
        <f>IFERROR(ROUND(COUNTIFS(Tasks!$A:$A,$A878,Tasks!$B:$B,$B878,Tasks!$I:$I,"&lt;="&amp;INDEX(Weeks!$D:$D,MATCH($C878,Weeks!$A:$A,0)),Tasks!$I:$I,"&lt;&gt;")/COUNTIFS(Tasks!$A:$A,$A878,Tasks!$B:$B,$B878)*100,0),"")</f>
        <v/>
      </c>
      <c r="G878" s="5" t="str">
        <f>IFERROR(ROUND(COUNTIFS(Tasks!$A:$A,$A878,Tasks!$B:$B,$B878,Tasks!$H:$H,"&lt;="&amp;INDEX(Weeks!$D:$D,MATCH($C878,Weeks!$A:$A,0)))/COUNTIFS(Tasks!$A:$A,$A878,Tasks!$B:$B,$B878)*100,0),"")</f>
        <v/>
      </c>
      <c r="I878">
        <f>COUNTIFS(Tasks!$A:$A,$A878,Tasks!$B:$B,$B878,Tasks!$G:$G,"&lt;="&amp;INDEX(Weeks!$D:$D,MATCH($C878,Weeks!$A:$A,0)))-COUNTIFS(Tasks!$A:$A,$A878,Tasks!$B:$B,$B878,Tasks!$I:$I,"&lt;="&amp;INDEX(Weeks!$D:$D,MATCH($C878,Weeks!$A:$A,0)),Tasks!$I:$I,"&lt;&gt;")</f>
        <v>0</v>
      </c>
      <c r="J878">
        <f>COUNTIFS(Tasks!$A:$A,$A878,Tasks!$B:$B,$B878,
Tasks!$I:$I,"&gt;"&amp;IFERROR(INDEX(Weeks!$D:$D,MATCH($C878-1,Weeks!$A:$A,0)),DATE(2000,1,1)),
Tasks!$I:$I,"&lt;="&amp;INDEX(Weeks!$D:$D,MATCH($C878,Weeks!$A:$A,0)),
Tasks!$I:$I,"&lt;&gt;")</f>
        <v>0</v>
      </c>
    </row>
    <row r="879" spans="1:10" ht="15" customHeight="1">
      <c r="A879" t="s">
        <v>107</v>
      </c>
      <c r="B879" t="s">
        <v>108</v>
      </c>
      <c r="C879">
        <v>46</v>
      </c>
      <c r="D879">
        <v>11</v>
      </c>
      <c r="E879">
        <v>2</v>
      </c>
      <c r="F879" s="5" t="str">
        <f>IFERROR(ROUND(COUNTIFS(Tasks!$A:$A,$A879,Tasks!$B:$B,$B879,Tasks!$I:$I,"&lt;="&amp;INDEX(Weeks!$D:$D,MATCH($C879,Weeks!$A:$A,0)),Tasks!$I:$I,"&lt;&gt;")/COUNTIFS(Tasks!$A:$A,$A879,Tasks!$B:$B,$B879)*100,0),"")</f>
        <v/>
      </c>
      <c r="G879" s="5" t="str">
        <f>IFERROR(ROUND(COUNTIFS(Tasks!$A:$A,$A879,Tasks!$B:$B,$B879,Tasks!$H:$H,"&lt;="&amp;INDEX(Weeks!$D:$D,MATCH($C879,Weeks!$A:$A,0)))/COUNTIFS(Tasks!$A:$A,$A879,Tasks!$B:$B,$B879)*100,0),"")</f>
        <v/>
      </c>
      <c r="I879">
        <f>COUNTIFS(Tasks!$A:$A,$A879,Tasks!$B:$B,$B879,Tasks!$G:$G,"&lt;="&amp;INDEX(Weeks!$D:$D,MATCH($C879,Weeks!$A:$A,0)))-COUNTIFS(Tasks!$A:$A,$A879,Tasks!$B:$B,$B879,Tasks!$I:$I,"&lt;="&amp;INDEX(Weeks!$D:$D,MATCH($C879,Weeks!$A:$A,0)),Tasks!$I:$I,"&lt;&gt;")</f>
        <v>0</v>
      </c>
      <c r="J879">
        <f>COUNTIFS(Tasks!$A:$A,$A879,Tasks!$B:$B,$B879,
Tasks!$I:$I,"&gt;"&amp;IFERROR(INDEX(Weeks!$D:$D,MATCH($C879-1,Weeks!$A:$A,0)),DATE(2000,1,1)),
Tasks!$I:$I,"&lt;="&amp;INDEX(Weeks!$D:$D,MATCH($C879,Weeks!$A:$A,0)),
Tasks!$I:$I,"&lt;&gt;")</f>
        <v>0</v>
      </c>
    </row>
    <row r="880" spans="1:10" ht="15" customHeight="1">
      <c r="A880" t="s">
        <v>107</v>
      </c>
      <c r="B880" t="s">
        <v>108</v>
      </c>
      <c r="C880">
        <v>47</v>
      </c>
      <c r="D880">
        <v>11</v>
      </c>
      <c r="E880">
        <v>3</v>
      </c>
      <c r="F880" s="5" t="str">
        <f>IFERROR(ROUND(COUNTIFS(Tasks!$A:$A,$A880,Tasks!$B:$B,$B880,Tasks!$I:$I,"&lt;="&amp;INDEX(Weeks!$D:$D,MATCH($C880,Weeks!$A:$A,0)),Tasks!$I:$I,"&lt;&gt;")/COUNTIFS(Tasks!$A:$A,$A880,Tasks!$B:$B,$B880)*100,0),"")</f>
        <v/>
      </c>
      <c r="G880" s="5" t="str">
        <f>IFERROR(ROUND(COUNTIFS(Tasks!$A:$A,$A880,Tasks!$B:$B,$B880,Tasks!$H:$H,"&lt;="&amp;INDEX(Weeks!$D:$D,MATCH($C880,Weeks!$A:$A,0)))/COUNTIFS(Tasks!$A:$A,$A880,Tasks!$B:$B,$B880)*100,0),"")</f>
        <v/>
      </c>
      <c r="I880">
        <f>COUNTIFS(Tasks!$A:$A,$A880,Tasks!$B:$B,$B880,Tasks!$G:$G,"&lt;="&amp;INDEX(Weeks!$D:$D,MATCH($C880,Weeks!$A:$A,0)))-COUNTIFS(Tasks!$A:$A,$A880,Tasks!$B:$B,$B880,Tasks!$I:$I,"&lt;="&amp;INDEX(Weeks!$D:$D,MATCH($C880,Weeks!$A:$A,0)),Tasks!$I:$I,"&lt;&gt;")</f>
        <v>0</v>
      </c>
      <c r="J880">
        <f>COUNTIFS(Tasks!$A:$A,$A880,Tasks!$B:$B,$B880,
Tasks!$I:$I,"&gt;"&amp;IFERROR(INDEX(Weeks!$D:$D,MATCH($C880-1,Weeks!$A:$A,0)),DATE(2000,1,1)),
Tasks!$I:$I,"&lt;="&amp;INDEX(Weeks!$D:$D,MATCH($C880,Weeks!$A:$A,0)),
Tasks!$I:$I,"&lt;&gt;")</f>
        <v>0</v>
      </c>
    </row>
    <row r="881" spans="1:10" ht="15" customHeight="1">
      <c r="A881" t="s">
        <v>107</v>
      </c>
      <c r="B881" t="s">
        <v>108</v>
      </c>
      <c r="C881">
        <v>48</v>
      </c>
      <c r="D881">
        <v>11</v>
      </c>
      <c r="E881">
        <v>4</v>
      </c>
      <c r="F881" s="5" t="str">
        <f>IFERROR(ROUND(COUNTIFS(Tasks!$A:$A,$A881,Tasks!$B:$B,$B881,Tasks!$I:$I,"&lt;="&amp;INDEX(Weeks!$D:$D,MATCH($C881,Weeks!$A:$A,0)),Tasks!$I:$I,"&lt;&gt;")/COUNTIFS(Tasks!$A:$A,$A881,Tasks!$B:$B,$B881)*100,0),"")</f>
        <v/>
      </c>
      <c r="G881" s="5" t="str">
        <f>IFERROR(ROUND(COUNTIFS(Tasks!$A:$A,$A881,Tasks!$B:$B,$B881,Tasks!$H:$H,"&lt;="&amp;INDEX(Weeks!$D:$D,MATCH($C881,Weeks!$A:$A,0)))/COUNTIFS(Tasks!$A:$A,$A881,Tasks!$B:$B,$B881)*100,0),"")</f>
        <v/>
      </c>
      <c r="I881">
        <f>COUNTIFS(Tasks!$A:$A,$A881,Tasks!$B:$B,$B881,Tasks!$G:$G,"&lt;="&amp;INDEX(Weeks!$D:$D,MATCH($C881,Weeks!$A:$A,0)))-COUNTIFS(Tasks!$A:$A,$A881,Tasks!$B:$B,$B881,Tasks!$I:$I,"&lt;="&amp;INDEX(Weeks!$D:$D,MATCH($C881,Weeks!$A:$A,0)),Tasks!$I:$I,"&lt;&gt;")</f>
        <v>0</v>
      </c>
      <c r="J881">
        <f>COUNTIFS(Tasks!$A:$A,$A881,Tasks!$B:$B,$B881,
Tasks!$I:$I,"&gt;"&amp;IFERROR(INDEX(Weeks!$D:$D,MATCH($C881-1,Weeks!$A:$A,0)),DATE(2000,1,1)),
Tasks!$I:$I,"&lt;="&amp;INDEX(Weeks!$D:$D,MATCH($C881,Weeks!$A:$A,0)),
Tasks!$I:$I,"&lt;&gt;")</f>
        <v>0</v>
      </c>
    </row>
    <row r="882" spans="1:10" ht="15" customHeight="1">
      <c r="A882" t="s">
        <v>107</v>
      </c>
      <c r="B882" t="s">
        <v>108</v>
      </c>
      <c r="C882">
        <v>49</v>
      </c>
      <c r="D882">
        <v>12</v>
      </c>
      <c r="E882">
        <v>1</v>
      </c>
      <c r="F882" s="5" t="str">
        <f>IFERROR(ROUND(COUNTIFS(Tasks!$A:$A,$A882,Tasks!$B:$B,$B882,Tasks!$I:$I,"&lt;="&amp;INDEX(Weeks!$D:$D,MATCH($C882,Weeks!$A:$A,0)),Tasks!$I:$I,"&lt;&gt;")/COUNTIFS(Tasks!$A:$A,$A882,Tasks!$B:$B,$B882)*100,0),"")</f>
        <v/>
      </c>
      <c r="G882" s="5" t="str">
        <f>IFERROR(ROUND(COUNTIFS(Tasks!$A:$A,$A882,Tasks!$B:$B,$B882,Tasks!$H:$H,"&lt;="&amp;INDEX(Weeks!$D:$D,MATCH($C882,Weeks!$A:$A,0)))/COUNTIFS(Tasks!$A:$A,$A882,Tasks!$B:$B,$B882)*100,0),"")</f>
        <v/>
      </c>
      <c r="I882">
        <f>COUNTIFS(Tasks!$A:$A,$A882,Tasks!$B:$B,$B882,Tasks!$G:$G,"&lt;="&amp;INDEX(Weeks!$D:$D,MATCH($C882,Weeks!$A:$A,0)))-COUNTIFS(Tasks!$A:$A,$A882,Tasks!$B:$B,$B882,Tasks!$I:$I,"&lt;="&amp;INDEX(Weeks!$D:$D,MATCH($C882,Weeks!$A:$A,0)),Tasks!$I:$I,"&lt;&gt;")</f>
        <v>0</v>
      </c>
      <c r="J882">
        <f>COUNTIFS(Tasks!$A:$A,$A882,Tasks!$B:$B,$B882,
Tasks!$I:$I,"&gt;"&amp;IFERROR(INDEX(Weeks!$D:$D,MATCH($C882-1,Weeks!$A:$A,0)),DATE(2000,1,1)),
Tasks!$I:$I,"&lt;="&amp;INDEX(Weeks!$D:$D,MATCH($C882,Weeks!$A:$A,0)),
Tasks!$I:$I,"&lt;&gt;")</f>
        <v>0</v>
      </c>
    </row>
    <row r="883" spans="1:10" ht="15" customHeight="1">
      <c r="A883" t="s">
        <v>107</v>
      </c>
      <c r="B883" t="s">
        <v>108</v>
      </c>
      <c r="C883">
        <v>50</v>
      </c>
      <c r="D883">
        <v>12</v>
      </c>
      <c r="E883">
        <v>2</v>
      </c>
      <c r="F883" s="5" t="str">
        <f>IFERROR(ROUND(COUNTIFS(Tasks!$A:$A,$A883,Tasks!$B:$B,$B883,Tasks!$I:$I,"&lt;="&amp;INDEX(Weeks!$D:$D,MATCH($C883,Weeks!$A:$A,0)),Tasks!$I:$I,"&lt;&gt;")/COUNTIFS(Tasks!$A:$A,$A883,Tasks!$B:$B,$B883)*100,0),"")</f>
        <v/>
      </c>
      <c r="G883" s="5" t="str">
        <f>IFERROR(ROUND(COUNTIFS(Tasks!$A:$A,$A883,Tasks!$B:$B,$B883,Tasks!$H:$H,"&lt;="&amp;INDEX(Weeks!$D:$D,MATCH($C883,Weeks!$A:$A,0)))/COUNTIFS(Tasks!$A:$A,$A883,Tasks!$B:$B,$B883)*100,0),"")</f>
        <v/>
      </c>
      <c r="I883">
        <f>COUNTIFS(Tasks!$A:$A,$A883,Tasks!$B:$B,$B883,Tasks!$G:$G,"&lt;="&amp;INDEX(Weeks!$D:$D,MATCH($C883,Weeks!$A:$A,0)))-COUNTIFS(Tasks!$A:$A,$A883,Tasks!$B:$B,$B883,Tasks!$I:$I,"&lt;="&amp;INDEX(Weeks!$D:$D,MATCH($C883,Weeks!$A:$A,0)),Tasks!$I:$I,"&lt;&gt;")</f>
        <v>0</v>
      </c>
      <c r="J883">
        <f>COUNTIFS(Tasks!$A:$A,$A883,Tasks!$B:$B,$B883,
Tasks!$I:$I,"&gt;"&amp;IFERROR(INDEX(Weeks!$D:$D,MATCH($C883-1,Weeks!$A:$A,0)),DATE(2000,1,1)),
Tasks!$I:$I,"&lt;="&amp;INDEX(Weeks!$D:$D,MATCH($C883,Weeks!$A:$A,0)),
Tasks!$I:$I,"&lt;&gt;")</f>
        <v>0</v>
      </c>
    </row>
    <row r="884" spans="1:10" ht="15" customHeight="1">
      <c r="A884" t="s">
        <v>107</v>
      </c>
      <c r="B884" t="s">
        <v>108</v>
      </c>
      <c r="C884">
        <v>51</v>
      </c>
      <c r="D884">
        <v>12</v>
      </c>
      <c r="E884">
        <v>3</v>
      </c>
      <c r="F884" s="5" t="str">
        <f>IFERROR(ROUND(COUNTIFS(Tasks!$A:$A,$A884,Tasks!$B:$B,$B884,Tasks!$I:$I,"&lt;="&amp;INDEX(Weeks!$D:$D,MATCH($C884,Weeks!$A:$A,0)),Tasks!$I:$I,"&lt;&gt;")/COUNTIFS(Tasks!$A:$A,$A884,Tasks!$B:$B,$B884)*100,0),"")</f>
        <v/>
      </c>
      <c r="G884" s="5" t="str">
        <f>IFERROR(ROUND(COUNTIFS(Tasks!$A:$A,$A884,Tasks!$B:$B,$B884,Tasks!$H:$H,"&lt;="&amp;INDEX(Weeks!$D:$D,MATCH($C884,Weeks!$A:$A,0)))/COUNTIFS(Tasks!$A:$A,$A884,Tasks!$B:$B,$B884)*100,0),"")</f>
        <v/>
      </c>
      <c r="I884">
        <f>COUNTIFS(Tasks!$A:$A,$A884,Tasks!$B:$B,$B884,Tasks!$G:$G,"&lt;="&amp;INDEX(Weeks!$D:$D,MATCH($C884,Weeks!$A:$A,0)))-COUNTIFS(Tasks!$A:$A,$A884,Tasks!$B:$B,$B884,Tasks!$I:$I,"&lt;="&amp;INDEX(Weeks!$D:$D,MATCH($C884,Weeks!$A:$A,0)),Tasks!$I:$I,"&lt;&gt;")</f>
        <v>0</v>
      </c>
      <c r="J884">
        <f>COUNTIFS(Tasks!$A:$A,$A884,Tasks!$B:$B,$B884,
Tasks!$I:$I,"&gt;"&amp;IFERROR(INDEX(Weeks!$D:$D,MATCH($C884-1,Weeks!$A:$A,0)),DATE(2000,1,1)),
Tasks!$I:$I,"&lt;="&amp;INDEX(Weeks!$D:$D,MATCH($C884,Weeks!$A:$A,0)),
Tasks!$I:$I,"&lt;&gt;")</f>
        <v>0</v>
      </c>
    </row>
    <row r="885" spans="1:10" ht="15" customHeight="1">
      <c r="A885" t="s">
        <v>107</v>
      </c>
      <c r="B885" t="s">
        <v>108</v>
      </c>
      <c r="C885">
        <v>52</v>
      </c>
      <c r="D885">
        <v>12</v>
      </c>
      <c r="E885">
        <v>4</v>
      </c>
      <c r="F885" s="5" t="str">
        <f>IFERROR(ROUND(COUNTIFS(Tasks!$A:$A,$A885,Tasks!$B:$B,$B885,Tasks!$I:$I,"&lt;="&amp;INDEX(Weeks!$D:$D,MATCH($C885,Weeks!$A:$A,0)),Tasks!$I:$I,"&lt;&gt;")/COUNTIFS(Tasks!$A:$A,$A885,Tasks!$B:$B,$B885)*100,0),"")</f>
        <v/>
      </c>
      <c r="G885" s="5" t="str">
        <f>IFERROR(ROUND(COUNTIFS(Tasks!$A:$A,$A885,Tasks!$B:$B,$B885,Tasks!$H:$H,"&lt;="&amp;INDEX(Weeks!$D:$D,MATCH($C885,Weeks!$A:$A,0)))/COUNTIFS(Tasks!$A:$A,$A885,Tasks!$B:$B,$B885)*100,0),"")</f>
        <v/>
      </c>
      <c r="I885">
        <f>COUNTIFS(Tasks!$A:$A,$A885,Tasks!$B:$B,$B885,Tasks!$G:$G,"&lt;="&amp;INDEX(Weeks!$D:$D,MATCH($C885,Weeks!$A:$A,0)))-COUNTIFS(Tasks!$A:$A,$A885,Tasks!$B:$B,$B885,Tasks!$I:$I,"&lt;="&amp;INDEX(Weeks!$D:$D,MATCH($C885,Weeks!$A:$A,0)),Tasks!$I:$I,"&lt;&gt;")</f>
        <v>0</v>
      </c>
      <c r="J885">
        <f>COUNTIFS(Tasks!$A:$A,$A885,Tasks!$B:$B,$B885,
Tasks!$I:$I,"&gt;"&amp;IFERROR(INDEX(Weeks!$D:$D,MATCH($C885-1,Weeks!$A:$A,0)),DATE(2000,1,1)),
Tasks!$I:$I,"&lt;="&amp;INDEX(Weeks!$D:$D,MATCH($C885,Weeks!$A:$A,0)),
Tasks!$I:$I,"&lt;&gt;")</f>
        <v>0</v>
      </c>
    </row>
    <row r="886" spans="1:10" ht="15" customHeight="1">
      <c r="A886" t="s">
        <v>107</v>
      </c>
      <c r="B886" t="s">
        <v>110</v>
      </c>
      <c r="C886">
        <v>1</v>
      </c>
      <c r="D886">
        <v>1</v>
      </c>
      <c r="E886">
        <v>1</v>
      </c>
      <c r="F886" s="5" t="str">
        <f>IFERROR(ROUND(COUNTIFS(Tasks!$A:$A,$A886,Tasks!$B:$B,$B886,Tasks!$I:$I,"&lt;="&amp;INDEX(Weeks!$D:$D,MATCH($C886,Weeks!$A:$A,0)),Tasks!$I:$I,"&lt;&gt;")/COUNTIFS(Tasks!$A:$A,$A886,Tasks!$B:$B,$B886)*100,0),"")</f>
        <v/>
      </c>
      <c r="G886" s="5" t="str">
        <f>IFERROR(ROUND(COUNTIFS(Tasks!$A:$A,$A886,Tasks!$B:$B,$B886,Tasks!$H:$H,"&lt;="&amp;INDEX(Weeks!$D:$D,MATCH($C886,Weeks!$A:$A,0)))/COUNTIFS(Tasks!$A:$A,$A886,Tasks!$B:$B,$B886)*100,0),"")</f>
        <v/>
      </c>
      <c r="H886" t="s">
        <v>109</v>
      </c>
      <c r="I886">
        <f>COUNTIFS(Tasks!$A:$A,$A886,Tasks!$B:$B,$B886,Tasks!$G:$G,"&lt;="&amp;INDEX(Weeks!$D:$D,MATCH($C886,Weeks!$A:$A,0)))-COUNTIFS(Tasks!$A:$A,$A886,Tasks!$B:$B,$B886,Tasks!$I:$I,"&lt;="&amp;INDEX(Weeks!$D:$D,MATCH($C886,Weeks!$A:$A,0)),Tasks!$I:$I,"&lt;&gt;")</f>
        <v>0</v>
      </c>
      <c r="J886">
        <f>COUNTIFS(Tasks!$A:$A,$A886,Tasks!$B:$B,$B886,
Tasks!$I:$I,"&gt;"&amp;IFERROR(INDEX(Weeks!$D:$D,MATCH($C886-1,Weeks!$A:$A,0)),DATE(2000,1,1)),
Tasks!$I:$I,"&lt;="&amp;INDEX(Weeks!$D:$D,MATCH($C886,Weeks!$A:$A,0)),
Tasks!$I:$I,"&lt;&gt;")</f>
        <v>0</v>
      </c>
    </row>
    <row r="887" spans="1:10" ht="15" customHeight="1">
      <c r="A887" t="s">
        <v>107</v>
      </c>
      <c r="B887" t="s">
        <v>110</v>
      </c>
      <c r="C887">
        <v>2</v>
      </c>
      <c r="D887">
        <v>1</v>
      </c>
      <c r="E887">
        <v>2</v>
      </c>
      <c r="F887" s="5" t="str">
        <f>IFERROR(ROUND(COUNTIFS(Tasks!$A:$A,$A887,Tasks!$B:$B,$B887,Tasks!$I:$I,"&lt;="&amp;INDEX(Weeks!$D:$D,MATCH($C887,Weeks!$A:$A,0)),Tasks!$I:$I,"&lt;&gt;")/COUNTIFS(Tasks!$A:$A,$A887,Tasks!$B:$B,$B887)*100,0),"")</f>
        <v/>
      </c>
      <c r="G887" s="5" t="str">
        <f>IFERROR(ROUND(COUNTIFS(Tasks!$A:$A,$A887,Tasks!$B:$B,$B887,Tasks!$H:$H,"&lt;="&amp;INDEX(Weeks!$D:$D,MATCH($C887,Weeks!$A:$A,0)))/COUNTIFS(Tasks!$A:$A,$A887,Tasks!$B:$B,$B887)*100,0),"")</f>
        <v/>
      </c>
      <c r="H887" t="s">
        <v>109</v>
      </c>
      <c r="I887">
        <f>COUNTIFS(Tasks!$A:$A,$A887,Tasks!$B:$B,$B887,Tasks!$G:$G,"&lt;="&amp;INDEX(Weeks!$D:$D,MATCH($C887,Weeks!$A:$A,0)))-COUNTIFS(Tasks!$A:$A,$A887,Tasks!$B:$B,$B887,Tasks!$I:$I,"&lt;="&amp;INDEX(Weeks!$D:$D,MATCH($C887,Weeks!$A:$A,0)),Tasks!$I:$I,"&lt;&gt;")</f>
        <v>0</v>
      </c>
      <c r="J887">
        <f>COUNTIFS(Tasks!$A:$A,$A887,Tasks!$B:$B,$B887,
Tasks!$I:$I,"&gt;"&amp;IFERROR(INDEX(Weeks!$D:$D,MATCH($C887-1,Weeks!$A:$A,0)),DATE(2000,1,1)),
Tasks!$I:$I,"&lt;="&amp;INDEX(Weeks!$D:$D,MATCH($C887,Weeks!$A:$A,0)),
Tasks!$I:$I,"&lt;&gt;")</f>
        <v>0</v>
      </c>
    </row>
    <row r="888" spans="1:10" ht="15" customHeight="1">
      <c r="A888" t="s">
        <v>107</v>
      </c>
      <c r="B888" t="s">
        <v>110</v>
      </c>
      <c r="C888">
        <v>3</v>
      </c>
      <c r="D888">
        <v>1</v>
      </c>
      <c r="E888">
        <v>3</v>
      </c>
      <c r="F888" s="5" t="str">
        <f>IFERROR(ROUND(COUNTIFS(Tasks!$A:$A,$A888,Tasks!$B:$B,$B888,Tasks!$I:$I,"&lt;="&amp;INDEX(Weeks!$D:$D,MATCH($C888,Weeks!$A:$A,0)),Tasks!$I:$I,"&lt;&gt;")/COUNTIFS(Tasks!$A:$A,$A888,Tasks!$B:$B,$B888)*100,0),"")</f>
        <v/>
      </c>
      <c r="G888" s="5" t="str">
        <f>IFERROR(ROUND(COUNTIFS(Tasks!$A:$A,$A888,Tasks!$B:$B,$B888,Tasks!$H:$H,"&lt;="&amp;INDEX(Weeks!$D:$D,MATCH($C888,Weeks!$A:$A,0)))/COUNTIFS(Tasks!$A:$A,$A888,Tasks!$B:$B,$B888)*100,0),"")</f>
        <v/>
      </c>
      <c r="H888" t="s">
        <v>109</v>
      </c>
      <c r="I888">
        <f>COUNTIFS(Tasks!$A:$A,$A888,Tasks!$B:$B,$B888,Tasks!$G:$G,"&lt;="&amp;INDEX(Weeks!$D:$D,MATCH($C888,Weeks!$A:$A,0)))-COUNTIFS(Tasks!$A:$A,$A888,Tasks!$B:$B,$B888,Tasks!$I:$I,"&lt;="&amp;INDEX(Weeks!$D:$D,MATCH($C888,Weeks!$A:$A,0)),Tasks!$I:$I,"&lt;&gt;")</f>
        <v>0</v>
      </c>
      <c r="J888">
        <f>COUNTIFS(Tasks!$A:$A,$A888,Tasks!$B:$B,$B888,
Tasks!$I:$I,"&gt;"&amp;IFERROR(INDEX(Weeks!$D:$D,MATCH($C888-1,Weeks!$A:$A,0)),DATE(2000,1,1)),
Tasks!$I:$I,"&lt;="&amp;INDEX(Weeks!$D:$D,MATCH($C888,Weeks!$A:$A,0)),
Tasks!$I:$I,"&lt;&gt;")</f>
        <v>0</v>
      </c>
    </row>
    <row r="889" spans="1:10" ht="15" customHeight="1">
      <c r="A889" t="s">
        <v>107</v>
      </c>
      <c r="B889" t="s">
        <v>110</v>
      </c>
      <c r="C889">
        <v>4</v>
      </c>
      <c r="D889">
        <v>1</v>
      </c>
      <c r="E889">
        <v>4</v>
      </c>
      <c r="F889" s="5" t="str">
        <f>IFERROR(ROUND(COUNTIFS(Tasks!$A:$A,$A889,Tasks!$B:$B,$B889,Tasks!$I:$I,"&lt;="&amp;INDEX(Weeks!$D:$D,MATCH($C889,Weeks!$A:$A,0)),Tasks!$I:$I,"&lt;&gt;")/COUNTIFS(Tasks!$A:$A,$A889,Tasks!$B:$B,$B889)*100,0),"")</f>
        <v/>
      </c>
      <c r="G889" s="5" t="str">
        <f>IFERROR(ROUND(COUNTIFS(Tasks!$A:$A,$A889,Tasks!$B:$B,$B889,Tasks!$H:$H,"&lt;="&amp;INDEX(Weeks!$D:$D,MATCH($C889,Weeks!$A:$A,0)))/COUNTIFS(Tasks!$A:$A,$A889,Tasks!$B:$B,$B889)*100,0),"")</f>
        <v/>
      </c>
      <c r="H889" t="s">
        <v>109</v>
      </c>
      <c r="I889">
        <f>COUNTIFS(Tasks!$A:$A,$A889,Tasks!$B:$B,$B889,Tasks!$G:$G,"&lt;="&amp;INDEX(Weeks!$D:$D,MATCH($C889,Weeks!$A:$A,0)))-COUNTIFS(Tasks!$A:$A,$A889,Tasks!$B:$B,$B889,Tasks!$I:$I,"&lt;="&amp;INDEX(Weeks!$D:$D,MATCH($C889,Weeks!$A:$A,0)),Tasks!$I:$I,"&lt;&gt;")</f>
        <v>0</v>
      </c>
      <c r="J889">
        <f>COUNTIFS(Tasks!$A:$A,$A889,Tasks!$B:$B,$B889,
Tasks!$I:$I,"&gt;"&amp;IFERROR(INDEX(Weeks!$D:$D,MATCH($C889-1,Weeks!$A:$A,0)),DATE(2000,1,1)),
Tasks!$I:$I,"&lt;="&amp;INDEX(Weeks!$D:$D,MATCH($C889,Weeks!$A:$A,0)),
Tasks!$I:$I,"&lt;&gt;")</f>
        <v>0</v>
      </c>
    </row>
    <row r="890" spans="1:10" ht="15" customHeight="1">
      <c r="A890" t="s">
        <v>107</v>
      </c>
      <c r="B890" t="s">
        <v>110</v>
      </c>
      <c r="C890">
        <v>5</v>
      </c>
      <c r="D890">
        <v>1</v>
      </c>
      <c r="E890">
        <v>5</v>
      </c>
      <c r="F890" s="5" t="str">
        <f>IFERROR(ROUND(COUNTIFS(Tasks!$A:$A,$A890,Tasks!$B:$B,$B890,Tasks!$I:$I,"&lt;="&amp;INDEX(Weeks!$D:$D,MATCH($C890,Weeks!$A:$A,0)),Tasks!$I:$I,"&lt;&gt;")/COUNTIFS(Tasks!$A:$A,$A890,Tasks!$B:$B,$B890)*100,0),"")</f>
        <v/>
      </c>
      <c r="G890" s="5" t="str">
        <f>IFERROR(ROUND(COUNTIFS(Tasks!$A:$A,$A890,Tasks!$B:$B,$B890,Tasks!$H:$H,"&lt;="&amp;INDEX(Weeks!$D:$D,MATCH($C890,Weeks!$A:$A,0)))/COUNTIFS(Tasks!$A:$A,$A890,Tasks!$B:$B,$B890)*100,0),"")</f>
        <v/>
      </c>
      <c r="H890" t="s">
        <v>109</v>
      </c>
      <c r="I890">
        <f>COUNTIFS(Tasks!$A:$A,$A890,Tasks!$B:$B,$B890,Tasks!$G:$G,"&lt;="&amp;INDEX(Weeks!$D:$D,MATCH($C890,Weeks!$A:$A,0)))-COUNTIFS(Tasks!$A:$A,$A890,Tasks!$B:$B,$B890,Tasks!$I:$I,"&lt;="&amp;INDEX(Weeks!$D:$D,MATCH($C890,Weeks!$A:$A,0)),Tasks!$I:$I,"&lt;&gt;")</f>
        <v>0</v>
      </c>
      <c r="J890">
        <f>COUNTIFS(Tasks!$A:$A,$A890,Tasks!$B:$B,$B890,
Tasks!$I:$I,"&gt;"&amp;IFERROR(INDEX(Weeks!$D:$D,MATCH($C890-1,Weeks!$A:$A,0)),DATE(2000,1,1)),
Tasks!$I:$I,"&lt;="&amp;INDEX(Weeks!$D:$D,MATCH($C890,Weeks!$A:$A,0)),
Tasks!$I:$I,"&lt;&gt;")</f>
        <v>0</v>
      </c>
    </row>
    <row r="891" spans="1:10" ht="15" customHeight="1">
      <c r="A891" t="s">
        <v>107</v>
      </c>
      <c r="B891" t="s">
        <v>110</v>
      </c>
      <c r="C891">
        <v>6</v>
      </c>
      <c r="D891">
        <v>2</v>
      </c>
      <c r="E891">
        <v>1</v>
      </c>
      <c r="F891" s="5" t="str">
        <f>IFERROR(ROUND(COUNTIFS(Tasks!$A:$A,$A891,Tasks!$B:$B,$B891,Tasks!$I:$I,"&lt;="&amp;INDEX(Weeks!$D:$D,MATCH($C891,Weeks!$A:$A,0)),Tasks!$I:$I,"&lt;&gt;")/COUNTIFS(Tasks!$A:$A,$A891,Tasks!$B:$B,$B891)*100,0),"")</f>
        <v/>
      </c>
      <c r="G891" s="5" t="str">
        <f>IFERROR(ROUND(COUNTIFS(Tasks!$A:$A,$A891,Tasks!$B:$B,$B891,Tasks!$H:$H,"&lt;="&amp;INDEX(Weeks!$D:$D,MATCH($C891,Weeks!$A:$A,0)))/COUNTIFS(Tasks!$A:$A,$A891,Tasks!$B:$B,$B891)*100,0),"")</f>
        <v/>
      </c>
      <c r="H891" t="s">
        <v>109</v>
      </c>
      <c r="I891">
        <f>COUNTIFS(Tasks!$A:$A,$A891,Tasks!$B:$B,$B891,Tasks!$G:$G,"&lt;="&amp;INDEX(Weeks!$D:$D,MATCH($C891,Weeks!$A:$A,0)))-COUNTIFS(Tasks!$A:$A,$A891,Tasks!$B:$B,$B891,Tasks!$I:$I,"&lt;="&amp;INDEX(Weeks!$D:$D,MATCH($C891,Weeks!$A:$A,0)),Tasks!$I:$I,"&lt;&gt;")</f>
        <v>0</v>
      </c>
      <c r="J891">
        <f>COUNTIFS(Tasks!$A:$A,$A891,Tasks!$B:$B,$B891,
Tasks!$I:$I,"&gt;"&amp;IFERROR(INDEX(Weeks!$D:$D,MATCH($C891-1,Weeks!$A:$A,0)),DATE(2000,1,1)),
Tasks!$I:$I,"&lt;="&amp;INDEX(Weeks!$D:$D,MATCH($C891,Weeks!$A:$A,0)),
Tasks!$I:$I,"&lt;&gt;")</f>
        <v>0</v>
      </c>
    </row>
    <row r="892" spans="1:10" ht="15" customHeight="1">
      <c r="A892" t="s">
        <v>107</v>
      </c>
      <c r="B892" t="s">
        <v>110</v>
      </c>
      <c r="C892">
        <v>7</v>
      </c>
      <c r="D892">
        <v>2</v>
      </c>
      <c r="E892">
        <v>2</v>
      </c>
      <c r="F892" s="5" t="str">
        <f>IFERROR(ROUND(COUNTIFS(Tasks!$A:$A,$A892,Tasks!$B:$B,$B892,Tasks!$I:$I,"&lt;="&amp;INDEX(Weeks!$D:$D,MATCH($C892,Weeks!$A:$A,0)),Tasks!$I:$I,"&lt;&gt;")/COUNTIFS(Tasks!$A:$A,$A892,Tasks!$B:$B,$B892)*100,0),"")</f>
        <v/>
      </c>
      <c r="G892" s="5" t="str">
        <f>IFERROR(ROUND(COUNTIFS(Tasks!$A:$A,$A892,Tasks!$B:$B,$B892,Tasks!$H:$H,"&lt;="&amp;INDEX(Weeks!$D:$D,MATCH($C892,Weeks!$A:$A,0)))/COUNTIFS(Tasks!$A:$A,$A892,Tasks!$B:$B,$B892)*100,0),"")</f>
        <v/>
      </c>
      <c r="H892" t="s">
        <v>109</v>
      </c>
      <c r="I892">
        <f>COUNTIFS(Tasks!$A:$A,$A892,Tasks!$B:$B,$B892,Tasks!$G:$G,"&lt;="&amp;INDEX(Weeks!$D:$D,MATCH($C892,Weeks!$A:$A,0)))-COUNTIFS(Tasks!$A:$A,$A892,Tasks!$B:$B,$B892,Tasks!$I:$I,"&lt;="&amp;INDEX(Weeks!$D:$D,MATCH($C892,Weeks!$A:$A,0)),Tasks!$I:$I,"&lt;&gt;")</f>
        <v>0</v>
      </c>
      <c r="J892">
        <f>COUNTIFS(Tasks!$A:$A,$A892,Tasks!$B:$B,$B892,
Tasks!$I:$I,"&gt;"&amp;IFERROR(INDEX(Weeks!$D:$D,MATCH($C892-1,Weeks!$A:$A,0)),DATE(2000,1,1)),
Tasks!$I:$I,"&lt;="&amp;INDEX(Weeks!$D:$D,MATCH($C892,Weeks!$A:$A,0)),
Tasks!$I:$I,"&lt;&gt;")</f>
        <v>0</v>
      </c>
    </row>
    <row r="893" spans="1:10" ht="15" customHeight="1">
      <c r="A893" t="s">
        <v>107</v>
      </c>
      <c r="B893" t="s">
        <v>110</v>
      </c>
      <c r="C893">
        <v>8</v>
      </c>
      <c r="D893">
        <v>2</v>
      </c>
      <c r="E893">
        <v>3</v>
      </c>
      <c r="F893" s="5" t="str">
        <f>IFERROR(ROUND(COUNTIFS(Tasks!$A:$A,$A893,Tasks!$B:$B,$B893,Tasks!$I:$I,"&lt;="&amp;INDEX(Weeks!$D:$D,MATCH($C893,Weeks!$A:$A,0)),Tasks!$I:$I,"&lt;&gt;")/COUNTIFS(Tasks!$A:$A,$A893,Tasks!$B:$B,$B893)*100,0),"")</f>
        <v/>
      </c>
      <c r="G893" s="5" t="str">
        <f>IFERROR(ROUND(COUNTIFS(Tasks!$A:$A,$A893,Tasks!$B:$B,$B893,Tasks!$H:$H,"&lt;="&amp;INDEX(Weeks!$D:$D,MATCH($C893,Weeks!$A:$A,0)))/COUNTIFS(Tasks!$A:$A,$A893,Tasks!$B:$B,$B893)*100,0),"")</f>
        <v/>
      </c>
      <c r="H893" t="s">
        <v>109</v>
      </c>
      <c r="I893">
        <f>COUNTIFS(Tasks!$A:$A,$A893,Tasks!$B:$B,$B893,Tasks!$G:$G,"&lt;="&amp;INDEX(Weeks!$D:$D,MATCH($C893,Weeks!$A:$A,0)))-COUNTIFS(Tasks!$A:$A,$A893,Tasks!$B:$B,$B893,Tasks!$I:$I,"&lt;="&amp;INDEX(Weeks!$D:$D,MATCH($C893,Weeks!$A:$A,0)),Tasks!$I:$I,"&lt;&gt;")</f>
        <v>0</v>
      </c>
      <c r="J893">
        <f>COUNTIFS(Tasks!$A:$A,$A893,Tasks!$B:$B,$B893,
Tasks!$I:$I,"&gt;"&amp;IFERROR(INDEX(Weeks!$D:$D,MATCH($C893-1,Weeks!$A:$A,0)),DATE(2000,1,1)),
Tasks!$I:$I,"&lt;="&amp;INDEX(Weeks!$D:$D,MATCH($C893,Weeks!$A:$A,0)),
Tasks!$I:$I,"&lt;&gt;")</f>
        <v>0</v>
      </c>
    </row>
    <row r="894" spans="1:10" ht="15" customHeight="1">
      <c r="A894" t="s">
        <v>107</v>
      </c>
      <c r="B894" t="s">
        <v>110</v>
      </c>
      <c r="C894">
        <v>9</v>
      </c>
      <c r="D894">
        <v>2</v>
      </c>
      <c r="E894">
        <v>4</v>
      </c>
      <c r="F894" s="5" t="str">
        <f>IFERROR(ROUND(COUNTIFS(Tasks!$A:$A,$A894,Tasks!$B:$B,$B894,Tasks!$I:$I,"&lt;="&amp;INDEX(Weeks!$D:$D,MATCH($C894,Weeks!$A:$A,0)),Tasks!$I:$I,"&lt;&gt;")/COUNTIFS(Tasks!$A:$A,$A894,Tasks!$B:$B,$B894)*100,0),"")</f>
        <v/>
      </c>
      <c r="G894" s="5" t="str">
        <f>IFERROR(ROUND(COUNTIFS(Tasks!$A:$A,$A894,Tasks!$B:$B,$B894,Tasks!$H:$H,"&lt;="&amp;INDEX(Weeks!$D:$D,MATCH($C894,Weeks!$A:$A,0)))/COUNTIFS(Tasks!$A:$A,$A894,Tasks!$B:$B,$B894)*100,0),"")</f>
        <v/>
      </c>
      <c r="H894" t="s">
        <v>109</v>
      </c>
      <c r="I894">
        <f>COUNTIFS(Tasks!$A:$A,$A894,Tasks!$B:$B,$B894,Tasks!$G:$G,"&lt;="&amp;INDEX(Weeks!$D:$D,MATCH($C894,Weeks!$A:$A,0)))-COUNTIFS(Tasks!$A:$A,$A894,Tasks!$B:$B,$B894,Tasks!$I:$I,"&lt;="&amp;INDEX(Weeks!$D:$D,MATCH($C894,Weeks!$A:$A,0)),Tasks!$I:$I,"&lt;&gt;")</f>
        <v>0</v>
      </c>
      <c r="J894">
        <f>COUNTIFS(Tasks!$A:$A,$A894,Tasks!$B:$B,$B894,
Tasks!$I:$I,"&gt;"&amp;IFERROR(INDEX(Weeks!$D:$D,MATCH($C894-1,Weeks!$A:$A,0)),DATE(2000,1,1)),
Tasks!$I:$I,"&lt;="&amp;INDEX(Weeks!$D:$D,MATCH($C894,Weeks!$A:$A,0)),
Tasks!$I:$I,"&lt;&gt;")</f>
        <v>0</v>
      </c>
    </row>
    <row r="895" spans="1:10" ht="15" customHeight="1">
      <c r="A895" t="s">
        <v>107</v>
      </c>
      <c r="B895" t="s">
        <v>110</v>
      </c>
      <c r="C895">
        <v>10</v>
      </c>
      <c r="D895">
        <v>3</v>
      </c>
      <c r="E895">
        <v>1</v>
      </c>
      <c r="F895" s="5" t="str">
        <f>IFERROR(ROUND(COUNTIFS(Tasks!$A:$A,$A895,Tasks!$B:$B,$B895,Tasks!$I:$I,"&lt;="&amp;INDEX(Weeks!$D:$D,MATCH($C895,Weeks!$A:$A,0)),Tasks!$I:$I,"&lt;&gt;")/COUNTIFS(Tasks!$A:$A,$A895,Tasks!$B:$B,$B895)*100,0),"")</f>
        <v/>
      </c>
      <c r="G895" s="5" t="str">
        <f>IFERROR(ROUND(COUNTIFS(Tasks!$A:$A,$A895,Tasks!$B:$B,$B895,Tasks!$H:$H,"&lt;="&amp;INDEX(Weeks!$D:$D,MATCH($C895,Weeks!$A:$A,0)))/COUNTIFS(Tasks!$A:$A,$A895,Tasks!$B:$B,$B895)*100,0),"")</f>
        <v/>
      </c>
      <c r="H895" t="s">
        <v>109</v>
      </c>
      <c r="I895">
        <f>COUNTIFS(Tasks!$A:$A,$A895,Tasks!$B:$B,$B895,Tasks!$G:$G,"&lt;="&amp;INDEX(Weeks!$D:$D,MATCH($C895,Weeks!$A:$A,0)))-COUNTIFS(Tasks!$A:$A,$A895,Tasks!$B:$B,$B895,Tasks!$I:$I,"&lt;="&amp;INDEX(Weeks!$D:$D,MATCH($C895,Weeks!$A:$A,0)),Tasks!$I:$I,"&lt;&gt;")</f>
        <v>0</v>
      </c>
      <c r="J895">
        <f>COUNTIFS(Tasks!$A:$A,$A895,Tasks!$B:$B,$B895,
Tasks!$I:$I,"&gt;"&amp;IFERROR(INDEX(Weeks!$D:$D,MATCH($C895-1,Weeks!$A:$A,0)),DATE(2000,1,1)),
Tasks!$I:$I,"&lt;="&amp;INDEX(Weeks!$D:$D,MATCH($C895,Weeks!$A:$A,0)),
Tasks!$I:$I,"&lt;&gt;")</f>
        <v>0</v>
      </c>
    </row>
    <row r="896" spans="1:10" ht="15" customHeight="1">
      <c r="A896" t="s">
        <v>107</v>
      </c>
      <c r="B896" t="s">
        <v>110</v>
      </c>
      <c r="C896">
        <v>11</v>
      </c>
      <c r="D896">
        <v>3</v>
      </c>
      <c r="E896">
        <v>2</v>
      </c>
      <c r="F896" s="5" t="str">
        <f>IFERROR(ROUND(COUNTIFS(Tasks!$A:$A,$A896,Tasks!$B:$B,$B896,Tasks!$I:$I,"&lt;="&amp;INDEX(Weeks!$D:$D,MATCH($C896,Weeks!$A:$A,0)),Tasks!$I:$I,"&lt;&gt;")/COUNTIFS(Tasks!$A:$A,$A896,Tasks!$B:$B,$B896)*100,0),"")</f>
        <v/>
      </c>
      <c r="G896" s="5" t="str">
        <f>IFERROR(ROUND(COUNTIFS(Tasks!$A:$A,$A896,Tasks!$B:$B,$B896,Tasks!$H:$H,"&lt;="&amp;INDEX(Weeks!$D:$D,MATCH($C896,Weeks!$A:$A,0)))/COUNTIFS(Tasks!$A:$A,$A896,Tasks!$B:$B,$B896)*100,0),"")</f>
        <v/>
      </c>
      <c r="H896" t="s">
        <v>109</v>
      </c>
      <c r="I896">
        <f>COUNTIFS(Tasks!$A:$A,$A896,Tasks!$B:$B,$B896,Tasks!$G:$G,"&lt;="&amp;INDEX(Weeks!$D:$D,MATCH($C896,Weeks!$A:$A,0)))-COUNTIFS(Tasks!$A:$A,$A896,Tasks!$B:$B,$B896,Tasks!$I:$I,"&lt;="&amp;INDEX(Weeks!$D:$D,MATCH($C896,Weeks!$A:$A,0)),Tasks!$I:$I,"&lt;&gt;")</f>
        <v>0</v>
      </c>
      <c r="J896">
        <f>COUNTIFS(Tasks!$A:$A,$A896,Tasks!$B:$B,$B896,
Tasks!$I:$I,"&gt;"&amp;IFERROR(INDEX(Weeks!$D:$D,MATCH($C896-1,Weeks!$A:$A,0)),DATE(2000,1,1)),
Tasks!$I:$I,"&lt;="&amp;INDEX(Weeks!$D:$D,MATCH($C896,Weeks!$A:$A,0)),
Tasks!$I:$I,"&lt;&gt;")</f>
        <v>0</v>
      </c>
    </row>
    <row r="897" spans="1:10" ht="15" customHeight="1">
      <c r="A897" t="s">
        <v>107</v>
      </c>
      <c r="B897" t="s">
        <v>110</v>
      </c>
      <c r="C897">
        <v>12</v>
      </c>
      <c r="D897">
        <v>3</v>
      </c>
      <c r="E897">
        <v>3</v>
      </c>
      <c r="F897" s="5" t="str">
        <f>IFERROR(ROUND(COUNTIFS(Tasks!$A:$A,$A897,Tasks!$B:$B,$B897,Tasks!$I:$I,"&lt;="&amp;INDEX(Weeks!$D:$D,MATCH($C897,Weeks!$A:$A,0)),Tasks!$I:$I,"&lt;&gt;")/COUNTIFS(Tasks!$A:$A,$A897,Tasks!$B:$B,$B897)*100,0),"")</f>
        <v/>
      </c>
      <c r="G897" s="5" t="str">
        <f>IFERROR(ROUND(COUNTIFS(Tasks!$A:$A,$A897,Tasks!$B:$B,$B897,Tasks!$H:$H,"&lt;="&amp;INDEX(Weeks!$D:$D,MATCH($C897,Weeks!$A:$A,0)))/COUNTIFS(Tasks!$A:$A,$A897,Tasks!$B:$B,$B897)*100,0),"")</f>
        <v/>
      </c>
      <c r="H897" t="s">
        <v>109</v>
      </c>
      <c r="I897">
        <f>COUNTIFS(Tasks!$A:$A,$A897,Tasks!$B:$B,$B897,Tasks!$G:$G,"&lt;="&amp;INDEX(Weeks!$D:$D,MATCH($C897,Weeks!$A:$A,0)))-COUNTIFS(Tasks!$A:$A,$A897,Tasks!$B:$B,$B897,Tasks!$I:$I,"&lt;="&amp;INDEX(Weeks!$D:$D,MATCH($C897,Weeks!$A:$A,0)),Tasks!$I:$I,"&lt;&gt;")</f>
        <v>0</v>
      </c>
      <c r="J897">
        <f>COUNTIFS(Tasks!$A:$A,$A897,Tasks!$B:$B,$B897,
Tasks!$I:$I,"&gt;"&amp;IFERROR(INDEX(Weeks!$D:$D,MATCH($C897-1,Weeks!$A:$A,0)),DATE(2000,1,1)),
Tasks!$I:$I,"&lt;="&amp;INDEX(Weeks!$D:$D,MATCH($C897,Weeks!$A:$A,0)),
Tasks!$I:$I,"&lt;&gt;")</f>
        <v>0</v>
      </c>
    </row>
    <row r="898" spans="1:10" ht="15" customHeight="1">
      <c r="A898" t="s">
        <v>107</v>
      </c>
      <c r="B898" t="s">
        <v>110</v>
      </c>
      <c r="C898">
        <v>13</v>
      </c>
      <c r="D898">
        <v>3</v>
      </c>
      <c r="E898">
        <v>4</v>
      </c>
      <c r="F898" s="5" t="str">
        <f>IFERROR(ROUND(COUNTIFS(Tasks!$A:$A,$A898,Tasks!$B:$B,$B898,Tasks!$I:$I,"&lt;="&amp;INDEX(Weeks!$D:$D,MATCH($C898,Weeks!$A:$A,0)),Tasks!$I:$I,"&lt;&gt;")/COUNTIFS(Tasks!$A:$A,$A898,Tasks!$B:$B,$B898)*100,0),"")</f>
        <v/>
      </c>
      <c r="G898" s="5" t="str">
        <f>IFERROR(ROUND(COUNTIFS(Tasks!$A:$A,$A898,Tasks!$B:$B,$B898,Tasks!$H:$H,"&lt;="&amp;INDEX(Weeks!$D:$D,MATCH($C898,Weeks!$A:$A,0)))/COUNTIFS(Tasks!$A:$A,$A898,Tasks!$B:$B,$B898)*100,0),"")</f>
        <v/>
      </c>
      <c r="H898" t="s">
        <v>109</v>
      </c>
      <c r="I898">
        <f>COUNTIFS(Tasks!$A:$A,$A898,Tasks!$B:$B,$B898,Tasks!$G:$G,"&lt;="&amp;INDEX(Weeks!$D:$D,MATCH($C898,Weeks!$A:$A,0)))-COUNTIFS(Tasks!$A:$A,$A898,Tasks!$B:$B,$B898,Tasks!$I:$I,"&lt;="&amp;INDEX(Weeks!$D:$D,MATCH($C898,Weeks!$A:$A,0)),Tasks!$I:$I,"&lt;&gt;")</f>
        <v>0</v>
      </c>
      <c r="J898">
        <f>COUNTIFS(Tasks!$A:$A,$A898,Tasks!$B:$B,$B898,
Tasks!$I:$I,"&gt;"&amp;IFERROR(INDEX(Weeks!$D:$D,MATCH($C898-1,Weeks!$A:$A,0)),DATE(2000,1,1)),
Tasks!$I:$I,"&lt;="&amp;INDEX(Weeks!$D:$D,MATCH($C898,Weeks!$A:$A,0)),
Tasks!$I:$I,"&lt;&gt;")</f>
        <v>0</v>
      </c>
    </row>
    <row r="899" spans="1:10" ht="15" customHeight="1">
      <c r="A899" t="s">
        <v>107</v>
      </c>
      <c r="B899" t="s">
        <v>110</v>
      </c>
      <c r="C899">
        <v>14</v>
      </c>
      <c r="D899">
        <v>4</v>
      </c>
      <c r="E899">
        <v>1</v>
      </c>
      <c r="F899" s="5" t="str">
        <f>IFERROR(ROUND(COUNTIFS(Tasks!$A:$A,$A899,Tasks!$B:$B,$B899,Tasks!$I:$I,"&lt;="&amp;INDEX(Weeks!$D:$D,MATCH($C899,Weeks!$A:$A,0)),Tasks!$I:$I,"&lt;&gt;")/COUNTIFS(Tasks!$A:$A,$A899,Tasks!$B:$B,$B899)*100,0),"")</f>
        <v/>
      </c>
      <c r="G899" s="5" t="str">
        <f>IFERROR(ROUND(COUNTIFS(Tasks!$A:$A,$A899,Tasks!$B:$B,$B899,Tasks!$H:$H,"&lt;="&amp;INDEX(Weeks!$D:$D,MATCH($C899,Weeks!$A:$A,0)))/COUNTIFS(Tasks!$A:$A,$A899,Tasks!$B:$B,$B899)*100,0),"")</f>
        <v/>
      </c>
      <c r="H899" t="s">
        <v>109</v>
      </c>
      <c r="I899">
        <f>COUNTIFS(Tasks!$A:$A,$A899,Tasks!$B:$B,$B899,Tasks!$G:$G,"&lt;="&amp;INDEX(Weeks!$D:$D,MATCH($C899,Weeks!$A:$A,0)))-COUNTIFS(Tasks!$A:$A,$A899,Tasks!$B:$B,$B899,Tasks!$I:$I,"&lt;="&amp;INDEX(Weeks!$D:$D,MATCH($C899,Weeks!$A:$A,0)),Tasks!$I:$I,"&lt;&gt;")</f>
        <v>0</v>
      </c>
      <c r="J899">
        <f>COUNTIFS(Tasks!$A:$A,$A899,Tasks!$B:$B,$B899,
Tasks!$I:$I,"&gt;"&amp;IFERROR(INDEX(Weeks!$D:$D,MATCH($C899-1,Weeks!$A:$A,0)),DATE(2000,1,1)),
Tasks!$I:$I,"&lt;="&amp;INDEX(Weeks!$D:$D,MATCH($C899,Weeks!$A:$A,0)),
Tasks!$I:$I,"&lt;&gt;")</f>
        <v>0</v>
      </c>
    </row>
    <row r="900" spans="1:10" ht="15" customHeight="1">
      <c r="A900" t="s">
        <v>107</v>
      </c>
      <c r="B900" t="s">
        <v>110</v>
      </c>
      <c r="C900">
        <v>15</v>
      </c>
      <c r="D900">
        <v>4</v>
      </c>
      <c r="E900">
        <v>2</v>
      </c>
      <c r="F900" s="5" t="str">
        <f>IFERROR(ROUND(COUNTIFS(Tasks!$A:$A,$A900,Tasks!$B:$B,$B900,Tasks!$I:$I,"&lt;="&amp;INDEX(Weeks!$D:$D,MATCH($C900,Weeks!$A:$A,0)),Tasks!$I:$I,"&lt;&gt;")/COUNTIFS(Tasks!$A:$A,$A900,Tasks!$B:$B,$B900)*100,0),"")</f>
        <v/>
      </c>
      <c r="G900" s="5" t="str">
        <f>IFERROR(ROUND(COUNTIFS(Tasks!$A:$A,$A900,Tasks!$B:$B,$B900,Tasks!$H:$H,"&lt;="&amp;INDEX(Weeks!$D:$D,MATCH($C900,Weeks!$A:$A,0)))/COUNTIFS(Tasks!$A:$A,$A900,Tasks!$B:$B,$B900)*100,0),"")</f>
        <v/>
      </c>
      <c r="H900" t="s">
        <v>109</v>
      </c>
      <c r="I900">
        <f>COUNTIFS(Tasks!$A:$A,$A900,Tasks!$B:$B,$B900,Tasks!$G:$G,"&lt;="&amp;INDEX(Weeks!$D:$D,MATCH($C900,Weeks!$A:$A,0)))-COUNTIFS(Tasks!$A:$A,$A900,Tasks!$B:$B,$B900,Tasks!$I:$I,"&lt;="&amp;INDEX(Weeks!$D:$D,MATCH($C900,Weeks!$A:$A,0)),Tasks!$I:$I,"&lt;&gt;")</f>
        <v>0</v>
      </c>
      <c r="J900">
        <f>COUNTIFS(Tasks!$A:$A,$A900,Tasks!$B:$B,$B900,
Tasks!$I:$I,"&gt;"&amp;IFERROR(INDEX(Weeks!$D:$D,MATCH($C900-1,Weeks!$A:$A,0)),DATE(2000,1,1)),
Tasks!$I:$I,"&lt;="&amp;INDEX(Weeks!$D:$D,MATCH($C900,Weeks!$A:$A,0)),
Tasks!$I:$I,"&lt;&gt;")</f>
        <v>0</v>
      </c>
    </row>
    <row r="901" spans="1:10" ht="15" customHeight="1">
      <c r="A901" t="s">
        <v>107</v>
      </c>
      <c r="B901" t="s">
        <v>110</v>
      </c>
      <c r="C901">
        <v>16</v>
      </c>
      <c r="D901">
        <v>4</v>
      </c>
      <c r="E901">
        <v>3</v>
      </c>
      <c r="F901" s="5" t="str">
        <f>IFERROR(ROUND(COUNTIFS(Tasks!$A:$A,$A901,Tasks!$B:$B,$B901,Tasks!$I:$I,"&lt;="&amp;INDEX(Weeks!$D:$D,MATCH($C901,Weeks!$A:$A,0)),Tasks!$I:$I,"&lt;&gt;")/COUNTIFS(Tasks!$A:$A,$A901,Tasks!$B:$B,$B901)*100,0),"")</f>
        <v/>
      </c>
      <c r="G901" s="5" t="str">
        <f>IFERROR(ROUND(COUNTIFS(Tasks!$A:$A,$A901,Tasks!$B:$B,$B901,Tasks!$H:$H,"&lt;="&amp;INDEX(Weeks!$D:$D,MATCH($C901,Weeks!$A:$A,0)))/COUNTIFS(Tasks!$A:$A,$A901,Tasks!$B:$B,$B901)*100,0),"")</f>
        <v/>
      </c>
      <c r="H901" t="s">
        <v>109</v>
      </c>
      <c r="I901">
        <f>COUNTIFS(Tasks!$A:$A,$A901,Tasks!$B:$B,$B901,Tasks!$G:$G,"&lt;="&amp;INDEX(Weeks!$D:$D,MATCH($C901,Weeks!$A:$A,0)))-COUNTIFS(Tasks!$A:$A,$A901,Tasks!$B:$B,$B901,Tasks!$I:$I,"&lt;="&amp;INDEX(Weeks!$D:$D,MATCH($C901,Weeks!$A:$A,0)),Tasks!$I:$I,"&lt;&gt;")</f>
        <v>0</v>
      </c>
      <c r="J901">
        <f>COUNTIFS(Tasks!$A:$A,$A901,Tasks!$B:$B,$B901,
Tasks!$I:$I,"&gt;"&amp;IFERROR(INDEX(Weeks!$D:$D,MATCH($C901-1,Weeks!$A:$A,0)),DATE(2000,1,1)),
Tasks!$I:$I,"&lt;="&amp;INDEX(Weeks!$D:$D,MATCH($C901,Weeks!$A:$A,0)),
Tasks!$I:$I,"&lt;&gt;")</f>
        <v>0</v>
      </c>
    </row>
    <row r="902" spans="1:10" ht="15" customHeight="1">
      <c r="A902" t="s">
        <v>107</v>
      </c>
      <c r="B902" t="s">
        <v>110</v>
      </c>
      <c r="C902">
        <v>17</v>
      </c>
      <c r="D902">
        <v>4</v>
      </c>
      <c r="E902">
        <v>4</v>
      </c>
      <c r="F902" s="5" t="str">
        <f>IFERROR(ROUND(COUNTIFS(Tasks!$A:$A,$A902,Tasks!$B:$B,$B902,Tasks!$I:$I,"&lt;="&amp;INDEX(Weeks!$D:$D,MATCH($C902,Weeks!$A:$A,0)),Tasks!$I:$I,"&lt;&gt;")/COUNTIFS(Tasks!$A:$A,$A902,Tasks!$B:$B,$B902)*100,0),"")</f>
        <v/>
      </c>
      <c r="G902" s="5" t="str">
        <f>IFERROR(ROUND(COUNTIFS(Tasks!$A:$A,$A902,Tasks!$B:$B,$B902,Tasks!$H:$H,"&lt;="&amp;INDEX(Weeks!$D:$D,MATCH($C902,Weeks!$A:$A,0)))/COUNTIFS(Tasks!$A:$A,$A902,Tasks!$B:$B,$B902)*100,0),"")</f>
        <v/>
      </c>
      <c r="H902" t="s">
        <v>109</v>
      </c>
      <c r="I902">
        <f>COUNTIFS(Tasks!$A:$A,$A902,Tasks!$B:$B,$B902,Tasks!$G:$G,"&lt;="&amp;INDEX(Weeks!$D:$D,MATCH($C902,Weeks!$A:$A,0)))-COUNTIFS(Tasks!$A:$A,$A902,Tasks!$B:$B,$B902,Tasks!$I:$I,"&lt;="&amp;INDEX(Weeks!$D:$D,MATCH($C902,Weeks!$A:$A,0)),Tasks!$I:$I,"&lt;&gt;")</f>
        <v>0</v>
      </c>
      <c r="J902">
        <f>COUNTIFS(Tasks!$A:$A,$A902,Tasks!$B:$B,$B902,
Tasks!$I:$I,"&gt;"&amp;IFERROR(INDEX(Weeks!$D:$D,MATCH($C902-1,Weeks!$A:$A,0)),DATE(2000,1,1)),
Tasks!$I:$I,"&lt;="&amp;INDEX(Weeks!$D:$D,MATCH($C902,Weeks!$A:$A,0)),
Tasks!$I:$I,"&lt;&gt;")</f>
        <v>0</v>
      </c>
    </row>
    <row r="903" spans="1:10" ht="15" customHeight="1">
      <c r="A903" t="s">
        <v>107</v>
      </c>
      <c r="B903" t="s">
        <v>110</v>
      </c>
      <c r="C903">
        <v>18</v>
      </c>
      <c r="D903">
        <v>5</v>
      </c>
      <c r="E903">
        <v>1</v>
      </c>
      <c r="F903" s="5" t="str">
        <f>IFERROR(ROUND(COUNTIFS(Tasks!$A:$A,$A903,Tasks!$B:$B,$B903,Tasks!$I:$I,"&lt;="&amp;INDEX(Weeks!$D:$D,MATCH($C903,Weeks!$A:$A,0)),Tasks!$I:$I,"&lt;&gt;")/COUNTIFS(Tasks!$A:$A,$A903,Tasks!$B:$B,$B903)*100,0),"")</f>
        <v/>
      </c>
      <c r="G903" s="5" t="str">
        <f>IFERROR(ROUND(COUNTIFS(Tasks!$A:$A,$A903,Tasks!$B:$B,$B903,Tasks!$H:$H,"&lt;="&amp;INDEX(Weeks!$D:$D,MATCH($C903,Weeks!$A:$A,0)))/COUNTIFS(Tasks!$A:$A,$A903,Tasks!$B:$B,$B903)*100,0),"")</f>
        <v/>
      </c>
      <c r="H903" t="s">
        <v>109</v>
      </c>
      <c r="I903">
        <f>COUNTIFS(Tasks!$A:$A,$A903,Tasks!$B:$B,$B903,Tasks!$G:$G,"&lt;="&amp;INDEX(Weeks!$D:$D,MATCH($C903,Weeks!$A:$A,0)))-COUNTIFS(Tasks!$A:$A,$A903,Tasks!$B:$B,$B903,Tasks!$I:$I,"&lt;="&amp;INDEX(Weeks!$D:$D,MATCH($C903,Weeks!$A:$A,0)),Tasks!$I:$I,"&lt;&gt;")</f>
        <v>0</v>
      </c>
      <c r="J903">
        <f>COUNTIFS(Tasks!$A:$A,$A903,Tasks!$B:$B,$B903,
Tasks!$I:$I,"&gt;"&amp;IFERROR(INDEX(Weeks!$D:$D,MATCH($C903-1,Weeks!$A:$A,0)),DATE(2000,1,1)),
Tasks!$I:$I,"&lt;="&amp;INDEX(Weeks!$D:$D,MATCH($C903,Weeks!$A:$A,0)),
Tasks!$I:$I,"&lt;&gt;")</f>
        <v>0</v>
      </c>
    </row>
    <row r="904" spans="1:10" ht="15" customHeight="1">
      <c r="A904" t="s">
        <v>107</v>
      </c>
      <c r="B904" t="s">
        <v>110</v>
      </c>
      <c r="C904">
        <v>19</v>
      </c>
      <c r="D904">
        <v>5</v>
      </c>
      <c r="E904">
        <v>2</v>
      </c>
      <c r="F904" s="5" t="str">
        <f>IFERROR(ROUND(COUNTIFS(Tasks!$A:$A,$A904,Tasks!$B:$B,$B904,Tasks!$I:$I,"&lt;="&amp;INDEX(Weeks!$D:$D,MATCH($C904,Weeks!$A:$A,0)),Tasks!$I:$I,"&lt;&gt;")/COUNTIFS(Tasks!$A:$A,$A904,Tasks!$B:$B,$B904)*100,0),"")</f>
        <v/>
      </c>
      <c r="G904" s="5" t="str">
        <f>IFERROR(ROUND(COUNTIFS(Tasks!$A:$A,$A904,Tasks!$B:$B,$B904,Tasks!$H:$H,"&lt;="&amp;INDEX(Weeks!$D:$D,MATCH($C904,Weeks!$A:$A,0)))/COUNTIFS(Tasks!$A:$A,$A904,Tasks!$B:$B,$B904)*100,0),"")</f>
        <v/>
      </c>
      <c r="H904" t="s">
        <v>109</v>
      </c>
      <c r="I904">
        <f>COUNTIFS(Tasks!$A:$A,$A904,Tasks!$B:$B,$B904,Tasks!$G:$G,"&lt;="&amp;INDEX(Weeks!$D:$D,MATCH($C904,Weeks!$A:$A,0)))-COUNTIFS(Tasks!$A:$A,$A904,Tasks!$B:$B,$B904,Tasks!$I:$I,"&lt;="&amp;INDEX(Weeks!$D:$D,MATCH($C904,Weeks!$A:$A,0)),Tasks!$I:$I,"&lt;&gt;")</f>
        <v>0</v>
      </c>
      <c r="J904">
        <f>COUNTIFS(Tasks!$A:$A,$A904,Tasks!$B:$B,$B904,
Tasks!$I:$I,"&gt;"&amp;IFERROR(INDEX(Weeks!$D:$D,MATCH($C904-1,Weeks!$A:$A,0)),DATE(2000,1,1)),
Tasks!$I:$I,"&lt;="&amp;INDEX(Weeks!$D:$D,MATCH($C904,Weeks!$A:$A,0)),
Tasks!$I:$I,"&lt;&gt;")</f>
        <v>0</v>
      </c>
    </row>
    <row r="905" spans="1:10" ht="15" customHeight="1">
      <c r="A905" t="s">
        <v>107</v>
      </c>
      <c r="B905" t="s">
        <v>110</v>
      </c>
      <c r="C905">
        <v>20</v>
      </c>
      <c r="D905">
        <v>5</v>
      </c>
      <c r="E905">
        <v>3</v>
      </c>
      <c r="F905" s="5" t="str">
        <f>IFERROR(ROUND(COUNTIFS(Tasks!$A:$A,$A905,Tasks!$B:$B,$B905,Tasks!$I:$I,"&lt;="&amp;INDEX(Weeks!$D:$D,MATCH($C905,Weeks!$A:$A,0)),Tasks!$I:$I,"&lt;&gt;")/COUNTIFS(Tasks!$A:$A,$A905,Tasks!$B:$B,$B905)*100,0),"")</f>
        <v/>
      </c>
      <c r="G905" s="5" t="str">
        <f>IFERROR(ROUND(COUNTIFS(Tasks!$A:$A,$A905,Tasks!$B:$B,$B905,Tasks!$H:$H,"&lt;="&amp;INDEX(Weeks!$D:$D,MATCH($C905,Weeks!$A:$A,0)))/COUNTIFS(Tasks!$A:$A,$A905,Tasks!$B:$B,$B905)*100,0),"")</f>
        <v/>
      </c>
      <c r="H905" t="s">
        <v>109</v>
      </c>
      <c r="I905">
        <f>COUNTIFS(Tasks!$A:$A,$A905,Tasks!$B:$B,$B905,Tasks!$G:$G,"&lt;="&amp;INDEX(Weeks!$D:$D,MATCH($C905,Weeks!$A:$A,0)))-COUNTIFS(Tasks!$A:$A,$A905,Tasks!$B:$B,$B905,Tasks!$I:$I,"&lt;="&amp;INDEX(Weeks!$D:$D,MATCH($C905,Weeks!$A:$A,0)),Tasks!$I:$I,"&lt;&gt;")</f>
        <v>0</v>
      </c>
      <c r="J905">
        <f>COUNTIFS(Tasks!$A:$A,$A905,Tasks!$B:$B,$B905,
Tasks!$I:$I,"&gt;"&amp;IFERROR(INDEX(Weeks!$D:$D,MATCH($C905-1,Weeks!$A:$A,0)),DATE(2000,1,1)),
Tasks!$I:$I,"&lt;="&amp;INDEX(Weeks!$D:$D,MATCH($C905,Weeks!$A:$A,0)),
Tasks!$I:$I,"&lt;&gt;")</f>
        <v>0</v>
      </c>
    </row>
    <row r="906" spans="1:10" ht="15" customHeight="1">
      <c r="A906" t="s">
        <v>107</v>
      </c>
      <c r="B906" t="s">
        <v>110</v>
      </c>
      <c r="C906">
        <v>21</v>
      </c>
      <c r="D906">
        <v>5</v>
      </c>
      <c r="E906">
        <v>4</v>
      </c>
      <c r="F906" s="5" t="str">
        <f>IFERROR(ROUND(COUNTIFS(Tasks!$A:$A,$A906,Tasks!$B:$B,$B906,Tasks!$I:$I,"&lt;="&amp;INDEX(Weeks!$D:$D,MATCH($C906,Weeks!$A:$A,0)),Tasks!$I:$I,"&lt;&gt;")/COUNTIFS(Tasks!$A:$A,$A906,Tasks!$B:$B,$B906)*100,0),"")</f>
        <v/>
      </c>
      <c r="G906" s="5" t="str">
        <f>IFERROR(ROUND(COUNTIFS(Tasks!$A:$A,$A906,Tasks!$B:$B,$B906,Tasks!$H:$H,"&lt;="&amp;INDEX(Weeks!$D:$D,MATCH($C906,Weeks!$A:$A,0)))/COUNTIFS(Tasks!$A:$A,$A906,Tasks!$B:$B,$B906)*100,0),"")</f>
        <v/>
      </c>
      <c r="H906" t="s">
        <v>109</v>
      </c>
      <c r="I906">
        <f>COUNTIFS(Tasks!$A:$A,$A906,Tasks!$B:$B,$B906,Tasks!$G:$G,"&lt;="&amp;INDEX(Weeks!$D:$D,MATCH($C906,Weeks!$A:$A,0)))-COUNTIFS(Tasks!$A:$A,$A906,Tasks!$B:$B,$B906,Tasks!$I:$I,"&lt;="&amp;INDEX(Weeks!$D:$D,MATCH($C906,Weeks!$A:$A,0)),Tasks!$I:$I,"&lt;&gt;")</f>
        <v>0</v>
      </c>
      <c r="J906">
        <f>COUNTIFS(Tasks!$A:$A,$A906,Tasks!$B:$B,$B906,
Tasks!$I:$I,"&gt;"&amp;IFERROR(INDEX(Weeks!$D:$D,MATCH($C906-1,Weeks!$A:$A,0)),DATE(2000,1,1)),
Tasks!$I:$I,"&lt;="&amp;INDEX(Weeks!$D:$D,MATCH($C906,Weeks!$A:$A,0)),
Tasks!$I:$I,"&lt;&gt;")</f>
        <v>0</v>
      </c>
    </row>
    <row r="907" spans="1:10" ht="15" customHeight="1">
      <c r="A907" t="s">
        <v>107</v>
      </c>
      <c r="B907" t="s">
        <v>110</v>
      </c>
      <c r="C907">
        <v>22</v>
      </c>
      <c r="D907">
        <v>5</v>
      </c>
      <c r="E907">
        <v>5</v>
      </c>
      <c r="F907" s="5" t="str">
        <f>IFERROR(ROUND(COUNTIFS(Tasks!$A:$A,$A907,Tasks!$B:$B,$B907,Tasks!$I:$I,"&lt;="&amp;INDEX(Weeks!$D:$D,MATCH($C907,Weeks!$A:$A,0)),Tasks!$I:$I,"&lt;&gt;")/COUNTIFS(Tasks!$A:$A,$A907,Tasks!$B:$B,$B907)*100,0),"")</f>
        <v/>
      </c>
      <c r="G907" s="5" t="str">
        <f>IFERROR(ROUND(COUNTIFS(Tasks!$A:$A,$A907,Tasks!$B:$B,$B907,Tasks!$H:$H,"&lt;="&amp;INDEX(Weeks!$D:$D,MATCH($C907,Weeks!$A:$A,0)))/COUNTIFS(Tasks!$A:$A,$A907,Tasks!$B:$B,$B907)*100,0),"")</f>
        <v/>
      </c>
      <c r="H907" t="s">
        <v>109</v>
      </c>
      <c r="I907">
        <f>COUNTIFS(Tasks!$A:$A,$A907,Tasks!$B:$B,$B907,Tasks!$G:$G,"&lt;="&amp;INDEX(Weeks!$D:$D,MATCH($C907,Weeks!$A:$A,0)))-COUNTIFS(Tasks!$A:$A,$A907,Tasks!$B:$B,$B907,Tasks!$I:$I,"&lt;="&amp;INDEX(Weeks!$D:$D,MATCH($C907,Weeks!$A:$A,0)),Tasks!$I:$I,"&lt;&gt;")</f>
        <v>0</v>
      </c>
      <c r="J907">
        <f>COUNTIFS(Tasks!$A:$A,$A907,Tasks!$B:$B,$B907,
Tasks!$I:$I,"&gt;"&amp;IFERROR(INDEX(Weeks!$D:$D,MATCH($C907-1,Weeks!$A:$A,0)),DATE(2000,1,1)),
Tasks!$I:$I,"&lt;="&amp;INDEX(Weeks!$D:$D,MATCH($C907,Weeks!$A:$A,0)),
Tasks!$I:$I,"&lt;&gt;")</f>
        <v>0</v>
      </c>
    </row>
    <row r="908" spans="1:10" ht="15" customHeight="1">
      <c r="A908" t="s">
        <v>107</v>
      </c>
      <c r="B908" t="s">
        <v>110</v>
      </c>
      <c r="C908">
        <v>23</v>
      </c>
      <c r="D908">
        <v>6</v>
      </c>
      <c r="E908">
        <v>1</v>
      </c>
      <c r="F908" s="5" t="str">
        <f>IFERROR(ROUND(COUNTIFS(Tasks!$A:$A,$A908,Tasks!$B:$B,$B908,Tasks!$I:$I,"&lt;="&amp;INDEX(Weeks!$D:$D,MATCH($C908,Weeks!$A:$A,0)),Tasks!$I:$I,"&lt;&gt;")/COUNTIFS(Tasks!$A:$A,$A908,Tasks!$B:$B,$B908)*100,0),"")</f>
        <v/>
      </c>
      <c r="G908" s="5" t="str">
        <f>IFERROR(ROUND(COUNTIFS(Tasks!$A:$A,$A908,Tasks!$B:$B,$B908,Tasks!$H:$H,"&lt;="&amp;INDEX(Weeks!$D:$D,MATCH($C908,Weeks!$A:$A,0)))/COUNTIFS(Tasks!$A:$A,$A908,Tasks!$B:$B,$B908)*100,0),"")</f>
        <v/>
      </c>
      <c r="H908" t="s">
        <v>109</v>
      </c>
      <c r="I908">
        <f>COUNTIFS(Tasks!$A:$A,$A908,Tasks!$B:$B,$B908,Tasks!$G:$G,"&lt;="&amp;INDEX(Weeks!$D:$D,MATCH($C908,Weeks!$A:$A,0)))-COUNTIFS(Tasks!$A:$A,$A908,Tasks!$B:$B,$B908,Tasks!$I:$I,"&lt;="&amp;INDEX(Weeks!$D:$D,MATCH($C908,Weeks!$A:$A,0)),Tasks!$I:$I,"&lt;&gt;")</f>
        <v>0</v>
      </c>
      <c r="J908">
        <f>COUNTIFS(Tasks!$A:$A,$A908,Tasks!$B:$B,$B908,
Tasks!$I:$I,"&gt;"&amp;IFERROR(INDEX(Weeks!$D:$D,MATCH($C908-1,Weeks!$A:$A,0)),DATE(2000,1,1)),
Tasks!$I:$I,"&lt;="&amp;INDEX(Weeks!$D:$D,MATCH($C908,Weeks!$A:$A,0)),
Tasks!$I:$I,"&lt;&gt;")</f>
        <v>0</v>
      </c>
    </row>
    <row r="909" spans="1:10" ht="15" customHeight="1">
      <c r="A909" t="s">
        <v>107</v>
      </c>
      <c r="B909" t="s">
        <v>110</v>
      </c>
      <c r="C909">
        <v>24</v>
      </c>
      <c r="D909">
        <v>6</v>
      </c>
      <c r="E909">
        <v>2</v>
      </c>
      <c r="F909" s="5" t="str">
        <f>IFERROR(ROUND(COUNTIFS(Tasks!$A:$A,$A909,Tasks!$B:$B,$B909,Tasks!$I:$I,"&lt;="&amp;INDEX(Weeks!$D:$D,MATCH($C909,Weeks!$A:$A,0)),Tasks!$I:$I,"&lt;&gt;")/COUNTIFS(Tasks!$A:$A,$A909,Tasks!$B:$B,$B909)*100,0),"")</f>
        <v/>
      </c>
      <c r="G909" s="5" t="str">
        <f>IFERROR(ROUND(COUNTIFS(Tasks!$A:$A,$A909,Tasks!$B:$B,$B909,Tasks!$H:$H,"&lt;="&amp;INDEX(Weeks!$D:$D,MATCH($C909,Weeks!$A:$A,0)))/COUNTIFS(Tasks!$A:$A,$A909,Tasks!$B:$B,$B909)*100,0),"")</f>
        <v/>
      </c>
      <c r="H909" t="s">
        <v>109</v>
      </c>
      <c r="I909">
        <f>COUNTIFS(Tasks!$A:$A,$A909,Tasks!$B:$B,$B909,Tasks!$G:$G,"&lt;="&amp;INDEX(Weeks!$D:$D,MATCH($C909,Weeks!$A:$A,0)))-COUNTIFS(Tasks!$A:$A,$A909,Tasks!$B:$B,$B909,Tasks!$I:$I,"&lt;="&amp;INDEX(Weeks!$D:$D,MATCH($C909,Weeks!$A:$A,0)),Tasks!$I:$I,"&lt;&gt;")</f>
        <v>0</v>
      </c>
      <c r="J909">
        <f>COUNTIFS(Tasks!$A:$A,$A909,Tasks!$B:$B,$B909,
Tasks!$I:$I,"&gt;"&amp;IFERROR(INDEX(Weeks!$D:$D,MATCH($C909-1,Weeks!$A:$A,0)),DATE(2000,1,1)),
Tasks!$I:$I,"&lt;="&amp;INDEX(Weeks!$D:$D,MATCH($C909,Weeks!$A:$A,0)),
Tasks!$I:$I,"&lt;&gt;")</f>
        <v>0</v>
      </c>
    </row>
    <row r="910" spans="1:10" ht="15" customHeight="1">
      <c r="A910" t="s">
        <v>107</v>
      </c>
      <c r="B910" t="s">
        <v>110</v>
      </c>
      <c r="C910">
        <v>25</v>
      </c>
      <c r="D910">
        <v>6</v>
      </c>
      <c r="E910">
        <v>3</v>
      </c>
      <c r="F910" s="5" t="str">
        <f>IFERROR(ROUND(COUNTIFS(Tasks!$A:$A,$A910,Tasks!$B:$B,$B910,Tasks!$I:$I,"&lt;="&amp;INDEX(Weeks!$D:$D,MATCH($C910,Weeks!$A:$A,0)),Tasks!$I:$I,"&lt;&gt;")/COUNTIFS(Tasks!$A:$A,$A910,Tasks!$B:$B,$B910)*100,0),"")</f>
        <v/>
      </c>
      <c r="G910" s="5" t="str">
        <f>IFERROR(ROUND(COUNTIFS(Tasks!$A:$A,$A910,Tasks!$B:$B,$B910,Tasks!$H:$H,"&lt;="&amp;INDEX(Weeks!$D:$D,MATCH($C910,Weeks!$A:$A,0)))/COUNTIFS(Tasks!$A:$A,$A910,Tasks!$B:$B,$B910)*100,0),"")</f>
        <v/>
      </c>
      <c r="I910">
        <f>COUNTIFS(Tasks!$A:$A,$A910,Tasks!$B:$B,$B910,Tasks!$G:$G,"&lt;="&amp;INDEX(Weeks!$D:$D,MATCH($C910,Weeks!$A:$A,0)))-COUNTIFS(Tasks!$A:$A,$A910,Tasks!$B:$B,$B910,Tasks!$I:$I,"&lt;="&amp;INDEX(Weeks!$D:$D,MATCH($C910,Weeks!$A:$A,0)),Tasks!$I:$I,"&lt;&gt;")</f>
        <v>0</v>
      </c>
      <c r="J910">
        <f>COUNTIFS(Tasks!$A:$A,$A910,Tasks!$B:$B,$B910,
Tasks!$I:$I,"&gt;"&amp;IFERROR(INDEX(Weeks!$D:$D,MATCH($C910-1,Weeks!$A:$A,0)),DATE(2000,1,1)),
Tasks!$I:$I,"&lt;="&amp;INDEX(Weeks!$D:$D,MATCH($C910,Weeks!$A:$A,0)),
Tasks!$I:$I,"&lt;&gt;")</f>
        <v>0</v>
      </c>
    </row>
    <row r="911" spans="1:10" ht="15" customHeight="1">
      <c r="A911" t="s">
        <v>107</v>
      </c>
      <c r="B911" t="s">
        <v>110</v>
      </c>
      <c r="C911">
        <v>26</v>
      </c>
      <c r="D911">
        <v>6</v>
      </c>
      <c r="E911">
        <v>4</v>
      </c>
      <c r="F911" s="5" t="str">
        <f>IFERROR(ROUND(COUNTIFS(Tasks!$A:$A,$A911,Tasks!$B:$B,$B911,Tasks!$I:$I,"&lt;="&amp;INDEX(Weeks!$D:$D,MATCH($C911,Weeks!$A:$A,0)),Tasks!$I:$I,"&lt;&gt;")/COUNTIFS(Tasks!$A:$A,$A911,Tasks!$B:$B,$B911)*100,0),"")</f>
        <v/>
      </c>
      <c r="G911" s="5" t="str">
        <f>IFERROR(ROUND(COUNTIFS(Tasks!$A:$A,$A911,Tasks!$B:$B,$B911,Tasks!$H:$H,"&lt;="&amp;INDEX(Weeks!$D:$D,MATCH($C911,Weeks!$A:$A,0)))/COUNTIFS(Tasks!$A:$A,$A911,Tasks!$B:$B,$B911)*100,0),"")</f>
        <v/>
      </c>
      <c r="I911">
        <f>COUNTIFS(Tasks!$A:$A,$A911,Tasks!$B:$B,$B911,Tasks!$G:$G,"&lt;="&amp;INDEX(Weeks!$D:$D,MATCH($C911,Weeks!$A:$A,0)))-COUNTIFS(Tasks!$A:$A,$A911,Tasks!$B:$B,$B911,Tasks!$I:$I,"&lt;="&amp;INDEX(Weeks!$D:$D,MATCH($C911,Weeks!$A:$A,0)),Tasks!$I:$I,"&lt;&gt;")</f>
        <v>0</v>
      </c>
      <c r="J911">
        <f>COUNTIFS(Tasks!$A:$A,$A911,Tasks!$B:$B,$B911,
Tasks!$I:$I,"&gt;"&amp;IFERROR(INDEX(Weeks!$D:$D,MATCH($C911-1,Weeks!$A:$A,0)),DATE(2000,1,1)),
Tasks!$I:$I,"&lt;="&amp;INDEX(Weeks!$D:$D,MATCH($C911,Weeks!$A:$A,0)),
Tasks!$I:$I,"&lt;&gt;")</f>
        <v>0</v>
      </c>
    </row>
    <row r="912" spans="1:10" ht="15" customHeight="1">
      <c r="A912" t="s">
        <v>107</v>
      </c>
      <c r="B912" t="s">
        <v>110</v>
      </c>
      <c r="C912">
        <v>27</v>
      </c>
      <c r="D912">
        <v>7</v>
      </c>
      <c r="E912">
        <v>1</v>
      </c>
      <c r="F912" s="5" t="str">
        <f>IFERROR(ROUND(COUNTIFS(Tasks!$A:$A,$A912,Tasks!$B:$B,$B912,Tasks!$I:$I,"&lt;="&amp;INDEX(Weeks!$D:$D,MATCH($C912,Weeks!$A:$A,0)),Tasks!$I:$I,"&lt;&gt;")/COUNTIFS(Tasks!$A:$A,$A912,Tasks!$B:$B,$B912)*100,0),"")</f>
        <v/>
      </c>
      <c r="G912" s="5" t="str">
        <f>IFERROR(ROUND(COUNTIFS(Tasks!$A:$A,$A912,Tasks!$B:$B,$B912,Tasks!$H:$H,"&lt;="&amp;INDEX(Weeks!$D:$D,MATCH($C912,Weeks!$A:$A,0)))/COUNTIFS(Tasks!$A:$A,$A912,Tasks!$B:$B,$B912)*100,0),"")</f>
        <v/>
      </c>
      <c r="I912">
        <f>COUNTIFS(Tasks!$A:$A,$A912,Tasks!$B:$B,$B912,Tasks!$G:$G,"&lt;="&amp;INDEX(Weeks!$D:$D,MATCH($C912,Weeks!$A:$A,0)))-COUNTIFS(Tasks!$A:$A,$A912,Tasks!$B:$B,$B912,Tasks!$I:$I,"&lt;="&amp;INDEX(Weeks!$D:$D,MATCH($C912,Weeks!$A:$A,0)),Tasks!$I:$I,"&lt;&gt;")</f>
        <v>0</v>
      </c>
      <c r="J912">
        <f>COUNTIFS(Tasks!$A:$A,$A912,Tasks!$B:$B,$B912,
Tasks!$I:$I,"&gt;"&amp;IFERROR(INDEX(Weeks!$D:$D,MATCH($C912-1,Weeks!$A:$A,0)),DATE(2000,1,1)),
Tasks!$I:$I,"&lt;="&amp;INDEX(Weeks!$D:$D,MATCH($C912,Weeks!$A:$A,0)),
Tasks!$I:$I,"&lt;&gt;")</f>
        <v>0</v>
      </c>
    </row>
    <row r="913" spans="1:10" ht="15" customHeight="1">
      <c r="A913" t="s">
        <v>107</v>
      </c>
      <c r="B913" t="s">
        <v>110</v>
      </c>
      <c r="C913">
        <v>28</v>
      </c>
      <c r="D913">
        <v>7</v>
      </c>
      <c r="E913">
        <v>2</v>
      </c>
      <c r="F913" s="5" t="str">
        <f>IFERROR(ROUND(COUNTIFS(Tasks!$A:$A,$A913,Tasks!$B:$B,$B913,Tasks!$I:$I,"&lt;="&amp;INDEX(Weeks!$D:$D,MATCH($C913,Weeks!$A:$A,0)),Tasks!$I:$I,"&lt;&gt;")/COUNTIFS(Tasks!$A:$A,$A913,Tasks!$B:$B,$B913)*100,0),"")</f>
        <v/>
      </c>
      <c r="G913" s="5" t="str">
        <f>IFERROR(ROUND(COUNTIFS(Tasks!$A:$A,$A913,Tasks!$B:$B,$B913,Tasks!$H:$H,"&lt;="&amp;INDEX(Weeks!$D:$D,MATCH($C913,Weeks!$A:$A,0)))/COUNTIFS(Tasks!$A:$A,$A913,Tasks!$B:$B,$B913)*100,0),"")</f>
        <v/>
      </c>
      <c r="I913">
        <f>COUNTIFS(Tasks!$A:$A,$A913,Tasks!$B:$B,$B913,Tasks!$G:$G,"&lt;="&amp;INDEX(Weeks!$D:$D,MATCH($C913,Weeks!$A:$A,0)))-COUNTIFS(Tasks!$A:$A,$A913,Tasks!$B:$B,$B913,Tasks!$I:$I,"&lt;="&amp;INDEX(Weeks!$D:$D,MATCH($C913,Weeks!$A:$A,0)),Tasks!$I:$I,"&lt;&gt;")</f>
        <v>0</v>
      </c>
      <c r="J913">
        <f>COUNTIFS(Tasks!$A:$A,$A913,Tasks!$B:$B,$B913,
Tasks!$I:$I,"&gt;"&amp;IFERROR(INDEX(Weeks!$D:$D,MATCH($C913-1,Weeks!$A:$A,0)),DATE(2000,1,1)),
Tasks!$I:$I,"&lt;="&amp;INDEX(Weeks!$D:$D,MATCH($C913,Weeks!$A:$A,0)),
Tasks!$I:$I,"&lt;&gt;")</f>
        <v>0</v>
      </c>
    </row>
    <row r="914" spans="1:10" ht="15" customHeight="1">
      <c r="A914" t="s">
        <v>107</v>
      </c>
      <c r="B914" t="s">
        <v>110</v>
      </c>
      <c r="C914">
        <v>29</v>
      </c>
      <c r="D914">
        <v>7</v>
      </c>
      <c r="E914">
        <v>3</v>
      </c>
      <c r="F914" s="5" t="str">
        <f>IFERROR(ROUND(COUNTIFS(Tasks!$A:$A,$A914,Tasks!$B:$B,$B914,Tasks!$I:$I,"&lt;="&amp;INDEX(Weeks!$D:$D,MATCH($C914,Weeks!$A:$A,0)),Tasks!$I:$I,"&lt;&gt;")/COUNTIFS(Tasks!$A:$A,$A914,Tasks!$B:$B,$B914)*100,0),"")</f>
        <v/>
      </c>
      <c r="G914" s="5" t="str">
        <f>IFERROR(ROUND(COUNTIFS(Tasks!$A:$A,$A914,Tasks!$B:$B,$B914,Tasks!$H:$H,"&lt;="&amp;INDEX(Weeks!$D:$D,MATCH($C914,Weeks!$A:$A,0)))/COUNTIFS(Tasks!$A:$A,$A914,Tasks!$B:$B,$B914)*100,0),"")</f>
        <v/>
      </c>
      <c r="I914">
        <f>COUNTIFS(Tasks!$A:$A,$A914,Tasks!$B:$B,$B914,Tasks!$G:$G,"&lt;="&amp;INDEX(Weeks!$D:$D,MATCH($C914,Weeks!$A:$A,0)))-COUNTIFS(Tasks!$A:$A,$A914,Tasks!$B:$B,$B914,Tasks!$I:$I,"&lt;="&amp;INDEX(Weeks!$D:$D,MATCH($C914,Weeks!$A:$A,0)),Tasks!$I:$I,"&lt;&gt;")</f>
        <v>0</v>
      </c>
      <c r="J914">
        <f>COUNTIFS(Tasks!$A:$A,$A914,Tasks!$B:$B,$B914,
Tasks!$I:$I,"&gt;"&amp;IFERROR(INDEX(Weeks!$D:$D,MATCH($C914-1,Weeks!$A:$A,0)),DATE(2000,1,1)),
Tasks!$I:$I,"&lt;="&amp;INDEX(Weeks!$D:$D,MATCH($C914,Weeks!$A:$A,0)),
Tasks!$I:$I,"&lt;&gt;")</f>
        <v>0</v>
      </c>
    </row>
    <row r="915" spans="1:10" ht="15" customHeight="1">
      <c r="A915" t="s">
        <v>107</v>
      </c>
      <c r="B915" t="s">
        <v>110</v>
      </c>
      <c r="C915">
        <v>30</v>
      </c>
      <c r="D915">
        <v>7</v>
      </c>
      <c r="E915">
        <v>4</v>
      </c>
      <c r="F915" s="5" t="str">
        <f>IFERROR(ROUND(COUNTIFS(Tasks!$A:$A,$A915,Tasks!$B:$B,$B915,Tasks!$I:$I,"&lt;="&amp;INDEX(Weeks!$D:$D,MATCH($C915,Weeks!$A:$A,0)),Tasks!$I:$I,"&lt;&gt;")/COUNTIFS(Tasks!$A:$A,$A915,Tasks!$B:$B,$B915)*100,0),"")</f>
        <v/>
      </c>
      <c r="G915" s="5" t="str">
        <f>IFERROR(ROUND(COUNTIFS(Tasks!$A:$A,$A915,Tasks!$B:$B,$B915,Tasks!$H:$H,"&lt;="&amp;INDEX(Weeks!$D:$D,MATCH($C915,Weeks!$A:$A,0)))/COUNTIFS(Tasks!$A:$A,$A915,Tasks!$B:$B,$B915)*100,0),"")</f>
        <v/>
      </c>
      <c r="I915">
        <f>COUNTIFS(Tasks!$A:$A,$A915,Tasks!$B:$B,$B915,Tasks!$G:$G,"&lt;="&amp;INDEX(Weeks!$D:$D,MATCH($C915,Weeks!$A:$A,0)))-COUNTIFS(Tasks!$A:$A,$A915,Tasks!$B:$B,$B915,Tasks!$I:$I,"&lt;="&amp;INDEX(Weeks!$D:$D,MATCH($C915,Weeks!$A:$A,0)),Tasks!$I:$I,"&lt;&gt;")</f>
        <v>0</v>
      </c>
      <c r="J915">
        <f>COUNTIFS(Tasks!$A:$A,$A915,Tasks!$B:$B,$B915,
Tasks!$I:$I,"&gt;"&amp;IFERROR(INDEX(Weeks!$D:$D,MATCH($C915-1,Weeks!$A:$A,0)),DATE(2000,1,1)),
Tasks!$I:$I,"&lt;="&amp;INDEX(Weeks!$D:$D,MATCH($C915,Weeks!$A:$A,0)),
Tasks!$I:$I,"&lt;&gt;")</f>
        <v>0</v>
      </c>
    </row>
    <row r="916" spans="1:10" ht="15" customHeight="1">
      <c r="A916" t="s">
        <v>107</v>
      </c>
      <c r="B916" t="s">
        <v>110</v>
      </c>
      <c r="C916">
        <v>31</v>
      </c>
      <c r="D916">
        <v>8</v>
      </c>
      <c r="E916">
        <v>1</v>
      </c>
      <c r="F916" s="5" t="str">
        <f>IFERROR(ROUND(COUNTIFS(Tasks!$A:$A,$A916,Tasks!$B:$B,$B916,Tasks!$I:$I,"&lt;="&amp;INDEX(Weeks!$D:$D,MATCH($C916,Weeks!$A:$A,0)),Tasks!$I:$I,"&lt;&gt;")/COUNTIFS(Tasks!$A:$A,$A916,Tasks!$B:$B,$B916)*100,0),"")</f>
        <v/>
      </c>
      <c r="G916" s="5" t="str">
        <f>IFERROR(ROUND(COUNTIFS(Tasks!$A:$A,$A916,Tasks!$B:$B,$B916,Tasks!$H:$H,"&lt;="&amp;INDEX(Weeks!$D:$D,MATCH($C916,Weeks!$A:$A,0)))/COUNTIFS(Tasks!$A:$A,$A916,Tasks!$B:$B,$B916)*100,0),"")</f>
        <v/>
      </c>
      <c r="I916">
        <f>COUNTIFS(Tasks!$A:$A,$A916,Tasks!$B:$B,$B916,Tasks!$G:$G,"&lt;="&amp;INDEX(Weeks!$D:$D,MATCH($C916,Weeks!$A:$A,0)))-COUNTIFS(Tasks!$A:$A,$A916,Tasks!$B:$B,$B916,Tasks!$I:$I,"&lt;="&amp;INDEX(Weeks!$D:$D,MATCH($C916,Weeks!$A:$A,0)),Tasks!$I:$I,"&lt;&gt;")</f>
        <v>0</v>
      </c>
      <c r="J916">
        <f>COUNTIFS(Tasks!$A:$A,$A916,Tasks!$B:$B,$B916,
Tasks!$I:$I,"&gt;"&amp;IFERROR(INDEX(Weeks!$D:$D,MATCH($C916-1,Weeks!$A:$A,0)),DATE(2000,1,1)),
Tasks!$I:$I,"&lt;="&amp;INDEX(Weeks!$D:$D,MATCH($C916,Weeks!$A:$A,0)),
Tasks!$I:$I,"&lt;&gt;")</f>
        <v>0</v>
      </c>
    </row>
    <row r="917" spans="1:10" ht="15" customHeight="1">
      <c r="A917" t="s">
        <v>107</v>
      </c>
      <c r="B917" t="s">
        <v>110</v>
      </c>
      <c r="C917">
        <v>32</v>
      </c>
      <c r="D917">
        <v>8</v>
      </c>
      <c r="E917">
        <v>2</v>
      </c>
      <c r="F917" s="5" t="str">
        <f>IFERROR(ROUND(COUNTIFS(Tasks!$A:$A,$A917,Tasks!$B:$B,$B917,Tasks!$I:$I,"&lt;="&amp;INDEX(Weeks!$D:$D,MATCH($C917,Weeks!$A:$A,0)),Tasks!$I:$I,"&lt;&gt;")/COUNTIFS(Tasks!$A:$A,$A917,Tasks!$B:$B,$B917)*100,0),"")</f>
        <v/>
      </c>
      <c r="G917" s="5" t="str">
        <f>IFERROR(ROUND(COUNTIFS(Tasks!$A:$A,$A917,Tasks!$B:$B,$B917,Tasks!$H:$H,"&lt;="&amp;INDEX(Weeks!$D:$D,MATCH($C917,Weeks!$A:$A,0)))/COUNTIFS(Tasks!$A:$A,$A917,Tasks!$B:$B,$B917)*100,0),"")</f>
        <v/>
      </c>
      <c r="I917">
        <f>COUNTIFS(Tasks!$A:$A,$A917,Tasks!$B:$B,$B917,Tasks!$G:$G,"&lt;="&amp;INDEX(Weeks!$D:$D,MATCH($C917,Weeks!$A:$A,0)))-COUNTIFS(Tasks!$A:$A,$A917,Tasks!$B:$B,$B917,Tasks!$I:$I,"&lt;="&amp;INDEX(Weeks!$D:$D,MATCH($C917,Weeks!$A:$A,0)),Tasks!$I:$I,"&lt;&gt;")</f>
        <v>0</v>
      </c>
      <c r="J917">
        <f>COUNTIFS(Tasks!$A:$A,$A917,Tasks!$B:$B,$B917,
Tasks!$I:$I,"&gt;"&amp;IFERROR(INDEX(Weeks!$D:$D,MATCH($C917-1,Weeks!$A:$A,0)),DATE(2000,1,1)),
Tasks!$I:$I,"&lt;="&amp;INDEX(Weeks!$D:$D,MATCH($C917,Weeks!$A:$A,0)),
Tasks!$I:$I,"&lt;&gt;")</f>
        <v>0</v>
      </c>
    </row>
    <row r="918" spans="1:10" ht="15" customHeight="1">
      <c r="A918" t="s">
        <v>107</v>
      </c>
      <c r="B918" t="s">
        <v>110</v>
      </c>
      <c r="C918">
        <v>33</v>
      </c>
      <c r="D918">
        <v>8</v>
      </c>
      <c r="E918">
        <v>3</v>
      </c>
      <c r="F918" s="5" t="str">
        <f>IFERROR(ROUND(COUNTIFS(Tasks!$A:$A,$A918,Tasks!$B:$B,$B918,Tasks!$I:$I,"&lt;="&amp;INDEX(Weeks!$D:$D,MATCH($C918,Weeks!$A:$A,0)),Tasks!$I:$I,"&lt;&gt;")/COUNTIFS(Tasks!$A:$A,$A918,Tasks!$B:$B,$B918)*100,0),"")</f>
        <v/>
      </c>
      <c r="G918" s="5" t="str">
        <f>IFERROR(ROUND(COUNTIFS(Tasks!$A:$A,$A918,Tasks!$B:$B,$B918,Tasks!$H:$H,"&lt;="&amp;INDEX(Weeks!$D:$D,MATCH($C918,Weeks!$A:$A,0)))/COUNTIFS(Tasks!$A:$A,$A918,Tasks!$B:$B,$B918)*100,0),"")</f>
        <v/>
      </c>
      <c r="I918">
        <f>COUNTIFS(Tasks!$A:$A,$A918,Tasks!$B:$B,$B918,Tasks!$G:$G,"&lt;="&amp;INDEX(Weeks!$D:$D,MATCH($C918,Weeks!$A:$A,0)))-COUNTIFS(Tasks!$A:$A,$A918,Tasks!$B:$B,$B918,Tasks!$I:$I,"&lt;="&amp;INDEX(Weeks!$D:$D,MATCH($C918,Weeks!$A:$A,0)),Tasks!$I:$I,"&lt;&gt;")</f>
        <v>0</v>
      </c>
      <c r="J918">
        <f>COUNTIFS(Tasks!$A:$A,$A918,Tasks!$B:$B,$B918,
Tasks!$I:$I,"&gt;"&amp;IFERROR(INDEX(Weeks!$D:$D,MATCH($C918-1,Weeks!$A:$A,0)),DATE(2000,1,1)),
Tasks!$I:$I,"&lt;="&amp;INDEX(Weeks!$D:$D,MATCH($C918,Weeks!$A:$A,0)),
Tasks!$I:$I,"&lt;&gt;")</f>
        <v>0</v>
      </c>
    </row>
    <row r="919" spans="1:10" ht="15" customHeight="1">
      <c r="A919" t="s">
        <v>107</v>
      </c>
      <c r="B919" t="s">
        <v>110</v>
      </c>
      <c r="C919">
        <v>34</v>
      </c>
      <c r="D919">
        <v>8</v>
      </c>
      <c r="E919">
        <v>4</v>
      </c>
      <c r="F919" s="5" t="str">
        <f>IFERROR(ROUND(COUNTIFS(Tasks!$A:$A,$A919,Tasks!$B:$B,$B919,Tasks!$I:$I,"&lt;="&amp;INDEX(Weeks!$D:$D,MATCH($C919,Weeks!$A:$A,0)),Tasks!$I:$I,"&lt;&gt;")/COUNTIFS(Tasks!$A:$A,$A919,Tasks!$B:$B,$B919)*100,0),"")</f>
        <v/>
      </c>
      <c r="G919" s="5" t="str">
        <f>IFERROR(ROUND(COUNTIFS(Tasks!$A:$A,$A919,Tasks!$B:$B,$B919,Tasks!$H:$H,"&lt;="&amp;INDEX(Weeks!$D:$D,MATCH($C919,Weeks!$A:$A,0)))/COUNTIFS(Tasks!$A:$A,$A919,Tasks!$B:$B,$B919)*100,0),"")</f>
        <v/>
      </c>
      <c r="I919">
        <f>COUNTIFS(Tasks!$A:$A,$A919,Tasks!$B:$B,$B919,Tasks!$G:$G,"&lt;="&amp;INDEX(Weeks!$D:$D,MATCH($C919,Weeks!$A:$A,0)))-COUNTIFS(Tasks!$A:$A,$A919,Tasks!$B:$B,$B919,Tasks!$I:$I,"&lt;="&amp;INDEX(Weeks!$D:$D,MATCH($C919,Weeks!$A:$A,0)),Tasks!$I:$I,"&lt;&gt;")</f>
        <v>0</v>
      </c>
      <c r="J919">
        <f>COUNTIFS(Tasks!$A:$A,$A919,Tasks!$B:$B,$B919,
Tasks!$I:$I,"&gt;"&amp;IFERROR(INDEX(Weeks!$D:$D,MATCH($C919-1,Weeks!$A:$A,0)),DATE(2000,1,1)),
Tasks!$I:$I,"&lt;="&amp;INDEX(Weeks!$D:$D,MATCH($C919,Weeks!$A:$A,0)),
Tasks!$I:$I,"&lt;&gt;")</f>
        <v>0</v>
      </c>
    </row>
    <row r="920" spans="1:10" ht="15" customHeight="1">
      <c r="A920" t="s">
        <v>107</v>
      </c>
      <c r="B920" t="s">
        <v>110</v>
      </c>
      <c r="C920">
        <v>35</v>
      </c>
      <c r="D920">
        <v>8</v>
      </c>
      <c r="E920">
        <v>5</v>
      </c>
      <c r="F920" s="5" t="str">
        <f>IFERROR(ROUND(COUNTIFS(Tasks!$A:$A,$A920,Tasks!$B:$B,$B920,Tasks!$I:$I,"&lt;="&amp;INDEX(Weeks!$D:$D,MATCH($C920,Weeks!$A:$A,0)),Tasks!$I:$I,"&lt;&gt;")/COUNTIFS(Tasks!$A:$A,$A920,Tasks!$B:$B,$B920)*100,0),"")</f>
        <v/>
      </c>
      <c r="G920" s="5" t="str">
        <f>IFERROR(ROUND(COUNTIFS(Tasks!$A:$A,$A920,Tasks!$B:$B,$B920,Tasks!$H:$H,"&lt;="&amp;INDEX(Weeks!$D:$D,MATCH($C920,Weeks!$A:$A,0)))/COUNTIFS(Tasks!$A:$A,$A920,Tasks!$B:$B,$B920)*100,0),"")</f>
        <v/>
      </c>
      <c r="I920">
        <f>COUNTIFS(Tasks!$A:$A,$A920,Tasks!$B:$B,$B920,Tasks!$G:$G,"&lt;="&amp;INDEX(Weeks!$D:$D,MATCH($C920,Weeks!$A:$A,0)))-COUNTIFS(Tasks!$A:$A,$A920,Tasks!$B:$B,$B920,Tasks!$I:$I,"&lt;="&amp;INDEX(Weeks!$D:$D,MATCH($C920,Weeks!$A:$A,0)),Tasks!$I:$I,"&lt;&gt;")</f>
        <v>0</v>
      </c>
      <c r="J920">
        <f>COUNTIFS(Tasks!$A:$A,$A920,Tasks!$B:$B,$B920,
Tasks!$I:$I,"&gt;"&amp;IFERROR(INDEX(Weeks!$D:$D,MATCH($C920-1,Weeks!$A:$A,0)),DATE(2000,1,1)),
Tasks!$I:$I,"&lt;="&amp;INDEX(Weeks!$D:$D,MATCH($C920,Weeks!$A:$A,0)),
Tasks!$I:$I,"&lt;&gt;")</f>
        <v>0</v>
      </c>
    </row>
    <row r="921" spans="1:10" ht="15" customHeight="1">
      <c r="A921" t="s">
        <v>107</v>
      </c>
      <c r="B921" t="s">
        <v>110</v>
      </c>
      <c r="C921">
        <v>36</v>
      </c>
      <c r="D921">
        <v>9</v>
      </c>
      <c r="E921">
        <v>1</v>
      </c>
      <c r="F921" s="5" t="str">
        <f>IFERROR(ROUND(COUNTIFS(Tasks!$A:$A,$A921,Tasks!$B:$B,$B921,Tasks!$I:$I,"&lt;="&amp;INDEX(Weeks!$D:$D,MATCH($C921,Weeks!$A:$A,0)),Tasks!$I:$I,"&lt;&gt;")/COUNTIFS(Tasks!$A:$A,$A921,Tasks!$B:$B,$B921)*100,0),"")</f>
        <v/>
      </c>
      <c r="G921" s="5" t="str">
        <f>IFERROR(ROUND(COUNTIFS(Tasks!$A:$A,$A921,Tasks!$B:$B,$B921,Tasks!$H:$H,"&lt;="&amp;INDEX(Weeks!$D:$D,MATCH($C921,Weeks!$A:$A,0)))/COUNTIFS(Tasks!$A:$A,$A921,Tasks!$B:$B,$B921)*100,0),"")</f>
        <v/>
      </c>
      <c r="I921">
        <f>COUNTIFS(Tasks!$A:$A,$A921,Tasks!$B:$B,$B921,Tasks!$G:$G,"&lt;="&amp;INDEX(Weeks!$D:$D,MATCH($C921,Weeks!$A:$A,0)))-COUNTIFS(Tasks!$A:$A,$A921,Tasks!$B:$B,$B921,Tasks!$I:$I,"&lt;="&amp;INDEX(Weeks!$D:$D,MATCH($C921,Weeks!$A:$A,0)),Tasks!$I:$I,"&lt;&gt;")</f>
        <v>0</v>
      </c>
      <c r="J921">
        <f>COUNTIFS(Tasks!$A:$A,$A921,Tasks!$B:$B,$B921,
Tasks!$I:$I,"&gt;"&amp;IFERROR(INDEX(Weeks!$D:$D,MATCH($C921-1,Weeks!$A:$A,0)),DATE(2000,1,1)),
Tasks!$I:$I,"&lt;="&amp;INDEX(Weeks!$D:$D,MATCH($C921,Weeks!$A:$A,0)),
Tasks!$I:$I,"&lt;&gt;")</f>
        <v>0</v>
      </c>
    </row>
    <row r="922" spans="1:10" ht="15" customHeight="1">
      <c r="A922" t="s">
        <v>107</v>
      </c>
      <c r="B922" t="s">
        <v>110</v>
      </c>
      <c r="C922">
        <v>37</v>
      </c>
      <c r="D922">
        <v>9</v>
      </c>
      <c r="E922">
        <v>2</v>
      </c>
      <c r="F922" s="5" t="str">
        <f>IFERROR(ROUND(COUNTIFS(Tasks!$A:$A,$A922,Tasks!$B:$B,$B922,Tasks!$I:$I,"&lt;="&amp;INDEX(Weeks!$D:$D,MATCH($C922,Weeks!$A:$A,0)),Tasks!$I:$I,"&lt;&gt;")/COUNTIFS(Tasks!$A:$A,$A922,Tasks!$B:$B,$B922)*100,0),"")</f>
        <v/>
      </c>
      <c r="G922" s="5" t="str">
        <f>IFERROR(ROUND(COUNTIFS(Tasks!$A:$A,$A922,Tasks!$B:$B,$B922,Tasks!$H:$H,"&lt;="&amp;INDEX(Weeks!$D:$D,MATCH($C922,Weeks!$A:$A,0)))/COUNTIFS(Tasks!$A:$A,$A922,Tasks!$B:$B,$B922)*100,0),"")</f>
        <v/>
      </c>
      <c r="I922">
        <f>COUNTIFS(Tasks!$A:$A,$A922,Tasks!$B:$B,$B922,Tasks!$G:$G,"&lt;="&amp;INDEX(Weeks!$D:$D,MATCH($C922,Weeks!$A:$A,0)))-COUNTIFS(Tasks!$A:$A,$A922,Tasks!$B:$B,$B922,Tasks!$I:$I,"&lt;="&amp;INDEX(Weeks!$D:$D,MATCH($C922,Weeks!$A:$A,0)),Tasks!$I:$I,"&lt;&gt;")</f>
        <v>0</v>
      </c>
      <c r="J922">
        <f>COUNTIFS(Tasks!$A:$A,$A922,Tasks!$B:$B,$B922,
Tasks!$I:$I,"&gt;"&amp;IFERROR(INDEX(Weeks!$D:$D,MATCH($C922-1,Weeks!$A:$A,0)),DATE(2000,1,1)),
Tasks!$I:$I,"&lt;="&amp;INDEX(Weeks!$D:$D,MATCH($C922,Weeks!$A:$A,0)),
Tasks!$I:$I,"&lt;&gt;")</f>
        <v>0</v>
      </c>
    </row>
    <row r="923" spans="1:10" ht="15" customHeight="1">
      <c r="A923" t="s">
        <v>107</v>
      </c>
      <c r="B923" t="s">
        <v>110</v>
      </c>
      <c r="C923">
        <v>38</v>
      </c>
      <c r="D923">
        <v>9</v>
      </c>
      <c r="E923">
        <v>3</v>
      </c>
      <c r="F923" s="5" t="str">
        <f>IFERROR(ROUND(COUNTIFS(Tasks!$A:$A,$A923,Tasks!$B:$B,$B923,Tasks!$I:$I,"&lt;="&amp;INDEX(Weeks!$D:$D,MATCH($C923,Weeks!$A:$A,0)),Tasks!$I:$I,"&lt;&gt;")/COUNTIFS(Tasks!$A:$A,$A923,Tasks!$B:$B,$B923)*100,0),"")</f>
        <v/>
      </c>
      <c r="G923" s="5" t="str">
        <f>IFERROR(ROUND(COUNTIFS(Tasks!$A:$A,$A923,Tasks!$B:$B,$B923,Tasks!$H:$H,"&lt;="&amp;INDEX(Weeks!$D:$D,MATCH($C923,Weeks!$A:$A,0)))/COUNTIFS(Tasks!$A:$A,$A923,Tasks!$B:$B,$B923)*100,0),"")</f>
        <v/>
      </c>
      <c r="I923">
        <f>COUNTIFS(Tasks!$A:$A,$A923,Tasks!$B:$B,$B923,Tasks!$G:$G,"&lt;="&amp;INDEX(Weeks!$D:$D,MATCH($C923,Weeks!$A:$A,0)))-COUNTIFS(Tasks!$A:$A,$A923,Tasks!$B:$B,$B923,Tasks!$I:$I,"&lt;="&amp;INDEX(Weeks!$D:$D,MATCH($C923,Weeks!$A:$A,0)),Tasks!$I:$I,"&lt;&gt;")</f>
        <v>0</v>
      </c>
      <c r="J923">
        <f>COUNTIFS(Tasks!$A:$A,$A923,Tasks!$B:$B,$B923,
Tasks!$I:$I,"&gt;"&amp;IFERROR(INDEX(Weeks!$D:$D,MATCH($C923-1,Weeks!$A:$A,0)),DATE(2000,1,1)),
Tasks!$I:$I,"&lt;="&amp;INDEX(Weeks!$D:$D,MATCH($C923,Weeks!$A:$A,0)),
Tasks!$I:$I,"&lt;&gt;")</f>
        <v>0</v>
      </c>
    </row>
    <row r="924" spans="1:10" ht="15" customHeight="1">
      <c r="A924" t="s">
        <v>107</v>
      </c>
      <c r="B924" t="s">
        <v>110</v>
      </c>
      <c r="C924">
        <v>39</v>
      </c>
      <c r="D924">
        <v>9</v>
      </c>
      <c r="E924">
        <v>4</v>
      </c>
      <c r="F924" s="5" t="str">
        <f>IFERROR(ROUND(COUNTIFS(Tasks!$A:$A,$A924,Tasks!$B:$B,$B924,Tasks!$I:$I,"&lt;="&amp;INDEX(Weeks!$D:$D,MATCH($C924,Weeks!$A:$A,0)),Tasks!$I:$I,"&lt;&gt;")/COUNTIFS(Tasks!$A:$A,$A924,Tasks!$B:$B,$B924)*100,0),"")</f>
        <v/>
      </c>
      <c r="G924" s="5" t="str">
        <f>IFERROR(ROUND(COUNTIFS(Tasks!$A:$A,$A924,Tasks!$B:$B,$B924,Tasks!$H:$H,"&lt;="&amp;INDEX(Weeks!$D:$D,MATCH($C924,Weeks!$A:$A,0)))/COUNTIFS(Tasks!$A:$A,$A924,Tasks!$B:$B,$B924)*100,0),"")</f>
        <v/>
      </c>
      <c r="I924">
        <f>COUNTIFS(Tasks!$A:$A,$A924,Tasks!$B:$B,$B924,Tasks!$G:$G,"&lt;="&amp;INDEX(Weeks!$D:$D,MATCH($C924,Weeks!$A:$A,0)))-COUNTIFS(Tasks!$A:$A,$A924,Tasks!$B:$B,$B924,Tasks!$I:$I,"&lt;="&amp;INDEX(Weeks!$D:$D,MATCH($C924,Weeks!$A:$A,0)),Tasks!$I:$I,"&lt;&gt;")</f>
        <v>0</v>
      </c>
      <c r="J924">
        <f>COUNTIFS(Tasks!$A:$A,$A924,Tasks!$B:$B,$B924,
Tasks!$I:$I,"&gt;"&amp;IFERROR(INDEX(Weeks!$D:$D,MATCH($C924-1,Weeks!$A:$A,0)),DATE(2000,1,1)),
Tasks!$I:$I,"&lt;="&amp;INDEX(Weeks!$D:$D,MATCH($C924,Weeks!$A:$A,0)),
Tasks!$I:$I,"&lt;&gt;")</f>
        <v>0</v>
      </c>
    </row>
    <row r="925" spans="1:10" ht="15" customHeight="1">
      <c r="A925" t="s">
        <v>107</v>
      </c>
      <c r="B925" t="s">
        <v>110</v>
      </c>
      <c r="C925">
        <v>40</v>
      </c>
      <c r="D925">
        <v>10</v>
      </c>
      <c r="E925">
        <v>1</v>
      </c>
      <c r="F925" s="5" t="str">
        <f>IFERROR(ROUND(COUNTIFS(Tasks!$A:$A,$A925,Tasks!$B:$B,$B925,Tasks!$I:$I,"&lt;="&amp;INDEX(Weeks!$D:$D,MATCH($C925,Weeks!$A:$A,0)),Tasks!$I:$I,"&lt;&gt;")/COUNTIFS(Tasks!$A:$A,$A925,Tasks!$B:$B,$B925)*100,0),"")</f>
        <v/>
      </c>
      <c r="G925" s="5" t="str">
        <f>IFERROR(ROUND(COUNTIFS(Tasks!$A:$A,$A925,Tasks!$B:$B,$B925,Tasks!$H:$H,"&lt;="&amp;INDEX(Weeks!$D:$D,MATCH($C925,Weeks!$A:$A,0)))/COUNTIFS(Tasks!$A:$A,$A925,Tasks!$B:$B,$B925)*100,0),"")</f>
        <v/>
      </c>
      <c r="I925">
        <f>COUNTIFS(Tasks!$A:$A,$A925,Tasks!$B:$B,$B925,Tasks!$G:$G,"&lt;="&amp;INDEX(Weeks!$D:$D,MATCH($C925,Weeks!$A:$A,0)))-COUNTIFS(Tasks!$A:$A,$A925,Tasks!$B:$B,$B925,Tasks!$I:$I,"&lt;="&amp;INDEX(Weeks!$D:$D,MATCH($C925,Weeks!$A:$A,0)),Tasks!$I:$I,"&lt;&gt;")</f>
        <v>0</v>
      </c>
      <c r="J925">
        <f>COUNTIFS(Tasks!$A:$A,$A925,Tasks!$B:$B,$B925,
Tasks!$I:$I,"&gt;"&amp;IFERROR(INDEX(Weeks!$D:$D,MATCH($C925-1,Weeks!$A:$A,0)),DATE(2000,1,1)),
Tasks!$I:$I,"&lt;="&amp;INDEX(Weeks!$D:$D,MATCH($C925,Weeks!$A:$A,0)),
Tasks!$I:$I,"&lt;&gt;")</f>
        <v>0</v>
      </c>
    </row>
    <row r="926" spans="1:10" ht="15" customHeight="1">
      <c r="A926" t="s">
        <v>107</v>
      </c>
      <c r="B926" t="s">
        <v>110</v>
      </c>
      <c r="C926">
        <v>41</v>
      </c>
      <c r="D926">
        <v>10</v>
      </c>
      <c r="E926">
        <v>2</v>
      </c>
      <c r="F926" s="5" t="str">
        <f>IFERROR(ROUND(COUNTIFS(Tasks!$A:$A,$A926,Tasks!$B:$B,$B926,Tasks!$I:$I,"&lt;="&amp;INDEX(Weeks!$D:$D,MATCH($C926,Weeks!$A:$A,0)),Tasks!$I:$I,"&lt;&gt;")/COUNTIFS(Tasks!$A:$A,$A926,Tasks!$B:$B,$B926)*100,0),"")</f>
        <v/>
      </c>
      <c r="G926" s="5" t="str">
        <f>IFERROR(ROUND(COUNTIFS(Tasks!$A:$A,$A926,Tasks!$B:$B,$B926,Tasks!$H:$H,"&lt;="&amp;INDEX(Weeks!$D:$D,MATCH($C926,Weeks!$A:$A,0)))/COUNTIFS(Tasks!$A:$A,$A926,Tasks!$B:$B,$B926)*100,0),"")</f>
        <v/>
      </c>
      <c r="I926">
        <f>COUNTIFS(Tasks!$A:$A,$A926,Tasks!$B:$B,$B926,Tasks!$G:$G,"&lt;="&amp;INDEX(Weeks!$D:$D,MATCH($C926,Weeks!$A:$A,0)))-COUNTIFS(Tasks!$A:$A,$A926,Tasks!$B:$B,$B926,Tasks!$I:$I,"&lt;="&amp;INDEX(Weeks!$D:$D,MATCH($C926,Weeks!$A:$A,0)),Tasks!$I:$I,"&lt;&gt;")</f>
        <v>0</v>
      </c>
      <c r="J926">
        <f>COUNTIFS(Tasks!$A:$A,$A926,Tasks!$B:$B,$B926,
Tasks!$I:$I,"&gt;"&amp;IFERROR(INDEX(Weeks!$D:$D,MATCH($C926-1,Weeks!$A:$A,0)),DATE(2000,1,1)),
Tasks!$I:$I,"&lt;="&amp;INDEX(Weeks!$D:$D,MATCH($C926,Weeks!$A:$A,0)),
Tasks!$I:$I,"&lt;&gt;")</f>
        <v>0</v>
      </c>
    </row>
    <row r="927" spans="1:10" ht="15" customHeight="1">
      <c r="A927" t="s">
        <v>107</v>
      </c>
      <c r="B927" t="s">
        <v>110</v>
      </c>
      <c r="C927">
        <v>42</v>
      </c>
      <c r="D927">
        <v>10</v>
      </c>
      <c r="E927">
        <v>3</v>
      </c>
      <c r="F927" s="5" t="str">
        <f>IFERROR(ROUND(COUNTIFS(Tasks!$A:$A,$A927,Tasks!$B:$B,$B927,Tasks!$I:$I,"&lt;="&amp;INDEX(Weeks!$D:$D,MATCH($C927,Weeks!$A:$A,0)),Tasks!$I:$I,"&lt;&gt;")/COUNTIFS(Tasks!$A:$A,$A927,Tasks!$B:$B,$B927)*100,0),"")</f>
        <v/>
      </c>
      <c r="G927" s="5" t="str">
        <f>IFERROR(ROUND(COUNTIFS(Tasks!$A:$A,$A927,Tasks!$B:$B,$B927,Tasks!$H:$H,"&lt;="&amp;INDEX(Weeks!$D:$D,MATCH($C927,Weeks!$A:$A,0)))/COUNTIFS(Tasks!$A:$A,$A927,Tasks!$B:$B,$B927)*100,0),"")</f>
        <v/>
      </c>
      <c r="I927">
        <f>COUNTIFS(Tasks!$A:$A,$A927,Tasks!$B:$B,$B927,Tasks!$G:$G,"&lt;="&amp;INDEX(Weeks!$D:$D,MATCH($C927,Weeks!$A:$A,0)))-COUNTIFS(Tasks!$A:$A,$A927,Tasks!$B:$B,$B927,Tasks!$I:$I,"&lt;="&amp;INDEX(Weeks!$D:$D,MATCH($C927,Weeks!$A:$A,0)),Tasks!$I:$I,"&lt;&gt;")</f>
        <v>0</v>
      </c>
      <c r="J927">
        <f>COUNTIFS(Tasks!$A:$A,$A927,Tasks!$B:$B,$B927,
Tasks!$I:$I,"&gt;"&amp;IFERROR(INDEX(Weeks!$D:$D,MATCH($C927-1,Weeks!$A:$A,0)),DATE(2000,1,1)),
Tasks!$I:$I,"&lt;="&amp;INDEX(Weeks!$D:$D,MATCH($C927,Weeks!$A:$A,0)),
Tasks!$I:$I,"&lt;&gt;")</f>
        <v>0</v>
      </c>
    </row>
    <row r="928" spans="1:10" ht="15" customHeight="1">
      <c r="A928" t="s">
        <v>107</v>
      </c>
      <c r="B928" t="s">
        <v>110</v>
      </c>
      <c r="C928">
        <v>43</v>
      </c>
      <c r="D928">
        <v>10</v>
      </c>
      <c r="E928">
        <v>4</v>
      </c>
      <c r="F928" s="5" t="str">
        <f>IFERROR(ROUND(COUNTIFS(Tasks!$A:$A,$A928,Tasks!$B:$B,$B928,Tasks!$I:$I,"&lt;="&amp;INDEX(Weeks!$D:$D,MATCH($C928,Weeks!$A:$A,0)),Tasks!$I:$I,"&lt;&gt;")/COUNTIFS(Tasks!$A:$A,$A928,Tasks!$B:$B,$B928)*100,0),"")</f>
        <v/>
      </c>
      <c r="G928" s="5" t="str">
        <f>IFERROR(ROUND(COUNTIFS(Tasks!$A:$A,$A928,Tasks!$B:$B,$B928,Tasks!$H:$H,"&lt;="&amp;INDEX(Weeks!$D:$D,MATCH($C928,Weeks!$A:$A,0)))/COUNTIFS(Tasks!$A:$A,$A928,Tasks!$B:$B,$B928)*100,0),"")</f>
        <v/>
      </c>
      <c r="I928">
        <f>COUNTIFS(Tasks!$A:$A,$A928,Tasks!$B:$B,$B928,Tasks!$G:$G,"&lt;="&amp;INDEX(Weeks!$D:$D,MATCH($C928,Weeks!$A:$A,0)))-COUNTIFS(Tasks!$A:$A,$A928,Tasks!$B:$B,$B928,Tasks!$I:$I,"&lt;="&amp;INDEX(Weeks!$D:$D,MATCH($C928,Weeks!$A:$A,0)),Tasks!$I:$I,"&lt;&gt;")</f>
        <v>0</v>
      </c>
      <c r="J928">
        <f>COUNTIFS(Tasks!$A:$A,$A928,Tasks!$B:$B,$B928,
Tasks!$I:$I,"&gt;"&amp;IFERROR(INDEX(Weeks!$D:$D,MATCH($C928-1,Weeks!$A:$A,0)),DATE(2000,1,1)),
Tasks!$I:$I,"&lt;="&amp;INDEX(Weeks!$D:$D,MATCH($C928,Weeks!$A:$A,0)),
Tasks!$I:$I,"&lt;&gt;")</f>
        <v>0</v>
      </c>
    </row>
    <row r="929" spans="1:10" ht="15" customHeight="1">
      <c r="A929" t="s">
        <v>107</v>
      </c>
      <c r="B929" t="s">
        <v>110</v>
      </c>
      <c r="C929">
        <v>44</v>
      </c>
      <c r="D929">
        <v>10</v>
      </c>
      <c r="E929">
        <v>5</v>
      </c>
      <c r="F929" s="5" t="str">
        <f>IFERROR(ROUND(COUNTIFS(Tasks!$A:$A,$A929,Tasks!$B:$B,$B929,Tasks!$I:$I,"&lt;="&amp;INDEX(Weeks!$D:$D,MATCH($C929,Weeks!$A:$A,0)),Tasks!$I:$I,"&lt;&gt;")/COUNTIFS(Tasks!$A:$A,$A929,Tasks!$B:$B,$B929)*100,0),"")</f>
        <v/>
      </c>
      <c r="G929" s="5" t="str">
        <f>IFERROR(ROUND(COUNTIFS(Tasks!$A:$A,$A929,Tasks!$B:$B,$B929,Tasks!$H:$H,"&lt;="&amp;INDEX(Weeks!$D:$D,MATCH($C929,Weeks!$A:$A,0)))/COUNTIFS(Tasks!$A:$A,$A929,Tasks!$B:$B,$B929)*100,0),"")</f>
        <v/>
      </c>
      <c r="I929">
        <f>COUNTIFS(Tasks!$A:$A,$A929,Tasks!$B:$B,$B929,Tasks!$G:$G,"&lt;="&amp;INDEX(Weeks!$D:$D,MATCH($C929,Weeks!$A:$A,0)))-COUNTIFS(Tasks!$A:$A,$A929,Tasks!$B:$B,$B929,Tasks!$I:$I,"&lt;="&amp;INDEX(Weeks!$D:$D,MATCH($C929,Weeks!$A:$A,0)),Tasks!$I:$I,"&lt;&gt;")</f>
        <v>0</v>
      </c>
      <c r="J929">
        <f>COUNTIFS(Tasks!$A:$A,$A929,Tasks!$B:$B,$B929,
Tasks!$I:$I,"&gt;"&amp;IFERROR(INDEX(Weeks!$D:$D,MATCH($C929-1,Weeks!$A:$A,0)),DATE(2000,1,1)),
Tasks!$I:$I,"&lt;="&amp;INDEX(Weeks!$D:$D,MATCH($C929,Weeks!$A:$A,0)),
Tasks!$I:$I,"&lt;&gt;")</f>
        <v>0</v>
      </c>
    </row>
    <row r="930" spans="1:10" ht="15" customHeight="1">
      <c r="A930" t="s">
        <v>107</v>
      </c>
      <c r="B930" t="s">
        <v>110</v>
      </c>
      <c r="C930">
        <v>45</v>
      </c>
      <c r="D930">
        <v>11</v>
      </c>
      <c r="E930">
        <v>1</v>
      </c>
      <c r="F930" s="5" t="str">
        <f>IFERROR(ROUND(COUNTIFS(Tasks!$A:$A,$A930,Tasks!$B:$B,$B930,Tasks!$I:$I,"&lt;="&amp;INDEX(Weeks!$D:$D,MATCH($C930,Weeks!$A:$A,0)),Tasks!$I:$I,"&lt;&gt;")/COUNTIFS(Tasks!$A:$A,$A930,Tasks!$B:$B,$B930)*100,0),"")</f>
        <v/>
      </c>
      <c r="G930" s="5" t="str">
        <f>IFERROR(ROUND(COUNTIFS(Tasks!$A:$A,$A930,Tasks!$B:$B,$B930,Tasks!$H:$H,"&lt;="&amp;INDEX(Weeks!$D:$D,MATCH($C930,Weeks!$A:$A,0)))/COUNTIFS(Tasks!$A:$A,$A930,Tasks!$B:$B,$B930)*100,0),"")</f>
        <v/>
      </c>
      <c r="I930">
        <f>COUNTIFS(Tasks!$A:$A,$A930,Tasks!$B:$B,$B930,Tasks!$G:$G,"&lt;="&amp;INDEX(Weeks!$D:$D,MATCH($C930,Weeks!$A:$A,0)))-COUNTIFS(Tasks!$A:$A,$A930,Tasks!$B:$B,$B930,Tasks!$I:$I,"&lt;="&amp;INDEX(Weeks!$D:$D,MATCH($C930,Weeks!$A:$A,0)),Tasks!$I:$I,"&lt;&gt;")</f>
        <v>0</v>
      </c>
      <c r="J930">
        <f>COUNTIFS(Tasks!$A:$A,$A930,Tasks!$B:$B,$B930,
Tasks!$I:$I,"&gt;"&amp;IFERROR(INDEX(Weeks!$D:$D,MATCH($C930-1,Weeks!$A:$A,0)),DATE(2000,1,1)),
Tasks!$I:$I,"&lt;="&amp;INDEX(Weeks!$D:$D,MATCH($C930,Weeks!$A:$A,0)),
Tasks!$I:$I,"&lt;&gt;")</f>
        <v>0</v>
      </c>
    </row>
    <row r="931" spans="1:10" ht="15" customHeight="1">
      <c r="A931" t="s">
        <v>107</v>
      </c>
      <c r="B931" t="s">
        <v>110</v>
      </c>
      <c r="C931">
        <v>46</v>
      </c>
      <c r="D931">
        <v>11</v>
      </c>
      <c r="E931">
        <v>2</v>
      </c>
      <c r="F931" s="5" t="str">
        <f>IFERROR(ROUND(COUNTIFS(Tasks!$A:$A,$A931,Tasks!$B:$B,$B931,Tasks!$I:$I,"&lt;="&amp;INDEX(Weeks!$D:$D,MATCH($C931,Weeks!$A:$A,0)),Tasks!$I:$I,"&lt;&gt;")/COUNTIFS(Tasks!$A:$A,$A931,Tasks!$B:$B,$B931)*100,0),"")</f>
        <v/>
      </c>
      <c r="G931" s="5" t="str">
        <f>IFERROR(ROUND(COUNTIFS(Tasks!$A:$A,$A931,Tasks!$B:$B,$B931,Tasks!$H:$H,"&lt;="&amp;INDEX(Weeks!$D:$D,MATCH($C931,Weeks!$A:$A,0)))/COUNTIFS(Tasks!$A:$A,$A931,Tasks!$B:$B,$B931)*100,0),"")</f>
        <v/>
      </c>
      <c r="I931">
        <f>COUNTIFS(Tasks!$A:$A,$A931,Tasks!$B:$B,$B931,Tasks!$G:$G,"&lt;="&amp;INDEX(Weeks!$D:$D,MATCH($C931,Weeks!$A:$A,0)))-COUNTIFS(Tasks!$A:$A,$A931,Tasks!$B:$B,$B931,Tasks!$I:$I,"&lt;="&amp;INDEX(Weeks!$D:$D,MATCH($C931,Weeks!$A:$A,0)),Tasks!$I:$I,"&lt;&gt;")</f>
        <v>0</v>
      </c>
      <c r="J931">
        <f>COUNTIFS(Tasks!$A:$A,$A931,Tasks!$B:$B,$B931,
Tasks!$I:$I,"&gt;"&amp;IFERROR(INDEX(Weeks!$D:$D,MATCH($C931-1,Weeks!$A:$A,0)),DATE(2000,1,1)),
Tasks!$I:$I,"&lt;="&amp;INDEX(Weeks!$D:$D,MATCH($C931,Weeks!$A:$A,0)),
Tasks!$I:$I,"&lt;&gt;")</f>
        <v>0</v>
      </c>
    </row>
    <row r="932" spans="1:10" ht="15" customHeight="1">
      <c r="A932" t="s">
        <v>107</v>
      </c>
      <c r="B932" t="s">
        <v>110</v>
      </c>
      <c r="C932">
        <v>47</v>
      </c>
      <c r="D932">
        <v>11</v>
      </c>
      <c r="E932">
        <v>3</v>
      </c>
      <c r="F932" s="5" t="str">
        <f>IFERROR(ROUND(COUNTIFS(Tasks!$A:$A,$A932,Tasks!$B:$B,$B932,Tasks!$I:$I,"&lt;="&amp;INDEX(Weeks!$D:$D,MATCH($C932,Weeks!$A:$A,0)),Tasks!$I:$I,"&lt;&gt;")/COUNTIFS(Tasks!$A:$A,$A932,Tasks!$B:$B,$B932)*100,0),"")</f>
        <v/>
      </c>
      <c r="G932" s="5" t="str">
        <f>IFERROR(ROUND(COUNTIFS(Tasks!$A:$A,$A932,Tasks!$B:$B,$B932,Tasks!$H:$H,"&lt;="&amp;INDEX(Weeks!$D:$D,MATCH($C932,Weeks!$A:$A,0)))/COUNTIFS(Tasks!$A:$A,$A932,Tasks!$B:$B,$B932)*100,0),"")</f>
        <v/>
      </c>
      <c r="I932">
        <f>COUNTIFS(Tasks!$A:$A,$A932,Tasks!$B:$B,$B932,Tasks!$G:$G,"&lt;="&amp;INDEX(Weeks!$D:$D,MATCH($C932,Weeks!$A:$A,0)))-COUNTIFS(Tasks!$A:$A,$A932,Tasks!$B:$B,$B932,Tasks!$I:$I,"&lt;="&amp;INDEX(Weeks!$D:$D,MATCH($C932,Weeks!$A:$A,0)),Tasks!$I:$I,"&lt;&gt;")</f>
        <v>0</v>
      </c>
      <c r="J932">
        <f>COUNTIFS(Tasks!$A:$A,$A932,Tasks!$B:$B,$B932,
Tasks!$I:$I,"&gt;"&amp;IFERROR(INDEX(Weeks!$D:$D,MATCH($C932-1,Weeks!$A:$A,0)),DATE(2000,1,1)),
Tasks!$I:$I,"&lt;="&amp;INDEX(Weeks!$D:$D,MATCH($C932,Weeks!$A:$A,0)),
Tasks!$I:$I,"&lt;&gt;")</f>
        <v>0</v>
      </c>
    </row>
    <row r="933" spans="1:10" ht="15" customHeight="1">
      <c r="A933" t="s">
        <v>107</v>
      </c>
      <c r="B933" t="s">
        <v>110</v>
      </c>
      <c r="C933">
        <v>48</v>
      </c>
      <c r="D933">
        <v>11</v>
      </c>
      <c r="E933">
        <v>4</v>
      </c>
      <c r="F933" s="5" t="str">
        <f>IFERROR(ROUND(COUNTIFS(Tasks!$A:$A,$A933,Tasks!$B:$B,$B933,Tasks!$I:$I,"&lt;="&amp;INDEX(Weeks!$D:$D,MATCH($C933,Weeks!$A:$A,0)),Tasks!$I:$I,"&lt;&gt;")/COUNTIFS(Tasks!$A:$A,$A933,Tasks!$B:$B,$B933)*100,0),"")</f>
        <v/>
      </c>
      <c r="G933" s="5" t="str">
        <f>IFERROR(ROUND(COUNTIFS(Tasks!$A:$A,$A933,Tasks!$B:$B,$B933,Tasks!$H:$H,"&lt;="&amp;INDEX(Weeks!$D:$D,MATCH($C933,Weeks!$A:$A,0)))/COUNTIFS(Tasks!$A:$A,$A933,Tasks!$B:$B,$B933)*100,0),"")</f>
        <v/>
      </c>
      <c r="I933">
        <f>COUNTIFS(Tasks!$A:$A,$A933,Tasks!$B:$B,$B933,Tasks!$G:$G,"&lt;="&amp;INDEX(Weeks!$D:$D,MATCH($C933,Weeks!$A:$A,0)))-COUNTIFS(Tasks!$A:$A,$A933,Tasks!$B:$B,$B933,Tasks!$I:$I,"&lt;="&amp;INDEX(Weeks!$D:$D,MATCH($C933,Weeks!$A:$A,0)),Tasks!$I:$I,"&lt;&gt;")</f>
        <v>0</v>
      </c>
      <c r="J933">
        <f>COUNTIFS(Tasks!$A:$A,$A933,Tasks!$B:$B,$B933,
Tasks!$I:$I,"&gt;"&amp;IFERROR(INDEX(Weeks!$D:$D,MATCH($C933-1,Weeks!$A:$A,0)),DATE(2000,1,1)),
Tasks!$I:$I,"&lt;="&amp;INDEX(Weeks!$D:$D,MATCH($C933,Weeks!$A:$A,0)),
Tasks!$I:$I,"&lt;&gt;")</f>
        <v>0</v>
      </c>
    </row>
    <row r="934" spans="1:10" ht="15" customHeight="1">
      <c r="A934" t="s">
        <v>107</v>
      </c>
      <c r="B934" t="s">
        <v>110</v>
      </c>
      <c r="C934">
        <v>49</v>
      </c>
      <c r="D934">
        <v>12</v>
      </c>
      <c r="E934">
        <v>1</v>
      </c>
      <c r="F934" s="5" t="str">
        <f>IFERROR(ROUND(COUNTIFS(Tasks!$A:$A,$A934,Tasks!$B:$B,$B934,Tasks!$I:$I,"&lt;="&amp;INDEX(Weeks!$D:$D,MATCH($C934,Weeks!$A:$A,0)),Tasks!$I:$I,"&lt;&gt;")/COUNTIFS(Tasks!$A:$A,$A934,Tasks!$B:$B,$B934)*100,0),"")</f>
        <v/>
      </c>
      <c r="G934" s="5" t="str">
        <f>IFERROR(ROUND(COUNTIFS(Tasks!$A:$A,$A934,Tasks!$B:$B,$B934,Tasks!$H:$H,"&lt;="&amp;INDEX(Weeks!$D:$D,MATCH($C934,Weeks!$A:$A,0)))/COUNTIFS(Tasks!$A:$A,$A934,Tasks!$B:$B,$B934)*100,0),"")</f>
        <v/>
      </c>
      <c r="I934">
        <f>COUNTIFS(Tasks!$A:$A,$A934,Tasks!$B:$B,$B934,Tasks!$G:$G,"&lt;="&amp;INDEX(Weeks!$D:$D,MATCH($C934,Weeks!$A:$A,0)))-COUNTIFS(Tasks!$A:$A,$A934,Tasks!$B:$B,$B934,Tasks!$I:$I,"&lt;="&amp;INDEX(Weeks!$D:$D,MATCH($C934,Weeks!$A:$A,0)),Tasks!$I:$I,"&lt;&gt;")</f>
        <v>0</v>
      </c>
      <c r="J934">
        <f>COUNTIFS(Tasks!$A:$A,$A934,Tasks!$B:$B,$B934,
Tasks!$I:$I,"&gt;"&amp;IFERROR(INDEX(Weeks!$D:$D,MATCH($C934-1,Weeks!$A:$A,0)),DATE(2000,1,1)),
Tasks!$I:$I,"&lt;="&amp;INDEX(Weeks!$D:$D,MATCH($C934,Weeks!$A:$A,0)),
Tasks!$I:$I,"&lt;&gt;")</f>
        <v>0</v>
      </c>
    </row>
    <row r="935" spans="1:10" ht="15" customHeight="1">
      <c r="A935" t="s">
        <v>107</v>
      </c>
      <c r="B935" t="s">
        <v>110</v>
      </c>
      <c r="C935">
        <v>50</v>
      </c>
      <c r="D935">
        <v>12</v>
      </c>
      <c r="E935">
        <v>2</v>
      </c>
      <c r="F935" s="5" t="str">
        <f>IFERROR(ROUND(COUNTIFS(Tasks!$A:$A,$A935,Tasks!$B:$B,$B935,Tasks!$I:$I,"&lt;="&amp;INDEX(Weeks!$D:$D,MATCH($C935,Weeks!$A:$A,0)),Tasks!$I:$I,"&lt;&gt;")/COUNTIFS(Tasks!$A:$A,$A935,Tasks!$B:$B,$B935)*100,0),"")</f>
        <v/>
      </c>
      <c r="G935" s="5" t="str">
        <f>IFERROR(ROUND(COUNTIFS(Tasks!$A:$A,$A935,Tasks!$B:$B,$B935,Tasks!$H:$H,"&lt;="&amp;INDEX(Weeks!$D:$D,MATCH($C935,Weeks!$A:$A,0)))/COUNTIFS(Tasks!$A:$A,$A935,Tasks!$B:$B,$B935)*100,0),"")</f>
        <v/>
      </c>
      <c r="I935">
        <f>COUNTIFS(Tasks!$A:$A,$A935,Tasks!$B:$B,$B935,Tasks!$G:$G,"&lt;="&amp;INDEX(Weeks!$D:$D,MATCH($C935,Weeks!$A:$A,0)))-COUNTIFS(Tasks!$A:$A,$A935,Tasks!$B:$B,$B935,Tasks!$I:$I,"&lt;="&amp;INDEX(Weeks!$D:$D,MATCH($C935,Weeks!$A:$A,0)),Tasks!$I:$I,"&lt;&gt;")</f>
        <v>0</v>
      </c>
      <c r="J935">
        <f>COUNTIFS(Tasks!$A:$A,$A935,Tasks!$B:$B,$B935,
Tasks!$I:$I,"&gt;"&amp;IFERROR(INDEX(Weeks!$D:$D,MATCH($C935-1,Weeks!$A:$A,0)),DATE(2000,1,1)),
Tasks!$I:$I,"&lt;="&amp;INDEX(Weeks!$D:$D,MATCH($C935,Weeks!$A:$A,0)),
Tasks!$I:$I,"&lt;&gt;")</f>
        <v>0</v>
      </c>
    </row>
    <row r="936" spans="1:10" ht="15" customHeight="1">
      <c r="A936" t="s">
        <v>107</v>
      </c>
      <c r="B936" t="s">
        <v>110</v>
      </c>
      <c r="C936">
        <v>51</v>
      </c>
      <c r="D936">
        <v>12</v>
      </c>
      <c r="E936">
        <v>3</v>
      </c>
      <c r="F936" s="5" t="str">
        <f>IFERROR(ROUND(COUNTIFS(Tasks!$A:$A,$A936,Tasks!$B:$B,$B936,Tasks!$I:$I,"&lt;="&amp;INDEX(Weeks!$D:$D,MATCH($C936,Weeks!$A:$A,0)),Tasks!$I:$I,"&lt;&gt;")/COUNTIFS(Tasks!$A:$A,$A936,Tasks!$B:$B,$B936)*100,0),"")</f>
        <v/>
      </c>
      <c r="G936" s="5" t="str">
        <f>IFERROR(ROUND(COUNTIFS(Tasks!$A:$A,$A936,Tasks!$B:$B,$B936,Tasks!$H:$H,"&lt;="&amp;INDEX(Weeks!$D:$D,MATCH($C936,Weeks!$A:$A,0)))/COUNTIFS(Tasks!$A:$A,$A936,Tasks!$B:$B,$B936)*100,0),"")</f>
        <v/>
      </c>
      <c r="I936">
        <f>COUNTIFS(Tasks!$A:$A,$A936,Tasks!$B:$B,$B936,Tasks!$G:$G,"&lt;="&amp;INDEX(Weeks!$D:$D,MATCH($C936,Weeks!$A:$A,0)))-COUNTIFS(Tasks!$A:$A,$A936,Tasks!$B:$B,$B936,Tasks!$I:$I,"&lt;="&amp;INDEX(Weeks!$D:$D,MATCH($C936,Weeks!$A:$A,0)),Tasks!$I:$I,"&lt;&gt;")</f>
        <v>0</v>
      </c>
      <c r="J936">
        <f>COUNTIFS(Tasks!$A:$A,$A936,Tasks!$B:$B,$B936,
Tasks!$I:$I,"&gt;"&amp;IFERROR(INDEX(Weeks!$D:$D,MATCH($C936-1,Weeks!$A:$A,0)),DATE(2000,1,1)),
Tasks!$I:$I,"&lt;="&amp;INDEX(Weeks!$D:$D,MATCH($C936,Weeks!$A:$A,0)),
Tasks!$I:$I,"&lt;&gt;")</f>
        <v>0</v>
      </c>
    </row>
    <row r="937" spans="1:10" ht="15" customHeight="1">
      <c r="A937" t="s">
        <v>107</v>
      </c>
      <c r="B937" t="s">
        <v>110</v>
      </c>
      <c r="C937">
        <v>52</v>
      </c>
      <c r="D937">
        <v>12</v>
      </c>
      <c r="E937">
        <v>4</v>
      </c>
      <c r="F937" s="5" t="str">
        <f>IFERROR(ROUND(COUNTIFS(Tasks!$A:$A,$A937,Tasks!$B:$B,$B937,Tasks!$I:$I,"&lt;="&amp;INDEX(Weeks!$D:$D,MATCH($C937,Weeks!$A:$A,0)),Tasks!$I:$I,"&lt;&gt;")/COUNTIFS(Tasks!$A:$A,$A937,Tasks!$B:$B,$B937)*100,0),"")</f>
        <v/>
      </c>
      <c r="G937" s="5" t="str">
        <f>IFERROR(ROUND(COUNTIFS(Tasks!$A:$A,$A937,Tasks!$B:$B,$B937,Tasks!$H:$H,"&lt;="&amp;INDEX(Weeks!$D:$D,MATCH($C937,Weeks!$A:$A,0)))/COUNTIFS(Tasks!$A:$A,$A937,Tasks!$B:$B,$B937)*100,0),"")</f>
        <v/>
      </c>
      <c r="I937">
        <f>COUNTIFS(Tasks!$A:$A,$A937,Tasks!$B:$B,$B937,Tasks!$G:$G,"&lt;="&amp;INDEX(Weeks!$D:$D,MATCH($C937,Weeks!$A:$A,0)))-COUNTIFS(Tasks!$A:$A,$A937,Tasks!$B:$B,$B937,Tasks!$I:$I,"&lt;="&amp;INDEX(Weeks!$D:$D,MATCH($C937,Weeks!$A:$A,0)),Tasks!$I:$I,"&lt;&gt;")</f>
        <v>0</v>
      </c>
      <c r="J937">
        <f>COUNTIFS(Tasks!$A:$A,$A937,Tasks!$B:$B,$B937,
Tasks!$I:$I,"&gt;"&amp;IFERROR(INDEX(Weeks!$D:$D,MATCH($C937-1,Weeks!$A:$A,0)),DATE(2000,1,1)),
Tasks!$I:$I,"&lt;="&amp;INDEX(Weeks!$D:$D,MATCH($C937,Weeks!$A:$A,0)),
Tasks!$I:$I,"&lt;&gt;")</f>
        <v>0</v>
      </c>
    </row>
    <row r="938" spans="1:10" ht="15" customHeight="1">
      <c r="A938" t="s">
        <v>107</v>
      </c>
      <c r="B938" t="s">
        <v>111</v>
      </c>
      <c r="C938">
        <v>1</v>
      </c>
      <c r="D938">
        <v>1</v>
      </c>
      <c r="E938">
        <v>1</v>
      </c>
      <c r="F938" s="5" t="str">
        <f>IFERROR(ROUND(COUNTIFS(Tasks!$A:$A,$A938,Tasks!$B:$B,$B938,Tasks!$I:$I,"&lt;="&amp;INDEX(Weeks!$D:$D,MATCH($C938,Weeks!$A:$A,0)),Tasks!$I:$I,"&lt;&gt;")/COUNTIFS(Tasks!$A:$A,$A938,Tasks!$B:$B,$B938)*100,0),"")</f>
        <v/>
      </c>
      <c r="G938" s="5" t="str">
        <f>IFERROR(ROUND(COUNTIFS(Tasks!$A:$A,$A938,Tasks!$B:$B,$B938,Tasks!$H:$H,"&lt;="&amp;INDEX(Weeks!$D:$D,MATCH($C938,Weeks!$A:$A,0)))/COUNTIFS(Tasks!$A:$A,$A938,Tasks!$B:$B,$B938)*100,0),"")</f>
        <v/>
      </c>
      <c r="H938" t="s">
        <v>101</v>
      </c>
      <c r="I938">
        <f>COUNTIFS(Tasks!$A:$A,$A938,Tasks!$B:$B,$B938,Tasks!$G:$G,"&lt;="&amp;INDEX(Weeks!$D:$D,MATCH($C938,Weeks!$A:$A,0)))-COUNTIFS(Tasks!$A:$A,$A938,Tasks!$B:$B,$B938,Tasks!$I:$I,"&lt;="&amp;INDEX(Weeks!$D:$D,MATCH($C938,Weeks!$A:$A,0)),Tasks!$I:$I,"&lt;&gt;")</f>
        <v>0</v>
      </c>
      <c r="J938">
        <f>COUNTIFS(Tasks!$A:$A,$A938,Tasks!$B:$B,$B938,
Tasks!$I:$I,"&gt;"&amp;IFERROR(INDEX(Weeks!$D:$D,MATCH($C938-1,Weeks!$A:$A,0)),DATE(2000,1,1)),
Tasks!$I:$I,"&lt;="&amp;INDEX(Weeks!$D:$D,MATCH($C938,Weeks!$A:$A,0)),
Tasks!$I:$I,"&lt;&gt;")</f>
        <v>0</v>
      </c>
    </row>
    <row r="939" spans="1:10" ht="15" customHeight="1">
      <c r="A939" t="s">
        <v>107</v>
      </c>
      <c r="B939" t="s">
        <v>111</v>
      </c>
      <c r="C939">
        <v>2</v>
      </c>
      <c r="D939">
        <v>1</v>
      </c>
      <c r="E939">
        <v>2</v>
      </c>
      <c r="F939" s="5" t="str">
        <f>IFERROR(ROUND(COUNTIFS(Tasks!$A:$A,$A939,Tasks!$B:$B,$B939,Tasks!$I:$I,"&lt;="&amp;INDEX(Weeks!$D:$D,MATCH($C939,Weeks!$A:$A,0)),Tasks!$I:$I,"&lt;&gt;")/COUNTIFS(Tasks!$A:$A,$A939,Tasks!$B:$B,$B939)*100,0),"")</f>
        <v/>
      </c>
      <c r="G939" s="5" t="str">
        <f>IFERROR(ROUND(COUNTIFS(Tasks!$A:$A,$A939,Tasks!$B:$B,$B939,Tasks!$H:$H,"&lt;="&amp;INDEX(Weeks!$D:$D,MATCH($C939,Weeks!$A:$A,0)))/COUNTIFS(Tasks!$A:$A,$A939,Tasks!$B:$B,$B939)*100,0),"")</f>
        <v/>
      </c>
      <c r="H939" t="s">
        <v>101</v>
      </c>
      <c r="I939">
        <f>COUNTIFS(Tasks!$A:$A,$A939,Tasks!$B:$B,$B939,Tasks!$G:$G,"&lt;="&amp;INDEX(Weeks!$D:$D,MATCH($C939,Weeks!$A:$A,0)))-COUNTIFS(Tasks!$A:$A,$A939,Tasks!$B:$B,$B939,Tasks!$I:$I,"&lt;="&amp;INDEX(Weeks!$D:$D,MATCH($C939,Weeks!$A:$A,0)),Tasks!$I:$I,"&lt;&gt;")</f>
        <v>0</v>
      </c>
      <c r="J939">
        <f>COUNTIFS(Tasks!$A:$A,$A939,Tasks!$B:$B,$B939,
Tasks!$I:$I,"&gt;"&amp;IFERROR(INDEX(Weeks!$D:$D,MATCH($C939-1,Weeks!$A:$A,0)),DATE(2000,1,1)),
Tasks!$I:$I,"&lt;="&amp;INDEX(Weeks!$D:$D,MATCH($C939,Weeks!$A:$A,0)),
Tasks!$I:$I,"&lt;&gt;")</f>
        <v>0</v>
      </c>
    </row>
    <row r="940" spans="1:10" ht="15" customHeight="1">
      <c r="A940" t="s">
        <v>107</v>
      </c>
      <c r="B940" t="s">
        <v>111</v>
      </c>
      <c r="C940">
        <v>3</v>
      </c>
      <c r="D940">
        <v>1</v>
      </c>
      <c r="E940">
        <v>3</v>
      </c>
      <c r="F940" s="5" t="str">
        <f>IFERROR(ROUND(COUNTIFS(Tasks!$A:$A,$A940,Tasks!$B:$B,$B940,Tasks!$I:$I,"&lt;="&amp;INDEX(Weeks!$D:$D,MATCH($C940,Weeks!$A:$A,0)),Tasks!$I:$I,"&lt;&gt;")/COUNTIFS(Tasks!$A:$A,$A940,Tasks!$B:$B,$B940)*100,0),"")</f>
        <v/>
      </c>
      <c r="G940" s="5" t="str">
        <f>IFERROR(ROUND(COUNTIFS(Tasks!$A:$A,$A940,Tasks!$B:$B,$B940,Tasks!$H:$H,"&lt;="&amp;INDEX(Weeks!$D:$D,MATCH($C940,Weeks!$A:$A,0)))/COUNTIFS(Tasks!$A:$A,$A940,Tasks!$B:$B,$B940)*100,0),"")</f>
        <v/>
      </c>
      <c r="H940" t="s">
        <v>101</v>
      </c>
      <c r="I940">
        <f>COUNTIFS(Tasks!$A:$A,$A940,Tasks!$B:$B,$B940,Tasks!$G:$G,"&lt;="&amp;INDEX(Weeks!$D:$D,MATCH($C940,Weeks!$A:$A,0)))-COUNTIFS(Tasks!$A:$A,$A940,Tasks!$B:$B,$B940,Tasks!$I:$I,"&lt;="&amp;INDEX(Weeks!$D:$D,MATCH($C940,Weeks!$A:$A,0)),Tasks!$I:$I,"&lt;&gt;")</f>
        <v>0</v>
      </c>
      <c r="J940">
        <f>COUNTIFS(Tasks!$A:$A,$A940,Tasks!$B:$B,$B940,
Tasks!$I:$I,"&gt;"&amp;IFERROR(INDEX(Weeks!$D:$D,MATCH($C940-1,Weeks!$A:$A,0)),DATE(2000,1,1)),
Tasks!$I:$I,"&lt;="&amp;INDEX(Weeks!$D:$D,MATCH($C940,Weeks!$A:$A,0)),
Tasks!$I:$I,"&lt;&gt;")</f>
        <v>0</v>
      </c>
    </row>
    <row r="941" spans="1:10" ht="15" customHeight="1">
      <c r="A941" t="s">
        <v>107</v>
      </c>
      <c r="B941" t="s">
        <v>111</v>
      </c>
      <c r="C941">
        <v>4</v>
      </c>
      <c r="D941">
        <v>1</v>
      </c>
      <c r="E941">
        <v>4</v>
      </c>
      <c r="F941" s="5" t="str">
        <f>IFERROR(ROUND(COUNTIFS(Tasks!$A:$A,$A941,Tasks!$B:$B,$B941,Tasks!$I:$I,"&lt;="&amp;INDEX(Weeks!$D:$D,MATCH($C941,Weeks!$A:$A,0)),Tasks!$I:$I,"&lt;&gt;")/COUNTIFS(Tasks!$A:$A,$A941,Tasks!$B:$B,$B941)*100,0),"")</f>
        <v/>
      </c>
      <c r="G941" s="5" t="str">
        <f>IFERROR(ROUND(COUNTIFS(Tasks!$A:$A,$A941,Tasks!$B:$B,$B941,Tasks!$H:$H,"&lt;="&amp;INDEX(Weeks!$D:$D,MATCH($C941,Weeks!$A:$A,0)))/COUNTIFS(Tasks!$A:$A,$A941,Tasks!$B:$B,$B941)*100,0),"")</f>
        <v/>
      </c>
      <c r="H941" t="s">
        <v>101</v>
      </c>
      <c r="I941">
        <f>COUNTIFS(Tasks!$A:$A,$A941,Tasks!$B:$B,$B941,Tasks!$G:$G,"&lt;="&amp;INDEX(Weeks!$D:$D,MATCH($C941,Weeks!$A:$A,0)))-COUNTIFS(Tasks!$A:$A,$A941,Tasks!$B:$B,$B941,Tasks!$I:$I,"&lt;="&amp;INDEX(Weeks!$D:$D,MATCH($C941,Weeks!$A:$A,0)),Tasks!$I:$I,"&lt;&gt;")</f>
        <v>0</v>
      </c>
      <c r="J941">
        <f>COUNTIFS(Tasks!$A:$A,$A941,Tasks!$B:$B,$B941,
Tasks!$I:$I,"&gt;"&amp;IFERROR(INDEX(Weeks!$D:$D,MATCH($C941-1,Weeks!$A:$A,0)),DATE(2000,1,1)),
Tasks!$I:$I,"&lt;="&amp;INDEX(Weeks!$D:$D,MATCH($C941,Weeks!$A:$A,0)),
Tasks!$I:$I,"&lt;&gt;")</f>
        <v>0</v>
      </c>
    </row>
    <row r="942" spans="1:10" ht="15" customHeight="1">
      <c r="A942" t="s">
        <v>107</v>
      </c>
      <c r="B942" t="s">
        <v>111</v>
      </c>
      <c r="C942">
        <v>5</v>
      </c>
      <c r="D942">
        <v>1</v>
      </c>
      <c r="E942">
        <v>5</v>
      </c>
      <c r="F942" s="5" t="str">
        <f>IFERROR(ROUND(COUNTIFS(Tasks!$A:$A,$A942,Tasks!$B:$B,$B942,Tasks!$I:$I,"&lt;="&amp;INDEX(Weeks!$D:$D,MATCH($C942,Weeks!$A:$A,0)),Tasks!$I:$I,"&lt;&gt;")/COUNTIFS(Tasks!$A:$A,$A942,Tasks!$B:$B,$B942)*100,0),"")</f>
        <v/>
      </c>
      <c r="G942" s="5" t="str">
        <f>IFERROR(ROUND(COUNTIFS(Tasks!$A:$A,$A942,Tasks!$B:$B,$B942,Tasks!$H:$H,"&lt;="&amp;INDEX(Weeks!$D:$D,MATCH($C942,Weeks!$A:$A,0)))/COUNTIFS(Tasks!$A:$A,$A942,Tasks!$B:$B,$B942)*100,0),"")</f>
        <v/>
      </c>
      <c r="H942" t="s">
        <v>101</v>
      </c>
      <c r="I942">
        <f>COUNTIFS(Tasks!$A:$A,$A942,Tasks!$B:$B,$B942,Tasks!$G:$G,"&lt;="&amp;INDEX(Weeks!$D:$D,MATCH($C942,Weeks!$A:$A,0)))-COUNTIFS(Tasks!$A:$A,$A942,Tasks!$B:$B,$B942,Tasks!$I:$I,"&lt;="&amp;INDEX(Weeks!$D:$D,MATCH($C942,Weeks!$A:$A,0)),Tasks!$I:$I,"&lt;&gt;")</f>
        <v>0</v>
      </c>
      <c r="J942">
        <f>COUNTIFS(Tasks!$A:$A,$A942,Tasks!$B:$B,$B942,
Tasks!$I:$I,"&gt;"&amp;IFERROR(INDEX(Weeks!$D:$D,MATCH($C942-1,Weeks!$A:$A,0)),DATE(2000,1,1)),
Tasks!$I:$I,"&lt;="&amp;INDEX(Weeks!$D:$D,MATCH($C942,Weeks!$A:$A,0)),
Tasks!$I:$I,"&lt;&gt;")</f>
        <v>0</v>
      </c>
    </row>
    <row r="943" spans="1:10" ht="15" customHeight="1">
      <c r="A943" t="s">
        <v>107</v>
      </c>
      <c r="B943" t="s">
        <v>111</v>
      </c>
      <c r="C943">
        <v>6</v>
      </c>
      <c r="D943">
        <v>2</v>
      </c>
      <c r="E943">
        <v>1</v>
      </c>
      <c r="F943" s="5" t="str">
        <f>IFERROR(ROUND(COUNTIFS(Tasks!$A:$A,$A943,Tasks!$B:$B,$B943,Tasks!$I:$I,"&lt;="&amp;INDEX(Weeks!$D:$D,MATCH($C943,Weeks!$A:$A,0)),Tasks!$I:$I,"&lt;&gt;")/COUNTIFS(Tasks!$A:$A,$A943,Tasks!$B:$B,$B943)*100,0),"")</f>
        <v/>
      </c>
      <c r="G943" s="5" t="str">
        <f>IFERROR(ROUND(COUNTIFS(Tasks!$A:$A,$A943,Tasks!$B:$B,$B943,Tasks!$H:$H,"&lt;="&amp;INDEX(Weeks!$D:$D,MATCH($C943,Weeks!$A:$A,0)))/COUNTIFS(Tasks!$A:$A,$A943,Tasks!$B:$B,$B943)*100,0),"")</f>
        <v/>
      </c>
      <c r="H943" t="s">
        <v>101</v>
      </c>
      <c r="I943">
        <f>COUNTIFS(Tasks!$A:$A,$A943,Tasks!$B:$B,$B943,Tasks!$G:$G,"&lt;="&amp;INDEX(Weeks!$D:$D,MATCH($C943,Weeks!$A:$A,0)))-COUNTIFS(Tasks!$A:$A,$A943,Tasks!$B:$B,$B943,Tasks!$I:$I,"&lt;="&amp;INDEX(Weeks!$D:$D,MATCH($C943,Weeks!$A:$A,0)),Tasks!$I:$I,"&lt;&gt;")</f>
        <v>0</v>
      </c>
      <c r="J943">
        <f>COUNTIFS(Tasks!$A:$A,$A943,Tasks!$B:$B,$B943,
Tasks!$I:$I,"&gt;"&amp;IFERROR(INDEX(Weeks!$D:$D,MATCH($C943-1,Weeks!$A:$A,0)),DATE(2000,1,1)),
Tasks!$I:$I,"&lt;="&amp;INDEX(Weeks!$D:$D,MATCH($C943,Weeks!$A:$A,0)),
Tasks!$I:$I,"&lt;&gt;")</f>
        <v>0</v>
      </c>
    </row>
    <row r="944" spans="1:10" ht="15" customHeight="1">
      <c r="A944" t="s">
        <v>107</v>
      </c>
      <c r="B944" t="s">
        <v>111</v>
      </c>
      <c r="C944">
        <v>7</v>
      </c>
      <c r="D944">
        <v>2</v>
      </c>
      <c r="E944">
        <v>2</v>
      </c>
      <c r="F944" s="5" t="str">
        <f>IFERROR(ROUND(COUNTIFS(Tasks!$A:$A,$A944,Tasks!$B:$B,$B944,Tasks!$I:$I,"&lt;="&amp;INDEX(Weeks!$D:$D,MATCH($C944,Weeks!$A:$A,0)),Tasks!$I:$I,"&lt;&gt;")/COUNTIFS(Tasks!$A:$A,$A944,Tasks!$B:$B,$B944)*100,0),"")</f>
        <v/>
      </c>
      <c r="G944" s="5" t="str">
        <f>IFERROR(ROUND(COUNTIFS(Tasks!$A:$A,$A944,Tasks!$B:$B,$B944,Tasks!$H:$H,"&lt;="&amp;INDEX(Weeks!$D:$D,MATCH($C944,Weeks!$A:$A,0)))/COUNTIFS(Tasks!$A:$A,$A944,Tasks!$B:$B,$B944)*100,0),"")</f>
        <v/>
      </c>
      <c r="H944" t="s">
        <v>101</v>
      </c>
      <c r="I944">
        <f>COUNTIFS(Tasks!$A:$A,$A944,Tasks!$B:$B,$B944,Tasks!$G:$G,"&lt;="&amp;INDEX(Weeks!$D:$D,MATCH($C944,Weeks!$A:$A,0)))-COUNTIFS(Tasks!$A:$A,$A944,Tasks!$B:$B,$B944,Tasks!$I:$I,"&lt;="&amp;INDEX(Weeks!$D:$D,MATCH($C944,Weeks!$A:$A,0)),Tasks!$I:$I,"&lt;&gt;")</f>
        <v>0</v>
      </c>
      <c r="J944">
        <f>COUNTIFS(Tasks!$A:$A,$A944,Tasks!$B:$B,$B944,
Tasks!$I:$I,"&gt;"&amp;IFERROR(INDEX(Weeks!$D:$D,MATCH($C944-1,Weeks!$A:$A,0)),DATE(2000,1,1)),
Tasks!$I:$I,"&lt;="&amp;INDEX(Weeks!$D:$D,MATCH($C944,Weeks!$A:$A,0)),
Tasks!$I:$I,"&lt;&gt;")</f>
        <v>0</v>
      </c>
    </row>
    <row r="945" spans="1:10" ht="15" customHeight="1">
      <c r="A945" t="s">
        <v>107</v>
      </c>
      <c r="B945" t="s">
        <v>111</v>
      </c>
      <c r="C945">
        <v>8</v>
      </c>
      <c r="D945">
        <v>2</v>
      </c>
      <c r="E945">
        <v>3</v>
      </c>
      <c r="F945" s="5" t="str">
        <f>IFERROR(ROUND(COUNTIFS(Tasks!$A:$A,$A945,Tasks!$B:$B,$B945,Tasks!$I:$I,"&lt;="&amp;INDEX(Weeks!$D:$D,MATCH($C945,Weeks!$A:$A,0)),Tasks!$I:$I,"&lt;&gt;")/COUNTIFS(Tasks!$A:$A,$A945,Tasks!$B:$B,$B945)*100,0),"")</f>
        <v/>
      </c>
      <c r="G945" s="5" t="str">
        <f>IFERROR(ROUND(COUNTIFS(Tasks!$A:$A,$A945,Tasks!$B:$B,$B945,Tasks!$H:$H,"&lt;="&amp;INDEX(Weeks!$D:$D,MATCH($C945,Weeks!$A:$A,0)))/COUNTIFS(Tasks!$A:$A,$A945,Tasks!$B:$B,$B945)*100,0),"")</f>
        <v/>
      </c>
      <c r="H945" t="s">
        <v>101</v>
      </c>
      <c r="I945">
        <f>COUNTIFS(Tasks!$A:$A,$A945,Tasks!$B:$B,$B945,Tasks!$G:$G,"&lt;="&amp;INDEX(Weeks!$D:$D,MATCH($C945,Weeks!$A:$A,0)))-COUNTIFS(Tasks!$A:$A,$A945,Tasks!$B:$B,$B945,Tasks!$I:$I,"&lt;="&amp;INDEX(Weeks!$D:$D,MATCH($C945,Weeks!$A:$A,0)),Tasks!$I:$I,"&lt;&gt;")</f>
        <v>0</v>
      </c>
      <c r="J945">
        <f>COUNTIFS(Tasks!$A:$A,$A945,Tasks!$B:$B,$B945,
Tasks!$I:$I,"&gt;"&amp;IFERROR(INDEX(Weeks!$D:$D,MATCH($C945-1,Weeks!$A:$A,0)),DATE(2000,1,1)),
Tasks!$I:$I,"&lt;="&amp;INDEX(Weeks!$D:$D,MATCH($C945,Weeks!$A:$A,0)),
Tasks!$I:$I,"&lt;&gt;")</f>
        <v>0</v>
      </c>
    </row>
    <row r="946" spans="1:10" ht="15" customHeight="1">
      <c r="A946" t="s">
        <v>107</v>
      </c>
      <c r="B946" t="s">
        <v>111</v>
      </c>
      <c r="C946">
        <v>9</v>
      </c>
      <c r="D946">
        <v>2</v>
      </c>
      <c r="E946">
        <v>4</v>
      </c>
      <c r="F946" s="5" t="str">
        <f>IFERROR(ROUND(COUNTIFS(Tasks!$A:$A,$A946,Tasks!$B:$B,$B946,Tasks!$I:$I,"&lt;="&amp;INDEX(Weeks!$D:$D,MATCH($C946,Weeks!$A:$A,0)),Tasks!$I:$I,"&lt;&gt;")/COUNTIFS(Tasks!$A:$A,$A946,Tasks!$B:$B,$B946)*100,0),"")</f>
        <v/>
      </c>
      <c r="G946" s="5" t="str">
        <f>IFERROR(ROUND(COUNTIFS(Tasks!$A:$A,$A946,Tasks!$B:$B,$B946,Tasks!$H:$H,"&lt;="&amp;INDEX(Weeks!$D:$D,MATCH($C946,Weeks!$A:$A,0)))/COUNTIFS(Tasks!$A:$A,$A946,Tasks!$B:$B,$B946)*100,0),"")</f>
        <v/>
      </c>
      <c r="H946" t="s">
        <v>101</v>
      </c>
      <c r="I946">
        <f>COUNTIFS(Tasks!$A:$A,$A946,Tasks!$B:$B,$B946,Tasks!$G:$G,"&lt;="&amp;INDEX(Weeks!$D:$D,MATCH($C946,Weeks!$A:$A,0)))-COUNTIFS(Tasks!$A:$A,$A946,Tasks!$B:$B,$B946,Tasks!$I:$I,"&lt;="&amp;INDEX(Weeks!$D:$D,MATCH($C946,Weeks!$A:$A,0)),Tasks!$I:$I,"&lt;&gt;")</f>
        <v>0</v>
      </c>
      <c r="J946">
        <f>COUNTIFS(Tasks!$A:$A,$A946,Tasks!$B:$B,$B946,
Tasks!$I:$I,"&gt;"&amp;IFERROR(INDEX(Weeks!$D:$D,MATCH($C946-1,Weeks!$A:$A,0)),DATE(2000,1,1)),
Tasks!$I:$I,"&lt;="&amp;INDEX(Weeks!$D:$D,MATCH($C946,Weeks!$A:$A,0)),
Tasks!$I:$I,"&lt;&gt;")</f>
        <v>0</v>
      </c>
    </row>
    <row r="947" spans="1:10" ht="15" customHeight="1">
      <c r="A947" t="s">
        <v>107</v>
      </c>
      <c r="B947" t="s">
        <v>111</v>
      </c>
      <c r="C947">
        <v>10</v>
      </c>
      <c r="D947">
        <v>3</v>
      </c>
      <c r="E947">
        <v>1</v>
      </c>
      <c r="F947" s="5" t="str">
        <f>IFERROR(ROUND(COUNTIFS(Tasks!$A:$A,$A947,Tasks!$B:$B,$B947,Tasks!$I:$I,"&lt;="&amp;INDEX(Weeks!$D:$D,MATCH($C947,Weeks!$A:$A,0)),Tasks!$I:$I,"&lt;&gt;")/COUNTIFS(Tasks!$A:$A,$A947,Tasks!$B:$B,$B947)*100,0),"")</f>
        <v/>
      </c>
      <c r="G947" s="5" t="str">
        <f>IFERROR(ROUND(COUNTIFS(Tasks!$A:$A,$A947,Tasks!$B:$B,$B947,Tasks!$H:$H,"&lt;="&amp;INDEX(Weeks!$D:$D,MATCH($C947,Weeks!$A:$A,0)))/COUNTIFS(Tasks!$A:$A,$A947,Tasks!$B:$B,$B947)*100,0),"")</f>
        <v/>
      </c>
      <c r="H947" t="s">
        <v>101</v>
      </c>
      <c r="I947">
        <f>COUNTIFS(Tasks!$A:$A,$A947,Tasks!$B:$B,$B947,Tasks!$G:$G,"&lt;="&amp;INDEX(Weeks!$D:$D,MATCH($C947,Weeks!$A:$A,0)))-COUNTIFS(Tasks!$A:$A,$A947,Tasks!$B:$B,$B947,Tasks!$I:$I,"&lt;="&amp;INDEX(Weeks!$D:$D,MATCH($C947,Weeks!$A:$A,0)),Tasks!$I:$I,"&lt;&gt;")</f>
        <v>0</v>
      </c>
      <c r="J947">
        <f>COUNTIFS(Tasks!$A:$A,$A947,Tasks!$B:$B,$B947,
Tasks!$I:$I,"&gt;"&amp;IFERROR(INDEX(Weeks!$D:$D,MATCH($C947-1,Weeks!$A:$A,0)),DATE(2000,1,1)),
Tasks!$I:$I,"&lt;="&amp;INDEX(Weeks!$D:$D,MATCH($C947,Weeks!$A:$A,0)),
Tasks!$I:$I,"&lt;&gt;")</f>
        <v>0</v>
      </c>
    </row>
    <row r="948" spans="1:10" ht="15" customHeight="1">
      <c r="A948" t="s">
        <v>107</v>
      </c>
      <c r="B948" t="s">
        <v>111</v>
      </c>
      <c r="C948">
        <v>11</v>
      </c>
      <c r="D948">
        <v>3</v>
      </c>
      <c r="E948">
        <v>2</v>
      </c>
      <c r="F948" s="5" t="str">
        <f>IFERROR(ROUND(COUNTIFS(Tasks!$A:$A,$A948,Tasks!$B:$B,$B948,Tasks!$I:$I,"&lt;="&amp;INDEX(Weeks!$D:$D,MATCH($C948,Weeks!$A:$A,0)),Tasks!$I:$I,"&lt;&gt;")/COUNTIFS(Tasks!$A:$A,$A948,Tasks!$B:$B,$B948)*100,0),"")</f>
        <v/>
      </c>
      <c r="G948" s="5" t="str">
        <f>IFERROR(ROUND(COUNTIFS(Tasks!$A:$A,$A948,Tasks!$B:$B,$B948,Tasks!$H:$H,"&lt;="&amp;INDEX(Weeks!$D:$D,MATCH($C948,Weeks!$A:$A,0)))/COUNTIFS(Tasks!$A:$A,$A948,Tasks!$B:$B,$B948)*100,0),"")</f>
        <v/>
      </c>
      <c r="H948" t="s">
        <v>101</v>
      </c>
      <c r="I948">
        <f>COUNTIFS(Tasks!$A:$A,$A948,Tasks!$B:$B,$B948,Tasks!$G:$G,"&lt;="&amp;INDEX(Weeks!$D:$D,MATCH($C948,Weeks!$A:$A,0)))-COUNTIFS(Tasks!$A:$A,$A948,Tasks!$B:$B,$B948,Tasks!$I:$I,"&lt;="&amp;INDEX(Weeks!$D:$D,MATCH($C948,Weeks!$A:$A,0)),Tasks!$I:$I,"&lt;&gt;")</f>
        <v>0</v>
      </c>
      <c r="J948">
        <f>COUNTIFS(Tasks!$A:$A,$A948,Tasks!$B:$B,$B948,
Tasks!$I:$I,"&gt;"&amp;IFERROR(INDEX(Weeks!$D:$D,MATCH($C948-1,Weeks!$A:$A,0)),DATE(2000,1,1)),
Tasks!$I:$I,"&lt;="&amp;INDEX(Weeks!$D:$D,MATCH($C948,Weeks!$A:$A,0)),
Tasks!$I:$I,"&lt;&gt;")</f>
        <v>0</v>
      </c>
    </row>
    <row r="949" spans="1:10" ht="15" customHeight="1">
      <c r="A949" t="s">
        <v>107</v>
      </c>
      <c r="B949" t="s">
        <v>111</v>
      </c>
      <c r="C949">
        <v>12</v>
      </c>
      <c r="D949">
        <v>3</v>
      </c>
      <c r="E949">
        <v>3</v>
      </c>
      <c r="F949" s="5" t="str">
        <f>IFERROR(ROUND(COUNTIFS(Tasks!$A:$A,$A949,Tasks!$B:$B,$B949,Tasks!$I:$I,"&lt;="&amp;INDEX(Weeks!$D:$D,MATCH($C949,Weeks!$A:$A,0)),Tasks!$I:$I,"&lt;&gt;")/COUNTIFS(Tasks!$A:$A,$A949,Tasks!$B:$B,$B949)*100,0),"")</f>
        <v/>
      </c>
      <c r="G949" s="5" t="str">
        <f>IFERROR(ROUND(COUNTIFS(Tasks!$A:$A,$A949,Tasks!$B:$B,$B949,Tasks!$H:$H,"&lt;="&amp;INDEX(Weeks!$D:$D,MATCH($C949,Weeks!$A:$A,0)))/COUNTIFS(Tasks!$A:$A,$A949,Tasks!$B:$B,$B949)*100,0),"")</f>
        <v/>
      </c>
      <c r="H949" t="s">
        <v>101</v>
      </c>
      <c r="I949">
        <f>COUNTIFS(Tasks!$A:$A,$A949,Tasks!$B:$B,$B949,Tasks!$G:$G,"&lt;="&amp;INDEX(Weeks!$D:$D,MATCH($C949,Weeks!$A:$A,0)))-COUNTIFS(Tasks!$A:$A,$A949,Tasks!$B:$B,$B949,Tasks!$I:$I,"&lt;="&amp;INDEX(Weeks!$D:$D,MATCH($C949,Weeks!$A:$A,0)),Tasks!$I:$I,"&lt;&gt;")</f>
        <v>0</v>
      </c>
      <c r="J949">
        <f>COUNTIFS(Tasks!$A:$A,$A949,Tasks!$B:$B,$B949,
Tasks!$I:$I,"&gt;"&amp;IFERROR(INDEX(Weeks!$D:$D,MATCH($C949-1,Weeks!$A:$A,0)),DATE(2000,1,1)),
Tasks!$I:$I,"&lt;="&amp;INDEX(Weeks!$D:$D,MATCH($C949,Weeks!$A:$A,0)),
Tasks!$I:$I,"&lt;&gt;")</f>
        <v>0</v>
      </c>
    </row>
    <row r="950" spans="1:10" ht="15" customHeight="1">
      <c r="A950" t="s">
        <v>107</v>
      </c>
      <c r="B950" t="s">
        <v>111</v>
      </c>
      <c r="C950">
        <v>13</v>
      </c>
      <c r="D950">
        <v>3</v>
      </c>
      <c r="E950">
        <v>4</v>
      </c>
      <c r="F950" s="5" t="str">
        <f>IFERROR(ROUND(COUNTIFS(Tasks!$A:$A,$A950,Tasks!$B:$B,$B950,Tasks!$I:$I,"&lt;="&amp;INDEX(Weeks!$D:$D,MATCH($C950,Weeks!$A:$A,0)),Tasks!$I:$I,"&lt;&gt;")/COUNTIFS(Tasks!$A:$A,$A950,Tasks!$B:$B,$B950)*100,0),"")</f>
        <v/>
      </c>
      <c r="G950" s="5" t="str">
        <f>IFERROR(ROUND(COUNTIFS(Tasks!$A:$A,$A950,Tasks!$B:$B,$B950,Tasks!$H:$H,"&lt;="&amp;INDEX(Weeks!$D:$D,MATCH($C950,Weeks!$A:$A,0)))/COUNTIFS(Tasks!$A:$A,$A950,Tasks!$B:$B,$B950)*100,0),"")</f>
        <v/>
      </c>
      <c r="H950" t="s">
        <v>101</v>
      </c>
      <c r="I950">
        <f>COUNTIFS(Tasks!$A:$A,$A950,Tasks!$B:$B,$B950,Tasks!$G:$G,"&lt;="&amp;INDEX(Weeks!$D:$D,MATCH($C950,Weeks!$A:$A,0)))-COUNTIFS(Tasks!$A:$A,$A950,Tasks!$B:$B,$B950,Tasks!$I:$I,"&lt;="&amp;INDEX(Weeks!$D:$D,MATCH($C950,Weeks!$A:$A,0)),Tasks!$I:$I,"&lt;&gt;")</f>
        <v>0</v>
      </c>
      <c r="J950">
        <f>COUNTIFS(Tasks!$A:$A,$A950,Tasks!$B:$B,$B950,
Tasks!$I:$I,"&gt;"&amp;IFERROR(INDEX(Weeks!$D:$D,MATCH($C950-1,Weeks!$A:$A,0)),DATE(2000,1,1)),
Tasks!$I:$I,"&lt;="&amp;INDEX(Weeks!$D:$D,MATCH($C950,Weeks!$A:$A,0)),
Tasks!$I:$I,"&lt;&gt;")</f>
        <v>0</v>
      </c>
    </row>
    <row r="951" spans="1:10" ht="15" customHeight="1">
      <c r="A951" t="s">
        <v>107</v>
      </c>
      <c r="B951" t="s">
        <v>111</v>
      </c>
      <c r="C951">
        <v>14</v>
      </c>
      <c r="D951">
        <v>4</v>
      </c>
      <c r="E951">
        <v>1</v>
      </c>
      <c r="F951" s="5" t="str">
        <f>IFERROR(ROUND(COUNTIFS(Tasks!$A:$A,$A951,Tasks!$B:$B,$B951,Tasks!$I:$I,"&lt;="&amp;INDEX(Weeks!$D:$D,MATCH($C951,Weeks!$A:$A,0)),Tasks!$I:$I,"&lt;&gt;")/COUNTIFS(Tasks!$A:$A,$A951,Tasks!$B:$B,$B951)*100,0),"")</f>
        <v/>
      </c>
      <c r="G951" s="5" t="str">
        <f>IFERROR(ROUND(COUNTIFS(Tasks!$A:$A,$A951,Tasks!$B:$B,$B951,Tasks!$H:$H,"&lt;="&amp;INDEX(Weeks!$D:$D,MATCH($C951,Weeks!$A:$A,0)))/COUNTIFS(Tasks!$A:$A,$A951,Tasks!$B:$B,$B951)*100,0),"")</f>
        <v/>
      </c>
      <c r="H951" t="s">
        <v>101</v>
      </c>
      <c r="I951">
        <f>COUNTIFS(Tasks!$A:$A,$A951,Tasks!$B:$B,$B951,Tasks!$G:$G,"&lt;="&amp;INDEX(Weeks!$D:$D,MATCH($C951,Weeks!$A:$A,0)))-COUNTIFS(Tasks!$A:$A,$A951,Tasks!$B:$B,$B951,Tasks!$I:$I,"&lt;="&amp;INDEX(Weeks!$D:$D,MATCH($C951,Weeks!$A:$A,0)),Tasks!$I:$I,"&lt;&gt;")</f>
        <v>0</v>
      </c>
      <c r="J951">
        <f>COUNTIFS(Tasks!$A:$A,$A951,Tasks!$B:$B,$B951,
Tasks!$I:$I,"&gt;"&amp;IFERROR(INDEX(Weeks!$D:$D,MATCH($C951-1,Weeks!$A:$A,0)),DATE(2000,1,1)),
Tasks!$I:$I,"&lt;="&amp;INDEX(Weeks!$D:$D,MATCH($C951,Weeks!$A:$A,0)),
Tasks!$I:$I,"&lt;&gt;")</f>
        <v>0</v>
      </c>
    </row>
    <row r="952" spans="1:10" ht="15" customHeight="1">
      <c r="A952" t="s">
        <v>107</v>
      </c>
      <c r="B952" t="s">
        <v>111</v>
      </c>
      <c r="C952">
        <v>15</v>
      </c>
      <c r="D952">
        <v>4</v>
      </c>
      <c r="E952">
        <v>2</v>
      </c>
      <c r="F952" s="5" t="str">
        <f>IFERROR(ROUND(COUNTIFS(Tasks!$A:$A,$A952,Tasks!$B:$B,$B952,Tasks!$I:$I,"&lt;="&amp;INDEX(Weeks!$D:$D,MATCH($C952,Weeks!$A:$A,0)),Tasks!$I:$I,"&lt;&gt;")/COUNTIFS(Tasks!$A:$A,$A952,Tasks!$B:$B,$B952)*100,0),"")</f>
        <v/>
      </c>
      <c r="G952" s="5" t="str">
        <f>IFERROR(ROUND(COUNTIFS(Tasks!$A:$A,$A952,Tasks!$B:$B,$B952,Tasks!$H:$H,"&lt;="&amp;INDEX(Weeks!$D:$D,MATCH($C952,Weeks!$A:$A,0)))/COUNTIFS(Tasks!$A:$A,$A952,Tasks!$B:$B,$B952)*100,0),"")</f>
        <v/>
      </c>
      <c r="H952" t="s">
        <v>101</v>
      </c>
      <c r="I952">
        <f>COUNTIFS(Tasks!$A:$A,$A952,Tasks!$B:$B,$B952,Tasks!$G:$G,"&lt;="&amp;INDEX(Weeks!$D:$D,MATCH($C952,Weeks!$A:$A,0)))-COUNTIFS(Tasks!$A:$A,$A952,Tasks!$B:$B,$B952,Tasks!$I:$I,"&lt;="&amp;INDEX(Weeks!$D:$D,MATCH($C952,Weeks!$A:$A,0)),Tasks!$I:$I,"&lt;&gt;")</f>
        <v>0</v>
      </c>
      <c r="J952">
        <f>COUNTIFS(Tasks!$A:$A,$A952,Tasks!$B:$B,$B952,
Tasks!$I:$I,"&gt;"&amp;IFERROR(INDEX(Weeks!$D:$D,MATCH($C952-1,Weeks!$A:$A,0)),DATE(2000,1,1)),
Tasks!$I:$I,"&lt;="&amp;INDEX(Weeks!$D:$D,MATCH($C952,Weeks!$A:$A,0)),
Tasks!$I:$I,"&lt;&gt;")</f>
        <v>0</v>
      </c>
    </row>
    <row r="953" spans="1:10" ht="15" customHeight="1">
      <c r="A953" t="s">
        <v>107</v>
      </c>
      <c r="B953" t="s">
        <v>111</v>
      </c>
      <c r="C953">
        <v>16</v>
      </c>
      <c r="D953">
        <v>4</v>
      </c>
      <c r="E953">
        <v>3</v>
      </c>
      <c r="F953" s="5" t="str">
        <f>IFERROR(ROUND(COUNTIFS(Tasks!$A:$A,$A953,Tasks!$B:$B,$B953,Tasks!$I:$I,"&lt;="&amp;INDEX(Weeks!$D:$D,MATCH($C953,Weeks!$A:$A,0)),Tasks!$I:$I,"&lt;&gt;")/COUNTIFS(Tasks!$A:$A,$A953,Tasks!$B:$B,$B953)*100,0),"")</f>
        <v/>
      </c>
      <c r="G953" s="5" t="str">
        <f>IFERROR(ROUND(COUNTIFS(Tasks!$A:$A,$A953,Tasks!$B:$B,$B953,Tasks!$H:$H,"&lt;="&amp;INDEX(Weeks!$D:$D,MATCH($C953,Weeks!$A:$A,0)))/COUNTIFS(Tasks!$A:$A,$A953,Tasks!$B:$B,$B953)*100,0),"")</f>
        <v/>
      </c>
      <c r="H953" t="s">
        <v>101</v>
      </c>
      <c r="I953">
        <f>COUNTIFS(Tasks!$A:$A,$A953,Tasks!$B:$B,$B953,Tasks!$G:$G,"&lt;="&amp;INDEX(Weeks!$D:$D,MATCH($C953,Weeks!$A:$A,0)))-COUNTIFS(Tasks!$A:$A,$A953,Tasks!$B:$B,$B953,Tasks!$I:$I,"&lt;="&amp;INDEX(Weeks!$D:$D,MATCH($C953,Weeks!$A:$A,0)),Tasks!$I:$I,"&lt;&gt;")</f>
        <v>0</v>
      </c>
      <c r="J953">
        <f>COUNTIFS(Tasks!$A:$A,$A953,Tasks!$B:$B,$B953,
Tasks!$I:$I,"&gt;"&amp;IFERROR(INDEX(Weeks!$D:$D,MATCH($C953-1,Weeks!$A:$A,0)),DATE(2000,1,1)),
Tasks!$I:$I,"&lt;="&amp;INDEX(Weeks!$D:$D,MATCH($C953,Weeks!$A:$A,0)),
Tasks!$I:$I,"&lt;&gt;")</f>
        <v>0</v>
      </c>
    </row>
    <row r="954" spans="1:10" ht="15" customHeight="1">
      <c r="A954" t="s">
        <v>107</v>
      </c>
      <c r="B954" t="s">
        <v>111</v>
      </c>
      <c r="C954">
        <v>17</v>
      </c>
      <c r="D954">
        <v>4</v>
      </c>
      <c r="E954">
        <v>4</v>
      </c>
      <c r="F954" s="5" t="str">
        <f>IFERROR(ROUND(COUNTIFS(Tasks!$A:$A,$A954,Tasks!$B:$B,$B954,Tasks!$I:$I,"&lt;="&amp;INDEX(Weeks!$D:$D,MATCH($C954,Weeks!$A:$A,0)),Tasks!$I:$I,"&lt;&gt;")/COUNTIFS(Tasks!$A:$A,$A954,Tasks!$B:$B,$B954)*100,0),"")</f>
        <v/>
      </c>
      <c r="G954" s="5" t="str">
        <f>IFERROR(ROUND(COUNTIFS(Tasks!$A:$A,$A954,Tasks!$B:$B,$B954,Tasks!$H:$H,"&lt;="&amp;INDEX(Weeks!$D:$D,MATCH($C954,Weeks!$A:$A,0)))/COUNTIFS(Tasks!$A:$A,$A954,Tasks!$B:$B,$B954)*100,0),"")</f>
        <v/>
      </c>
      <c r="H954" t="s">
        <v>101</v>
      </c>
      <c r="I954">
        <f>COUNTIFS(Tasks!$A:$A,$A954,Tasks!$B:$B,$B954,Tasks!$G:$G,"&lt;="&amp;INDEX(Weeks!$D:$D,MATCH($C954,Weeks!$A:$A,0)))-COUNTIFS(Tasks!$A:$A,$A954,Tasks!$B:$B,$B954,Tasks!$I:$I,"&lt;="&amp;INDEX(Weeks!$D:$D,MATCH($C954,Weeks!$A:$A,0)),Tasks!$I:$I,"&lt;&gt;")</f>
        <v>0</v>
      </c>
      <c r="J954">
        <f>COUNTIFS(Tasks!$A:$A,$A954,Tasks!$B:$B,$B954,
Tasks!$I:$I,"&gt;"&amp;IFERROR(INDEX(Weeks!$D:$D,MATCH($C954-1,Weeks!$A:$A,0)),DATE(2000,1,1)),
Tasks!$I:$I,"&lt;="&amp;INDEX(Weeks!$D:$D,MATCH($C954,Weeks!$A:$A,0)),
Tasks!$I:$I,"&lt;&gt;")</f>
        <v>0</v>
      </c>
    </row>
    <row r="955" spans="1:10" ht="15" customHeight="1">
      <c r="A955" t="s">
        <v>107</v>
      </c>
      <c r="B955" t="s">
        <v>111</v>
      </c>
      <c r="C955">
        <v>18</v>
      </c>
      <c r="D955">
        <v>5</v>
      </c>
      <c r="E955">
        <v>1</v>
      </c>
      <c r="F955" s="5" t="str">
        <f>IFERROR(ROUND(COUNTIFS(Tasks!$A:$A,$A955,Tasks!$B:$B,$B955,Tasks!$I:$I,"&lt;="&amp;INDEX(Weeks!$D:$D,MATCH($C955,Weeks!$A:$A,0)),Tasks!$I:$I,"&lt;&gt;")/COUNTIFS(Tasks!$A:$A,$A955,Tasks!$B:$B,$B955)*100,0),"")</f>
        <v/>
      </c>
      <c r="G955" s="5" t="str">
        <f>IFERROR(ROUND(COUNTIFS(Tasks!$A:$A,$A955,Tasks!$B:$B,$B955,Tasks!$H:$H,"&lt;="&amp;INDEX(Weeks!$D:$D,MATCH($C955,Weeks!$A:$A,0)))/COUNTIFS(Tasks!$A:$A,$A955,Tasks!$B:$B,$B955)*100,0),"")</f>
        <v/>
      </c>
      <c r="H955" t="s">
        <v>101</v>
      </c>
      <c r="I955">
        <f>COUNTIFS(Tasks!$A:$A,$A955,Tasks!$B:$B,$B955,Tasks!$G:$G,"&lt;="&amp;INDEX(Weeks!$D:$D,MATCH($C955,Weeks!$A:$A,0)))-COUNTIFS(Tasks!$A:$A,$A955,Tasks!$B:$B,$B955,Tasks!$I:$I,"&lt;="&amp;INDEX(Weeks!$D:$D,MATCH($C955,Weeks!$A:$A,0)),Tasks!$I:$I,"&lt;&gt;")</f>
        <v>0</v>
      </c>
      <c r="J955">
        <f>COUNTIFS(Tasks!$A:$A,$A955,Tasks!$B:$B,$B955,
Tasks!$I:$I,"&gt;"&amp;IFERROR(INDEX(Weeks!$D:$D,MATCH($C955-1,Weeks!$A:$A,0)),DATE(2000,1,1)),
Tasks!$I:$I,"&lt;="&amp;INDEX(Weeks!$D:$D,MATCH($C955,Weeks!$A:$A,0)),
Tasks!$I:$I,"&lt;&gt;")</f>
        <v>0</v>
      </c>
    </row>
    <row r="956" spans="1:10" ht="15" customHeight="1">
      <c r="A956" t="s">
        <v>107</v>
      </c>
      <c r="B956" t="s">
        <v>111</v>
      </c>
      <c r="C956">
        <v>19</v>
      </c>
      <c r="D956">
        <v>5</v>
      </c>
      <c r="E956">
        <v>2</v>
      </c>
      <c r="F956" s="5" t="str">
        <f>IFERROR(ROUND(COUNTIFS(Tasks!$A:$A,$A956,Tasks!$B:$B,$B956,Tasks!$I:$I,"&lt;="&amp;INDEX(Weeks!$D:$D,MATCH($C956,Weeks!$A:$A,0)),Tasks!$I:$I,"&lt;&gt;")/COUNTIFS(Tasks!$A:$A,$A956,Tasks!$B:$B,$B956)*100,0),"")</f>
        <v/>
      </c>
      <c r="G956" s="5" t="str">
        <f>IFERROR(ROUND(COUNTIFS(Tasks!$A:$A,$A956,Tasks!$B:$B,$B956,Tasks!$H:$H,"&lt;="&amp;INDEX(Weeks!$D:$D,MATCH($C956,Weeks!$A:$A,0)))/COUNTIFS(Tasks!$A:$A,$A956,Tasks!$B:$B,$B956)*100,0),"")</f>
        <v/>
      </c>
      <c r="H956" t="s">
        <v>101</v>
      </c>
      <c r="I956">
        <f>COUNTIFS(Tasks!$A:$A,$A956,Tasks!$B:$B,$B956,Tasks!$G:$G,"&lt;="&amp;INDEX(Weeks!$D:$D,MATCH($C956,Weeks!$A:$A,0)))-COUNTIFS(Tasks!$A:$A,$A956,Tasks!$B:$B,$B956,Tasks!$I:$I,"&lt;="&amp;INDEX(Weeks!$D:$D,MATCH($C956,Weeks!$A:$A,0)),Tasks!$I:$I,"&lt;&gt;")</f>
        <v>0</v>
      </c>
      <c r="J956">
        <f>COUNTIFS(Tasks!$A:$A,$A956,Tasks!$B:$B,$B956,
Tasks!$I:$I,"&gt;"&amp;IFERROR(INDEX(Weeks!$D:$D,MATCH($C956-1,Weeks!$A:$A,0)),DATE(2000,1,1)),
Tasks!$I:$I,"&lt;="&amp;INDEX(Weeks!$D:$D,MATCH($C956,Weeks!$A:$A,0)),
Tasks!$I:$I,"&lt;&gt;")</f>
        <v>0</v>
      </c>
    </row>
    <row r="957" spans="1:10" ht="15" customHeight="1">
      <c r="A957" t="s">
        <v>107</v>
      </c>
      <c r="B957" t="s">
        <v>111</v>
      </c>
      <c r="C957">
        <v>20</v>
      </c>
      <c r="D957">
        <v>5</v>
      </c>
      <c r="E957">
        <v>3</v>
      </c>
      <c r="F957" s="5" t="str">
        <f>IFERROR(ROUND(COUNTIFS(Tasks!$A:$A,$A957,Tasks!$B:$B,$B957,Tasks!$I:$I,"&lt;="&amp;INDEX(Weeks!$D:$D,MATCH($C957,Weeks!$A:$A,0)),Tasks!$I:$I,"&lt;&gt;")/COUNTIFS(Tasks!$A:$A,$A957,Tasks!$B:$B,$B957)*100,0),"")</f>
        <v/>
      </c>
      <c r="G957" s="5" t="str">
        <f>IFERROR(ROUND(COUNTIFS(Tasks!$A:$A,$A957,Tasks!$B:$B,$B957,Tasks!$H:$H,"&lt;="&amp;INDEX(Weeks!$D:$D,MATCH($C957,Weeks!$A:$A,0)))/COUNTIFS(Tasks!$A:$A,$A957,Tasks!$B:$B,$B957)*100,0),"")</f>
        <v/>
      </c>
      <c r="H957" t="s">
        <v>101</v>
      </c>
      <c r="I957">
        <f>COUNTIFS(Tasks!$A:$A,$A957,Tasks!$B:$B,$B957,Tasks!$G:$G,"&lt;="&amp;INDEX(Weeks!$D:$D,MATCH($C957,Weeks!$A:$A,0)))-COUNTIFS(Tasks!$A:$A,$A957,Tasks!$B:$B,$B957,Tasks!$I:$I,"&lt;="&amp;INDEX(Weeks!$D:$D,MATCH($C957,Weeks!$A:$A,0)),Tasks!$I:$I,"&lt;&gt;")</f>
        <v>0</v>
      </c>
      <c r="J957">
        <f>COUNTIFS(Tasks!$A:$A,$A957,Tasks!$B:$B,$B957,
Tasks!$I:$I,"&gt;"&amp;IFERROR(INDEX(Weeks!$D:$D,MATCH($C957-1,Weeks!$A:$A,0)),DATE(2000,1,1)),
Tasks!$I:$I,"&lt;="&amp;INDEX(Weeks!$D:$D,MATCH($C957,Weeks!$A:$A,0)),
Tasks!$I:$I,"&lt;&gt;")</f>
        <v>0</v>
      </c>
    </row>
    <row r="958" spans="1:10" ht="15" customHeight="1">
      <c r="A958" t="s">
        <v>107</v>
      </c>
      <c r="B958" t="s">
        <v>111</v>
      </c>
      <c r="C958">
        <v>21</v>
      </c>
      <c r="D958">
        <v>5</v>
      </c>
      <c r="E958">
        <v>4</v>
      </c>
      <c r="F958" s="5" t="str">
        <f>IFERROR(ROUND(COUNTIFS(Tasks!$A:$A,$A958,Tasks!$B:$B,$B958,Tasks!$I:$I,"&lt;="&amp;INDEX(Weeks!$D:$D,MATCH($C958,Weeks!$A:$A,0)),Tasks!$I:$I,"&lt;&gt;")/COUNTIFS(Tasks!$A:$A,$A958,Tasks!$B:$B,$B958)*100,0),"")</f>
        <v/>
      </c>
      <c r="G958" s="5" t="str">
        <f>IFERROR(ROUND(COUNTIFS(Tasks!$A:$A,$A958,Tasks!$B:$B,$B958,Tasks!$H:$H,"&lt;="&amp;INDEX(Weeks!$D:$D,MATCH($C958,Weeks!$A:$A,0)))/COUNTIFS(Tasks!$A:$A,$A958,Tasks!$B:$B,$B958)*100,0),"")</f>
        <v/>
      </c>
      <c r="H958" t="s">
        <v>101</v>
      </c>
      <c r="I958">
        <f>COUNTIFS(Tasks!$A:$A,$A958,Tasks!$B:$B,$B958,Tasks!$G:$G,"&lt;="&amp;INDEX(Weeks!$D:$D,MATCH($C958,Weeks!$A:$A,0)))-COUNTIFS(Tasks!$A:$A,$A958,Tasks!$B:$B,$B958,Tasks!$I:$I,"&lt;="&amp;INDEX(Weeks!$D:$D,MATCH($C958,Weeks!$A:$A,0)),Tasks!$I:$I,"&lt;&gt;")</f>
        <v>0</v>
      </c>
      <c r="J958">
        <f>COUNTIFS(Tasks!$A:$A,$A958,Tasks!$B:$B,$B958,
Tasks!$I:$I,"&gt;"&amp;IFERROR(INDEX(Weeks!$D:$D,MATCH($C958-1,Weeks!$A:$A,0)),DATE(2000,1,1)),
Tasks!$I:$I,"&lt;="&amp;INDEX(Weeks!$D:$D,MATCH($C958,Weeks!$A:$A,0)),
Tasks!$I:$I,"&lt;&gt;")</f>
        <v>0</v>
      </c>
    </row>
    <row r="959" spans="1:10" ht="15" customHeight="1">
      <c r="A959" t="s">
        <v>107</v>
      </c>
      <c r="B959" t="s">
        <v>111</v>
      </c>
      <c r="C959">
        <v>22</v>
      </c>
      <c r="D959">
        <v>5</v>
      </c>
      <c r="E959">
        <v>5</v>
      </c>
      <c r="F959" s="5" t="str">
        <f>IFERROR(ROUND(COUNTIFS(Tasks!$A:$A,$A959,Tasks!$B:$B,$B959,Tasks!$I:$I,"&lt;="&amp;INDEX(Weeks!$D:$D,MATCH($C959,Weeks!$A:$A,0)),Tasks!$I:$I,"&lt;&gt;")/COUNTIFS(Tasks!$A:$A,$A959,Tasks!$B:$B,$B959)*100,0),"")</f>
        <v/>
      </c>
      <c r="G959" s="5" t="str">
        <f>IFERROR(ROUND(COUNTIFS(Tasks!$A:$A,$A959,Tasks!$B:$B,$B959,Tasks!$H:$H,"&lt;="&amp;INDEX(Weeks!$D:$D,MATCH($C959,Weeks!$A:$A,0)))/COUNTIFS(Tasks!$A:$A,$A959,Tasks!$B:$B,$B959)*100,0),"")</f>
        <v/>
      </c>
      <c r="H959" t="s">
        <v>101</v>
      </c>
      <c r="I959">
        <f>COUNTIFS(Tasks!$A:$A,$A959,Tasks!$B:$B,$B959,Tasks!$G:$G,"&lt;="&amp;INDEX(Weeks!$D:$D,MATCH($C959,Weeks!$A:$A,0)))-COUNTIFS(Tasks!$A:$A,$A959,Tasks!$B:$B,$B959,Tasks!$I:$I,"&lt;="&amp;INDEX(Weeks!$D:$D,MATCH($C959,Weeks!$A:$A,0)),Tasks!$I:$I,"&lt;&gt;")</f>
        <v>0</v>
      </c>
      <c r="J959">
        <f>COUNTIFS(Tasks!$A:$A,$A959,Tasks!$B:$B,$B959,
Tasks!$I:$I,"&gt;"&amp;IFERROR(INDEX(Weeks!$D:$D,MATCH($C959-1,Weeks!$A:$A,0)),DATE(2000,1,1)),
Tasks!$I:$I,"&lt;="&amp;INDEX(Weeks!$D:$D,MATCH($C959,Weeks!$A:$A,0)),
Tasks!$I:$I,"&lt;&gt;")</f>
        <v>0</v>
      </c>
    </row>
    <row r="960" spans="1:10" ht="15" customHeight="1">
      <c r="A960" t="s">
        <v>107</v>
      </c>
      <c r="B960" t="s">
        <v>111</v>
      </c>
      <c r="C960">
        <v>23</v>
      </c>
      <c r="D960">
        <v>6</v>
      </c>
      <c r="E960">
        <v>1</v>
      </c>
      <c r="F960" s="5" t="str">
        <f>IFERROR(ROUND(COUNTIFS(Tasks!$A:$A,$A960,Tasks!$B:$B,$B960,Tasks!$I:$I,"&lt;="&amp;INDEX(Weeks!$D:$D,MATCH($C960,Weeks!$A:$A,0)),Tasks!$I:$I,"&lt;&gt;")/COUNTIFS(Tasks!$A:$A,$A960,Tasks!$B:$B,$B960)*100,0),"")</f>
        <v/>
      </c>
      <c r="G960" s="5" t="str">
        <f>IFERROR(ROUND(COUNTIFS(Tasks!$A:$A,$A960,Tasks!$B:$B,$B960,Tasks!$H:$H,"&lt;="&amp;INDEX(Weeks!$D:$D,MATCH($C960,Weeks!$A:$A,0)))/COUNTIFS(Tasks!$A:$A,$A960,Tasks!$B:$B,$B960)*100,0),"")</f>
        <v/>
      </c>
      <c r="H960" t="s">
        <v>101</v>
      </c>
      <c r="I960">
        <f>COUNTIFS(Tasks!$A:$A,$A960,Tasks!$B:$B,$B960,Tasks!$G:$G,"&lt;="&amp;INDEX(Weeks!$D:$D,MATCH($C960,Weeks!$A:$A,0)))-COUNTIFS(Tasks!$A:$A,$A960,Tasks!$B:$B,$B960,Tasks!$I:$I,"&lt;="&amp;INDEX(Weeks!$D:$D,MATCH($C960,Weeks!$A:$A,0)),Tasks!$I:$I,"&lt;&gt;")</f>
        <v>0</v>
      </c>
      <c r="J960">
        <f>COUNTIFS(Tasks!$A:$A,$A960,Tasks!$B:$B,$B960,
Tasks!$I:$I,"&gt;"&amp;IFERROR(INDEX(Weeks!$D:$D,MATCH($C960-1,Weeks!$A:$A,0)),DATE(2000,1,1)),
Tasks!$I:$I,"&lt;="&amp;INDEX(Weeks!$D:$D,MATCH($C960,Weeks!$A:$A,0)),
Tasks!$I:$I,"&lt;&gt;")</f>
        <v>0</v>
      </c>
    </row>
    <row r="961" spans="1:10" ht="15" customHeight="1">
      <c r="A961" t="s">
        <v>107</v>
      </c>
      <c r="B961" t="s">
        <v>111</v>
      </c>
      <c r="C961">
        <v>24</v>
      </c>
      <c r="D961">
        <v>6</v>
      </c>
      <c r="E961">
        <v>2</v>
      </c>
      <c r="F961" s="5" t="str">
        <f>IFERROR(ROUND(COUNTIFS(Tasks!$A:$A,$A961,Tasks!$B:$B,$B961,Tasks!$I:$I,"&lt;="&amp;INDEX(Weeks!$D:$D,MATCH($C961,Weeks!$A:$A,0)),Tasks!$I:$I,"&lt;&gt;")/COUNTIFS(Tasks!$A:$A,$A961,Tasks!$B:$B,$B961)*100,0),"")</f>
        <v/>
      </c>
      <c r="G961" s="5" t="str">
        <f>IFERROR(ROUND(COUNTIFS(Tasks!$A:$A,$A961,Tasks!$B:$B,$B961,Tasks!$H:$H,"&lt;="&amp;INDEX(Weeks!$D:$D,MATCH($C961,Weeks!$A:$A,0)))/COUNTIFS(Tasks!$A:$A,$A961,Tasks!$B:$B,$B961)*100,0),"")</f>
        <v/>
      </c>
      <c r="H961" t="s">
        <v>101</v>
      </c>
      <c r="I961">
        <f>COUNTIFS(Tasks!$A:$A,$A961,Tasks!$B:$B,$B961,Tasks!$G:$G,"&lt;="&amp;INDEX(Weeks!$D:$D,MATCH($C961,Weeks!$A:$A,0)))-COUNTIFS(Tasks!$A:$A,$A961,Tasks!$B:$B,$B961,Tasks!$I:$I,"&lt;="&amp;INDEX(Weeks!$D:$D,MATCH($C961,Weeks!$A:$A,0)),Tasks!$I:$I,"&lt;&gt;")</f>
        <v>0</v>
      </c>
      <c r="J961">
        <f>COUNTIFS(Tasks!$A:$A,$A961,Tasks!$B:$B,$B961,
Tasks!$I:$I,"&gt;"&amp;IFERROR(INDEX(Weeks!$D:$D,MATCH($C961-1,Weeks!$A:$A,0)),DATE(2000,1,1)),
Tasks!$I:$I,"&lt;="&amp;INDEX(Weeks!$D:$D,MATCH($C961,Weeks!$A:$A,0)),
Tasks!$I:$I,"&lt;&gt;")</f>
        <v>0</v>
      </c>
    </row>
    <row r="962" spans="1:10" ht="15" customHeight="1">
      <c r="A962" t="s">
        <v>107</v>
      </c>
      <c r="B962" t="s">
        <v>111</v>
      </c>
      <c r="C962">
        <v>25</v>
      </c>
      <c r="D962">
        <v>6</v>
      </c>
      <c r="E962">
        <v>3</v>
      </c>
      <c r="F962" s="5" t="str">
        <f>IFERROR(ROUND(COUNTIFS(Tasks!$A:$A,$A962,Tasks!$B:$B,$B962,Tasks!$I:$I,"&lt;="&amp;INDEX(Weeks!$D:$D,MATCH($C962,Weeks!$A:$A,0)),Tasks!$I:$I,"&lt;&gt;")/COUNTIFS(Tasks!$A:$A,$A962,Tasks!$B:$B,$B962)*100,0),"")</f>
        <v/>
      </c>
      <c r="G962" s="5" t="str">
        <f>IFERROR(ROUND(COUNTIFS(Tasks!$A:$A,$A962,Tasks!$B:$B,$B962,Tasks!$H:$H,"&lt;="&amp;INDEX(Weeks!$D:$D,MATCH($C962,Weeks!$A:$A,0)))/COUNTIFS(Tasks!$A:$A,$A962,Tasks!$B:$B,$B962)*100,0),"")</f>
        <v/>
      </c>
      <c r="I962">
        <f>COUNTIFS(Tasks!$A:$A,$A962,Tasks!$B:$B,$B962,Tasks!$G:$G,"&lt;="&amp;INDEX(Weeks!$D:$D,MATCH($C962,Weeks!$A:$A,0)))-COUNTIFS(Tasks!$A:$A,$A962,Tasks!$B:$B,$B962,Tasks!$I:$I,"&lt;="&amp;INDEX(Weeks!$D:$D,MATCH($C962,Weeks!$A:$A,0)),Tasks!$I:$I,"&lt;&gt;")</f>
        <v>0</v>
      </c>
      <c r="J962">
        <f>COUNTIFS(Tasks!$A:$A,$A962,Tasks!$B:$B,$B962,
Tasks!$I:$I,"&gt;"&amp;IFERROR(INDEX(Weeks!$D:$D,MATCH($C962-1,Weeks!$A:$A,0)),DATE(2000,1,1)),
Tasks!$I:$I,"&lt;="&amp;INDEX(Weeks!$D:$D,MATCH($C962,Weeks!$A:$A,0)),
Tasks!$I:$I,"&lt;&gt;")</f>
        <v>0</v>
      </c>
    </row>
    <row r="963" spans="1:10" ht="15" customHeight="1">
      <c r="A963" t="s">
        <v>107</v>
      </c>
      <c r="B963" t="s">
        <v>111</v>
      </c>
      <c r="C963">
        <v>26</v>
      </c>
      <c r="D963">
        <v>6</v>
      </c>
      <c r="E963">
        <v>4</v>
      </c>
      <c r="F963" s="5" t="str">
        <f>IFERROR(ROUND(COUNTIFS(Tasks!$A:$A,$A963,Tasks!$B:$B,$B963,Tasks!$I:$I,"&lt;="&amp;INDEX(Weeks!$D:$D,MATCH($C963,Weeks!$A:$A,0)),Tasks!$I:$I,"&lt;&gt;")/COUNTIFS(Tasks!$A:$A,$A963,Tasks!$B:$B,$B963)*100,0),"")</f>
        <v/>
      </c>
      <c r="G963" s="5" t="str">
        <f>IFERROR(ROUND(COUNTIFS(Tasks!$A:$A,$A963,Tasks!$B:$B,$B963,Tasks!$H:$H,"&lt;="&amp;INDEX(Weeks!$D:$D,MATCH($C963,Weeks!$A:$A,0)))/COUNTIFS(Tasks!$A:$A,$A963,Tasks!$B:$B,$B963)*100,0),"")</f>
        <v/>
      </c>
      <c r="I963">
        <f>COUNTIFS(Tasks!$A:$A,$A963,Tasks!$B:$B,$B963,Tasks!$G:$G,"&lt;="&amp;INDEX(Weeks!$D:$D,MATCH($C963,Weeks!$A:$A,0)))-COUNTIFS(Tasks!$A:$A,$A963,Tasks!$B:$B,$B963,Tasks!$I:$I,"&lt;="&amp;INDEX(Weeks!$D:$D,MATCH($C963,Weeks!$A:$A,0)),Tasks!$I:$I,"&lt;&gt;")</f>
        <v>0</v>
      </c>
      <c r="J963">
        <f>COUNTIFS(Tasks!$A:$A,$A963,Tasks!$B:$B,$B963,
Tasks!$I:$I,"&gt;"&amp;IFERROR(INDEX(Weeks!$D:$D,MATCH($C963-1,Weeks!$A:$A,0)),DATE(2000,1,1)),
Tasks!$I:$I,"&lt;="&amp;INDEX(Weeks!$D:$D,MATCH($C963,Weeks!$A:$A,0)),
Tasks!$I:$I,"&lt;&gt;")</f>
        <v>0</v>
      </c>
    </row>
    <row r="964" spans="1:10" ht="15" customHeight="1">
      <c r="A964" t="s">
        <v>107</v>
      </c>
      <c r="B964" t="s">
        <v>111</v>
      </c>
      <c r="C964">
        <v>27</v>
      </c>
      <c r="D964">
        <v>7</v>
      </c>
      <c r="E964">
        <v>1</v>
      </c>
      <c r="F964" s="5" t="str">
        <f>IFERROR(ROUND(COUNTIFS(Tasks!$A:$A,$A964,Tasks!$B:$B,$B964,Tasks!$I:$I,"&lt;="&amp;INDEX(Weeks!$D:$D,MATCH($C964,Weeks!$A:$A,0)),Tasks!$I:$I,"&lt;&gt;")/COUNTIFS(Tasks!$A:$A,$A964,Tasks!$B:$B,$B964)*100,0),"")</f>
        <v/>
      </c>
      <c r="G964" s="5" t="str">
        <f>IFERROR(ROUND(COUNTIFS(Tasks!$A:$A,$A964,Tasks!$B:$B,$B964,Tasks!$H:$H,"&lt;="&amp;INDEX(Weeks!$D:$D,MATCH($C964,Weeks!$A:$A,0)))/COUNTIFS(Tasks!$A:$A,$A964,Tasks!$B:$B,$B964)*100,0),"")</f>
        <v/>
      </c>
      <c r="I964">
        <f>COUNTIFS(Tasks!$A:$A,$A964,Tasks!$B:$B,$B964,Tasks!$G:$G,"&lt;="&amp;INDEX(Weeks!$D:$D,MATCH($C964,Weeks!$A:$A,0)))-COUNTIFS(Tasks!$A:$A,$A964,Tasks!$B:$B,$B964,Tasks!$I:$I,"&lt;="&amp;INDEX(Weeks!$D:$D,MATCH($C964,Weeks!$A:$A,0)),Tasks!$I:$I,"&lt;&gt;")</f>
        <v>0</v>
      </c>
      <c r="J964">
        <f>COUNTIFS(Tasks!$A:$A,$A964,Tasks!$B:$B,$B964,
Tasks!$I:$I,"&gt;"&amp;IFERROR(INDEX(Weeks!$D:$D,MATCH($C964-1,Weeks!$A:$A,0)),DATE(2000,1,1)),
Tasks!$I:$I,"&lt;="&amp;INDEX(Weeks!$D:$D,MATCH($C964,Weeks!$A:$A,0)),
Tasks!$I:$I,"&lt;&gt;")</f>
        <v>0</v>
      </c>
    </row>
    <row r="965" spans="1:10" ht="15" customHeight="1">
      <c r="A965" t="s">
        <v>107</v>
      </c>
      <c r="B965" t="s">
        <v>111</v>
      </c>
      <c r="C965">
        <v>28</v>
      </c>
      <c r="D965">
        <v>7</v>
      </c>
      <c r="E965">
        <v>2</v>
      </c>
      <c r="F965" s="5" t="str">
        <f>IFERROR(ROUND(COUNTIFS(Tasks!$A:$A,$A965,Tasks!$B:$B,$B965,Tasks!$I:$I,"&lt;="&amp;INDEX(Weeks!$D:$D,MATCH($C965,Weeks!$A:$A,0)),Tasks!$I:$I,"&lt;&gt;")/COUNTIFS(Tasks!$A:$A,$A965,Tasks!$B:$B,$B965)*100,0),"")</f>
        <v/>
      </c>
      <c r="G965" s="5" t="str">
        <f>IFERROR(ROUND(COUNTIFS(Tasks!$A:$A,$A965,Tasks!$B:$B,$B965,Tasks!$H:$H,"&lt;="&amp;INDEX(Weeks!$D:$D,MATCH($C965,Weeks!$A:$A,0)))/COUNTIFS(Tasks!$A:$A,$A965,Tasks!$B:$B,$B965)*100,0),"")</f>
        <v/>
      </c>
      <c r="I965">
        <f>COUNTIFS(Tasks!$A:$A,$A965,Tasks!$B:$B,$B965,Tasks!$G:$G,"&lt;="&amp;INDEX(Weeks!$D:$D,MATCH($C965,Weeks!$A:$A,0)))-COUNTIFS(Tasks!$A:$A,$A965,Tasks!$B:$B,$B965,Tasks!$I:$I,"&lt;="&amp;INDEX(Weeks!$D:$D,MATCH($C965,Weeks!$A:$A,0)),Tasks!$I:$I,"&lt;&gt;")</f>
        <v>0</v>
      </c>
      <c r="J965">
        <f>COUNTIFS(Tasks!$A:$A,$A965,Tasks!$B:$B,$B965,
Tasks!$I:$I,"&gt;"&amp;IFERROR(INDEX(Weeks!$D:$D,MATCH($C965-1,Weeks!$A:$A,0)),DATE(2000,1,1)),
Tasks!$I:$I,"&lt;="&amp;INDEX(Weeks!$D:$D,MATCH($C965,Weeks!$A:$A,0)),
Tasks!$I:$I,"&lt;&gt;")</f>
        <v>0</v>
      </c>
    </row>
    <row r="966" spans="1:10" ht="15" customHeight="1">
      <c r="A966" t="s">
        <v>107</v>
      </c>
      <c r="B966" t="s">
        <v>111</v>
      </c>
      <c r="C966">
        <v>29</v>
      </c>
      <c r="D966">
        <v>7</v>
      </c>
      <c r="E966">
        <v>3</v>
      </c>
      <c r="F966" s="5" t="str">
        <f>IFERROR(ROUND(COUNTIFS(Tasks!$A:$A,$A966,Tasks!$B:$B,$B966,Tasks!$I:$I,"&lt;="&amp;INDEX(Weeks!$D:$D,MATCH($C966,Weeks!$A:$A,0)),Tasks!$I:$I,"&lt;&gt;")/COUNTIFS(Tasks!$A:$A,$A966,Tasks!$B:$B,$B966)*100,0),"")</f>
        <v/>
      </c>
      <c r="G966" s="5" t="str">
        <f>IFERROR(ROUND(COUNTIFS(Tasks!$A:$A,$A966,Tasks!$B:$B,$B966,Tasks!$H:$H,"&lt;="&amp;INDEX(Weeks!$D:$D,MATCH($C966,Weeks!$A:$A,0)))/COUNTIFS(Tasks!$A:$A,$A966,Tasks!$B:$B,$B966)*100,0),"")</f>
        <v/>
      </c>
      <c r="I966">
        <f>COUNTIFS(Tasks!$A:$A,$A966,Tasks!$B:$B,$B966,Tasks!$G:$G,"&lt;="&amp;INDEX(Weeks!$D:$D,MATCH($C966,Weeks!$A:$A,0)))-COUNTIFS(Tasks!$A:$A,$A966,Tasks!$B:$B,$B966,Tasks!$I:$I,"&lt;="&amp;INDEX(Weeks!$D:$D,MATCH($C966,Weeks!$A:$A,0)),Tasks!$I:$I,"&lt;&gt;")</f>
        <v>0</v>
      </c>
      <c r="J966">
        <f>COUNTIFS(Tasks!$A:$A,$A966,Tasks!$B:$B,$B966,
Tasks!$I:$I,"&gt;"&amp;IFERROR(INDEX(Weeks!$D:$D,MATCH($C966-1,Weeks!$A:$A,0)),DATE(2000,1,1)),
Tasks!$I:$I,"&lt;="&amp;INDEX(Weeks!$D:$D,MATCH($C966,Weeks!$A:$A,0)),
Tasks!$I:$I,"&lt;&gt;")</f>
        <v>0</v>
      </c>
    </row>
    <row r="967" spans="1:10" ht="15" customHeight="1">
      <c r="A967" t="s">
        <v>107</v>
      </c>
      <c r="B967" t="s">
        <v>111</v>
      </c>
      <c r="C967">
        <v>30</v>
      </c>
      <c r="D967">
        <v>7</v>
      </c>
      <c r="E967">
        <v>4</v>
      </c>
      <c r="F967" s="5" t="str">
        <f>IFERROR(ROUND(COUNTIFS(Tasks!$A:$A,$A967,Tasks!$B:$B,$B967,Tasks!$I:$I,"&lt;="&amp;INDEX(Weeks!$D:$D,MATCH($C967,Weeks!$A:$A,0)),Tasks!$I:$I,"&lt;&gt;")/COUNTIFS(Tasks!$A:$A,$A967,Tasks!$B:$B,$B967)*100,0),"")</f>
        <v/>
      </c>
      <c r="G967" s="5" t="str">
        <f>IFERROR(ROUND(COUNTIFS(Tasks!$A:$A,$A967,Tasks!$B:$B,$B967,Tasks!$H:$H,"&lt;="&amp;INDEX(Weeks!$D:$D,MATCH($C967,Weeks!$A:$A,0)))/COUNTIFS(Tasks!$A:$A,$A967,Tasks!$B:$B,$B967)*100,0),"")</f>
        <v/>
      </c>
      <c r="I967">
        <f>COUNTIFS(Tasks!$A:$A,$A967,Tasks!$B:$B,$B967,Tasks!$G:$G,"&lt;="&amp;INDEX(Weeks!$D:$D,MATCH($C967,Weeks!$A:$A,0)))-COUNTIFS(Tasks!$A:$A,$A967,Tasks!$B:$B,$B967,Tasks!$I:$I,"&lt;="&amp;INDEX(Weeks!$D:$D,MATCH($C967,Weeks!$A:$A,0)),Tasks!$I:$I,"&lt;&gt;")</f>
        <v>0</v>
      </c>
      <c r="J967">
        <f>COUNTIFS(Tasks!$A:$A,$A967,Tasks!$B:$B,$B967,
Tasks!$I:$I,"&gt;"&amp;IFERROR(INDEX(Weeks!$D:$D,MATCH($C967-1,Weeks!$A:$A,0)),DATE(2000,1,1)),
Tasks!$I:$I,"&lt;="&amp;INDEX(Weeks!$D:$D,MATCH($C967,Weeks!$A:$A,0)),
Tasks!$I:$I,"&lt;&gt;")</f>
        <v>0</v>
      </c>
    </row>
    <row r="968" spans="1:10" ht="15" customHeight="1">
      <c r="A968" t="s">
        <v>107</v>
      </c>
      <c r="B968" t="s">
        <v>111</v>
      </c>
      <c r="C968">
        <v>31</v>
      </c>
      <c r="D968">
        <v>8</v>
      </c>
      <c r="E968">
        <v>1</v>
      </c>
      <c r="F968" s="5" t="str">
        <f>IFERROR(ROUND(COUNTIFS(Tasks!$A:$A,$A968,Tasks!$B:$B,$B968,Tasks!$I:$I,"&lt;="&amp;INDEX(Weeks!$D:$D,MATCH($C968,Weeks!$A:$A,0)),Tasks!$I:$I,"&lt;&gt;")/COUNTIFS(Tasks!$A:$A,$A968,Tasks!$B:$B,$B968)*100,0),"")</f>
        <v/>
      </c>
      <c r="G968" s="5" t="str">
        <f>IFERROR(ROUND(COUNTIFS(Tasks!$A:$A,$A968,Tasks!$B:$B,$B968,Tasks!$H:$H,"&lt;="&amp;INDEX(Weeks!$D:$D,MATCH($C968,Weeks!$A:$A,0)))/COUNTIFS(Tasks!$A:$A,$A968,Tasks!$B:$B,$B968)*100,0),"")</f>
        <v/>
      </c>
      <c r="I968">
        <f>COUNTIFS(Tasks!$A:$A,$A968,Tasks!$B:$B,$B968,Tasks!$G:$G,"&lt;="&amp;INDEX(Weeks!$D:$D,MATCH($C968,Weeks!$A:$A,0)))-COUNTIFS(Tasks!$A:$A,$A968,Tasks!$B:$B,$B968,Tasks!$I:$I,"&lt;="&amp;INDEX(Weeks!$D:$D,MATCH($C968,Weeks!$A:$A,0)),Tasks!$I:$I,"&lt;&gt;")</f>
        <v>0</v>
      </c>
      <c r="J968">
        <f>COUNTIFS(Tasks!$A:$A,$A968,Tasks!$B:$B,$B968,
Tasks!$I:$I,"&gt;"&amp;IFERROR(INDEX(Weeks!$D:$D,MATCH($C968-1,Weeks!$A:$A,0)),DATE(2000,1,1)),
Tasks!$I:$I,"&lt;="&amp;INDEX(Weeks!$D:$D,MATCH($C968,Weeks!$A:$A,0)),
Tasks!$I:$I,"&lt;&gt;")</f>
        <v>0</v>
      </c>
    </row>
    <row r="969" spans="1:10" ht="15" customHeight="1">
      <c r="A969" t="s">
        <v>107</v>
      </c>
      <c r="B969" t="s">
        <v>111</v>
      </c>
      <c r="C969">
        <v>32</v>
      </c>
      <c r="D969">
        <v>8</v>
      </c>
      <c r="E969">
        <v>2</v>
      </c>
      <c r="F969" s="5" t="str">
        <f>IFERROR(ROUND(COUNTIFS(Tasks!$A:$A,$A969,Tasks!$B:$B,$B969,Tasks!$I:$I,"&lt;="&amp;INDEX(Weeks!$D:$D,MATCH($C969,Weeks!$A:$A,0)),Tasks!$I:$I,"&lt;&gt;")/COUNTIFS(Tasks!$A:$A,$A969,Tasks!$B:$B,$B969)*100,0),"")</f>
        <v/>
      </c>
      <c r="G969" s="5" t="str">
        <f>IFERROR(ROUND(COUNTIFS(Tasks!$A:$A,$A969,Tasks!$B:$B,$B969,Tasks!$H:$H,"&lt;="&amp;INDEX(Weeks!$D:$D,MATCH($C969,Weeks!$A:$A,0)))/COUNTIFS(Tasks!$A:$A,$A969,Tasks!$B:$B,$B969)*100,0),"")</f>
        <v/>
      </c>
      <c r="I969">
        <f>COUNTIFS(Tasks!$A:$A,$A969,Tasks!$B:$B,$B969,Tasks!$G:$G,"&lt;="&amp;INDEX(Weeks!$D:$D,MATCH($C969,Weeks!$A:$A,0)))-COUNTIFS(Tasks!$A:$A,$A969,Tasks!$B:$B,$B969,Tasks!$I:$I,"&lt;="&amp;INDEX(Weeks!$D:$D,MATCH($C969,Weeks!$A:$A,0)),Tasks!$I:$I,"&lt;&gt;")</f>
        <v>0</v>
      </c>
      <c r="J969">
        <f>COUNTIFS(Tasks!$A:$A,$A969,Tasks!$B:$B,$B969,
Tasks!$I:$I,"&gt;"&amp;IFERROR(INDEX(Weeks!$D:$D,MATCH($C969-1,Weeks!$A:$A,0)),DATE(2000,1,1)),
Tasks!$I:$I,"&lt;="&amp;INDEX(Weeks!$D:$D,MATCH($C969,Weeks!$A:$A,0)),
Tasks!$I:$I,"&lt;&gt;")</f>
        <v>0</v>
      </c>
    </row>
    <row r="970" spans="1:10" ht="15" customHeight="1">
      <c r="A970" t="s">
        <v>107</v>
      </c>
      <c r="B970" t="s">
        <v>111</v>
      </c>
      <c r="C970">
        <v>33</v>
      </c>
      <c r="D970">
        <v>8</v>
      </c>
      <c r="E970">
        <v>3</v>
      </c>
      <c r="F970" s="5" t="str">
        <f>IFERROR(ROUND(COUNTIFS(Tasks!$A:$A,$A970,Tasks!$B:$B,$B970,Tasks!$I:$I,"&lt;="&amp;INDEX(Weeks!$D:$D,MATCH($C970,Weeks!$A:$A,0)),Tasks!$I:$I,"&lt;&gt;")/COUNTIFS(Tasks!$A:$A,$A970,Tasks!$B:$B,$B970)*100,0),"")</f>
        <v/>
      </c>
      <c r="G970" s="5" t="str">
        <f>IFERROR(ROUND(COUNTIFS(Tasks!$A:$A,$A970,Tasks!$B:$B,$B970,Tasks!$H:$H,"&lt;="&amp;INDEX(Weeks!$D:$D,MATCH($C970,Weeks!$A:$A,0)))/COUNTIFS(Tasks!$A:$A,$A970,Tasks!$B:$B,$B970)*100,0),"")</f>
        <v/>
      </c>
      <c r="I970">
        <f>COUNTIFS(Tasks!$A:$A,$A970,Tasks!$B:$B,$B970,Tasks!$G:$G,"&lt;="&amp;INDEX(Weeks!$D:$D,MATCH($C970,Weeks!$A:$A,0)))-COUNTIFS(Tasks!$A:$A,$A970,Tasks!$B:$B,$B970,Tasks!$I:$I,"&lt;="&amp;INDEX(Weeks!$D:$D,MATCH($C970,Weeks!$A:$A,0)),Tasks!$I:$I,"&lt;&gt;")</f>
        <v>0</v>
      </c>
      <c r="J970">
        <f>COUNTIFS(Tasks!$A:$A,$A970,Tasks!$B:$B,$B970,
Tasks!$I:$I,"&gt;"&amp;IFERROR(INDEX(Weeks!$D:$D,MATCH($C970-1,Weeks!$A:$A,0)),DATE(2000,1,1)),
Tasks!$I:$I,"&lt;="&amp;INDEX(Weeks!$D:$D,MATCH($C970,Weeks!$A:$A,0)),
Tasks!$I:$I,"&lt;&gt;")</f>
        <v>0</v>
      </c>
    </row>
    <row r="971" spans="1:10" ht="15" customHeight="1">
      <c r="A971" t="s">
        <v>107</v>
      </c>
      <c r="B971" t="s">
        <v>111</v>
      </c>
      <c r="C971">
        <v>34</v>
      </c>
      <c r="D971">
        <v>8</v>
      </c>
      <c r="E971">
        <v>4</v>
      </c>
      <c r="F971" s="5" t="str">
        <f>IFERROR(ROUND(COUNTIFS(Tasks!$A:$A,$A971,Tasks!$B:$B,$B971,Tasks!$I:$I,"&lt;="&amp;INDEX(Weeks!$D:$D,MATCH($C971,Weeks!$A:$A,0)),Tasks!$I:$I,"&lt;&gt;")/COUNTIFS(Tasks!$A:$A,$A971,Tasks!$B:$B,$B971)*100,0),"")</f>
        <v/>
      </c>
      <c r="G971" s="5" t="str">
        <f>IFERROR(ROUND(COUNTIFS(Tasks!$A:$A,$A971,Tasks!$B:$B,$B971,Tasks!$H:$H,"&lt;="&amp;INDEX(Weeks!$D:$D,MATCH($C971,Weeks!$A:$A,0)))/COUNTIFS(Tasks!$A:$A,$A971,Tasks!$B:$B,$B971)*100,0),"")</f>
        <v/>
      </c>
      <c r="I971">
        <f>COUNTIFS(Tasks!$A:$A,$A971,Tasks!$B:$B,$B971,Tasks!$G:$G,"&lt;="&amp;INDEX(Weeks!$D:$D,MATCH($C971,Weeks!$A:$A,0)))-COUNTIFS(Tasks!$A:$A,$A971,Tasks!$B:$B,$B971,Tasks!$I:$I,"&lt;="&amp;INDEX(Weeks!$D:$D,MATCH($C971,Weeks!$A:$A,0)),Tasks!$I:$I,"&lt;&gt;")</f>
        <v>0</v>
      </c>
      <c r="J971">
        <f>COUNTIFS(Tasks!$A:$A,$A971,Tasks!$B:$B,$B971,
Tasks!$I:$I,"&gt;"&amp;IFERROR(INDEX(Weeks!$D:$D,MATCH($C971-1,Weeks!$A:$A,0)),DATE(2000,1,1)),
Tasks!$I:$I,"&lt;="&amp;INDEX(Weeks!$D:$D,MATCH($C971,Weeks!$A:$A,0)),
Tasks!$I:$I,"&lt;&gt;")</f>
        <v>0</v>
      </c>
    </row>
    <row r="972" spans="1:10" ht="15" customHeight="1">
      <c r="A972" t="s">
        <v>107</v>
      </c>
      <c r="B972" t="s">
        <v>111</v>
      </c>
      <c r="C972">
        <v>35</v>
      </c>
      <c r="D972">
        <v>8</v>
      </c>
      <c r="E972">
        <v>5</v>
      </c>
      <c r="F972" s="5" t="str">
        <f>IFERROR(ROUND(COUNTIFS(Tasks!$A:$A,$A972,Tasks!$B:$B,$B972,Tasks!$I:$I,"&lt;="&amp;INDEX(Weeks!$D:$D,MATCH($C972,Weeks!$A:$A,0)),Tasks!$I:$I,"&lt;&gt;")/COUNTIFS(Tasks!$A:$A,$A972,Tasks!$B:$B,$B972)*100,0),"")</f>
        <v/>
      </c>
      <c r="G972" s="5" t="str">
        <f>IFERROR(ROUND(COUNTIFS(Tasks!$A:$A,$A972,Tasks!$B:$B,$B972,Tasks!$H:$H,"&lt;="&amp;INDEX(Weeks!$D:$D,MATCH($C972,Weeks!$A:$A,0)))/COUNTIFS(Tasks!$A:$A,$A972,Tasks!$B:$B,$B972)*100,0),"")</f>
        <v/>
      </c>
      <c r="I972">
        <f>COUNTIFS(Tasks!$A:$A,$A972,Tasks!$B:$B,$B972,Tasks!$G:$G,"&lt;="&amp;INDEX(Weeks!$D:$D,MATCH($C972,Weeks!$A:$A,0)))-COUNTIFS(Tasks!$A:$A,$A972,Tasks!$B:$B,$B972,Tasks!$I:$I,"&lt;="&amp;INDEX(Weeks!$D:$D,MATCH($C972,Weeks!$A:$A,0)),Tasks!$I:$I,"&lt;&gt;")</f>
        <v>0</v>
      </c>
      <c r="J972">
        <f>COUNTIFS(Tasks!$A:$A,$A972,Tasks!$B:$B,$B972,
Tasks!$I:$I,"&gt;"&amp;IFERROR(INDEX(Weeks!$D:$D,MATCH($C972-1,Weeks!$A:$A,0)),DATE(2000,1,1)),
Tasks!$I:$I,"&lt;="&amp;INDEX(Weeks!$D:$D,MATCH($C972,Weeks!$A:$A,0)),
Tasks!$I:$I,"&lt;&gt;")</f>
        <v>0</v>
      </c>
    </row>
    <row r="973" spans="1:10" ht="15" customHeight="1">
      <c r="A973" t="s">
        <v>107</v>
      </c>
      <c r="B973" t="s">
        <v>111</v>
      </c>
      <c r="C973">
        <v>36</v>
      </c>
      <c r="D973">
        <v>9</v>
      </c>
      <c r="E973">
        <v>1</v>
      </c>
      <c r="F973" s="5" t="str">
        <f>IFERROR(ROUND(COUNTIFS(Tasks!$A:$A,$A973,Tasks!$B:$B,$B973,Tasks!$I:$I,"&lt;="&amp;INDEX(Weeks!$D:$D,MATCH($C973,Weeks!$A:$A,0)),Tasks!$I:$I,"&lt;&gt;")/COUNTIFS(Tasks!$A:$A,$A973,Tasks!$B:$B,$B973)*100,0),"")</f>
        <v/>
      </c>
      <c r="G973" s="5" t="str">
        <f>IFERROR(ROUND(COUNTIFS(Tasks!$A:$A,$A973,Tasks!$B:$B,$B973,Tasks!$H:$H,"&lt;="&amp;INDEX(Weeks!$D:$D,MATCH($C973,Weeks!$A:$A,0)))/COUNTIFS(Tasks!$A:$A,$A973,Tasks!$B:$B,$B973)*100,0),"")</f>
        <v/>
      </c>
      <c r="I973">
        <f>COUNTIFS(Tasks!$A:$A,$A973,Tasks!$B:$B,$B973,Tasks!$G:$G,"&lt;="&amp;INDEX(Weeks!$D:$D,MATCH($C973,Weeks!$A:$A,0)))-COUNTIFS(Tasks!$A:$A,$A973,Tasks!$B:$B,$B973,Tasks!$I:$I,"&lt;="&amp;INDEX(Weeks!$D:$D,MATCH($C973,Weeks!$A:$A,0)),Tasks!$I:$I,"&lt;&gt;")</f>
        <v>0</v>
      </c>
      <c r="J973">
        <f>COUNTIFS(Tasks!$A:$A,$A973,Tasks!$B:$B,$B973,
Tasks!$I:$I,"&gt;"&amp;IFERROR(INDEX(Weeks!$D:$D,MATCH($C973-1,Weeks!$A:$A,0)),DATE(2000,1,1)),
Tasks!$I:$I,"&lt;="&amp;INDEX(Weeks!$D:$D,MATCH($C973,Weeks!$A:$A,0)),
Tasks!$I:$I,"&lt;&gt;")</f>
        <v>0</v>
      </c>
    </row>
    <row r="974" spans="1:10" ht="15" customHeight="1">
      <c r="A974" t="s">
        <v>107</v>
      </c>
      <c r="B974" t="s">
        <v>111</v>
      </c>
      <c r="C974">
        <v>37</v>
      </c>
      <c r="D974">
        <v>9</v>
      </c>
      <c r="E974">
        <v>2</v>
      </c>
      <c r="F974" s="5" t="str">
        <f>IFERROR(ROUND(COUNTIFS(Tasks!$A:$A,$A974,Tasks!$B:$B,$B974,Tasks!$I:$I,"&lt;="&amp;INDEX(Weeks!$D:$D,MATCH($C974,Weeks!$A:$A,0)),Tasks!$I:$I,"&lt;&gt;")/COUNTIFS(Tasks!$A:$A,$A974,Tasks!$B:$B,$B974)*100,0),"")</f>
        <v/>
      </c>
      <c r="G974" s="5" t="str">
        <f>IFERROR(ROUND(COUNTIFS(Tasks!$A:$A,$A974,Tasks!$B:$B,$B974,Tasks!$H:$H,"&lt;="&amp;INDEX(Weeks!$D:$D,MATCH($C974,Weeks!$A:$A,0)))/COUNTIFS(Tasks!$A:$A,$A974,Tasks!$B:$B,$B974)*100,0),"")</f>
        <v/>
      </c>
      <c r="I974">
        <f>COUNTIFS(Tasks!$A:$A,$A974,Tasks!$B:$B,$B974,Tasks!$G:$G,"&lt;="&amp;INDEX(Weeks!$D:$D,MATCH($C974,Weeks!$A:$A,0)))-COUNTIFS(Tasks!$A:$A,$A974,Tasks!$B:$B,$B974,Tasks!$I:$I,"&lt;="&amp;INDEX(Weeks!$D:$D,MATCH($C974,Weeks!$A:$A,0)),Tasks!$I:$I,"&lt;&gt;")</f>
        <v>0</v>
      </c>
      <c r="J974">
        <f>COUNTIFS(Tasks!$A:$A,$A974,Tasks!$B:$B,$B974,
Tasks!$I:$I,"&gt;"&amp;IFERROR(INDEX(Weeks!$D:$D,MATCH($C974-1,Weeks!$A:$A,0)),DATE(2000,1,1)),
Tasks!$I:$I,"&lt;="&amp;INDEX(Weeks!$D:$D,MATCH($C974,Weeks!$A:$A,0)),
Tasks!$I:$I,"&lt;&gt;")</f>
        <v>0</v>
      </c>
    </row>
    <row r="975" spans="1:10" ht="15" customHeight="1">
      <c r="A975" t="s">
        <v>107</v>
      </c>
      <c r="B975" t="s">
        <v>111</v>
      </c>
      <c r="C975">
        <v>38</v>
      </c>
      <c r="D975">
        <v>9</v>
      </c>
      <c r="E975">
        <v>3</v>
      </c>
      <c r="F975" s="5" t="str">
        <f>IFERROR(ROUND(COUNTIFS(Tasks!$A:$A,$A975,Tasks!$B:$B,$B975,Tasks!$I:$I,"&lt;="&amp;INDEX(Weeks!$D:$D,MATCH($C975,Weeks!$A:$A,0)),Tasks!$I:$I,"&lt;&gt;")/COUNTIFS(Tasks!$A:$A,$A975,Tasks!$B:$B,$B975)*100,0),"")</f>
        <v/>
      </c>
      <c r="G975" s="5" t="str">
        <f>IFERROR(ROUND(COUNTIFS(Tasks!$A:$A,$A975,Tasks!$B:$B,$B975,Tasks!$H:$H,"&lt;="&amp;INDEX(Weeks!$D:$D,MATCH($C975,Weeks!$A:$A,0)))/COUNTIFS(Tasks!$A:$A,$A975,Tasks!$B:$B,$B975)*100,0),"")</f>
        <v/>
      </c>
      <c r="I975">
        <f>COUNTIFS(Tasks!$A:$A,$A975,Tasks!$B:$B,$B975,Tasks!$G:$G,"&lt;="&amp;INDEX(Weeks!$D:$D,MATCH($C975,Weeks!$A:$A,0)))-COUNTIFS(Tasks!$A:$A,$A975,Tasks!$B:$B,$B975,Tasks!$I:$I,"&lt;="&amp;INDEX(Weeks!$D:$D,MATCH($C975,Weeks!$A:$A,0)),Tasks!$I:$I,"&lt;&gt;")</f>
        <v>0</v>
      </c>
      <c r="J975">
        <f>COUNTIFS(Tasks!$A:$A,$A975,Tasks!$B:$B,$B975,
Tasks!$I:$I,"&gt;"&amp;IFERROR(INDEX(Weeks!$D:$D,MATCH($C975-1,Weeks!$A:$A,0)),DATE(2000,1,1)),
Tasks!$I:$I,"&lt;="&amp;INDEX(Weeks!$D:$D,MATCH($C975,Weeks!$A:$A,0)),
Tasks!$I:$I,"&lt;&gt;")</f>
        <v>0</v>
      </c>
    </row>
    <row r="976" spans="1:10" ht="15" customHeight="1">
      <c r="A976" t="s">
        <v>107</v>
      </c>
      <c r="B976" t="s">
        <v>111</v>
      </c>
      <c r="C976">
        <v>39</v>
      </c>
      <c r="D976">
        <v>9</v>
      </c>
      <c r="E976">
        <v>4</v>
      </c>
      <c r="F976" s="5" t="str">
        <f>IFERROR(ROUND(COUNTIFS(Tasks!$A:$A,$A976,Tasks!$B:$B,$B976,Tasks!$I:$I,"&lt;="&amp;INDEX(Weeks!$D:$D,MATCH($C976,Weeks!$A:$A,0)),Tasks!$I:$I,"&lt;&gt;")/COUNTIFS(Tasks!$A:$A,$A976,Tasks!$B:$B,$B976)*100,0),"")</f>
        <v/>
      </c>
      <c r="G976" s="5" t="str">
        <f>IFERROR(ROUND(COUNTIFS(Tasks!$A:$A,$A976,Tasks!$B:$B,$B976,Tasks!$H:$H,"&lt;="&amp;INDEX(Weeks!$D:$D,MATCH($C976,Weeks!$A:$A,0)))/COUNTIFS(Tasks!$A:$A,$A976,Tasks!$B:$B,$B976)*100,0),"")</f>
        <v/>
      </c>
      <c r="I976">
        <f>COUNTIFS(Tasks!$A:$A,$A976,Tasks!$B:$B,$B976,Tasks!$G:$G,"&lt;="&amp;INDEX(Weeks!$D:$D,MATCH($C976,Weeks!$A:$A,0)))-COUNTIFS(Tasks!$A:$A,$A976,Tasks!$B:$B,$B976,Tasks!$I:$I,"&lt;="&amp;INDEX(Weeks!$D:$D,MATCH($C976,Weeks!$A:$A,0)),Tasks!$I:$I,"&lt;&gt;")</f>
        <v>0</v>
      </c>
      <c r="J976">
        <f>COUNTIFS(Tasks!$A:$A,$A976,Tasks!$B:$B,$B976,
Tasks!$I:$I,"&gt;"&amp;IFERROR(INDEX(Weeks!$D:$D,MATCH($C976-1,Weeks!$A:$A,0)),DATE(2000,1,1)),
Tasks!$I:$I,"&lt;="&amp;INDEX(Weeks!$D:$D,MATCH($C976,Weeks!$A:$A,0)),
Tasks!$I:$I,"&lt;&gt;")</f>
        <v>0</v>
      </c>
    </row>
    <row r="977" spans="1:10" ht="15" customHeight="1">
      <c r="A977" t="s">
        <v>107</v>
      </c>
      <c r="B977" t="s">
        <v>111</v>
      </c>
      <c r="C977">
        <v>40</v>
      </c>
      <c r="D977">
        <v>10</v>
      </c>
      <c r="E977">
        <v>1</v>
      </c>
      <c r="F977" s="5" t="str">
        <f>IFERROR(ROUND(COUNTIFS(Tasks!$A:$A,$A977,Tasks!$B:$B,$B977,Tasks!$I:$I,"&lt;="&amp;INDEX(Weeks!$D:$D,MATCH($C977,Weeks!$A:$A,0)),Tasks!$I:$I,"&lt;&gt;")/COUNTIFS(Tasks!$A:$A,$A977,Tasks!$B:$B,$B977)*100,0),"")</f>
        <v/>
      </c>
      <c r="G977" s="5" t="str">
        <f>IFERROR(ROUND(COUNTIFS(Tasks!$A:$A,$A977,Tasks!$B:$B,$B977,Tasks!$H:$H,"&lt;="&amp;INDEX(Weeks!$D:$D,MATCH($C977,Weeks!$A:$A,0)))/COUNTIFS(Tasks!$A:$A,$A977,Tasks!$B:$B,$B977)*100,0),"")</f>
        <v/>
      </c>
      <c r="I977">
        <f>COUNTIFS(Tasks!$A:$A,$A977,Tasks!$B:$B,$B977,Tasks!$G:$G,"&lt;="&amp;INDEX(Weeks!$D:$D,MATCH($C977,Weeks!$A:$A,0)))-COUNTIFS(Tasks!$A:$A,$A977,Tasks!$B:$B,$B977,Tasks!$I:$I,"&lt;="&amp;INDEX(Weeks!$D:$D,MATCH($C977,Weeks!$A:$A,0)),Tasks!$I:$I,"&lt;&gt;")</f>
        <v>0</v>
      </c>
      <c r="J977">
        <f>COUNTIFS(Tasks!$A:$A,$A977,Tasks!$B:$B,$B977,
Tasks!$I:$I,"&gt;"&amp;IFERROR(INDEX(Weeks!$D:$D,MATCH($C977-1,Weeks!$A:$A,0)),DATE(2000,1,1)),
Tasks!$I:$I,"&lt;="&amp;INDEX(Weeks!$D:$D,MATCH($C977,Weeks!$A:$A,0)),
Tasks!$I:$I,"&lt;&gt;")</f>
        <v>0</v>
      </c>
    </row>
    <row r="978" spans="1:10" ht="15" customHeight="1">
      <c r="A978" t="s">
        <v>107</v>
      </c>
      <c r="B978" t="s">
        <v>111</v>
      </c>
      <c r="C978">
        <v>41</v>
      </c>
      <c r="D978">
        <v>10</v>
      </c>
      <c r="E978">
        <v>2</v>
      </c>
      <c r="F978" s="5" t="str">
        <f>IFERROR(ROUND(COUNTIFS(Tasks!$A:$A,$A978,Tasks!$B:$B,$B978,Tasks!$I:$I,"&lt;="&amp;INDEX(Weeks!$D:$D,MATCH($C978,Weeks!$A:$A,0)),Tasks!$I:$I,"&lt;&gt;")/COUNTIFS(Tasks!$A:$A,$A978,Tasks!$B:$B,$B978)*100,0),"")</f>
        <v/>
      </c>
      <c r="G978" s="5" t="str">
        <f>IFERROR(ROUND(COUNTIFS(Tasks!$A:$A,$A978,Tasks!$B:$B,$B978,Tasks!$H:$H,"&lt;="&amp;INDEX(Weeks!$D:$D,MATCH($C978,Weeks!$A:$A,0)))/COUNTIFS(Tasks!$A:$A,$A978,Tasks!$B:$B,$B978)*100,0),"")</f>
        <v/>
      </c>
      <c r="I978">
        <f>COUNTIFS(Tasks!$A:$A,$A978,Tasks!$B:$B,$B978,Tasks!$G:$G,"&lt;="&amp;INDEX(Weeks!$D:$D,MATCH($C978,Weeks!$A:$A,0)))-COUNTIFS(Tasks!$A:$A,$A978,Tasks!$B:$B,$B978,Tasks!$I:$I,"&lt;="&amp;INDEX(Weeks!$D:$D,MATCH($C978,Weeks!$A:$A,0)),Tasks!$I:$I,"&lt;&gt;")</f>
        <v>0</v>
      </c>
      <c r="J978">
        <f>COUNTIFS(Tasks!$A:$A,$A978,Tasks!$B:$B,$B978,
Tasks!$I:$I,"&gt;"&amp;IFERROR(INDEX(Weeks!$D:$D,MATCH($C978-1,Weeks!$A:$A,0)),DATE(2000,1,1)),
Tasks!$I:$I,"&lt;="&amp;INDEX(Weeks!$D:$D,MATCH($C978,Weeks!$A:$A,0)),
Tasks!$I:$I,"&lt;&gt;")</f>
        <v>0</v>
      </c>
    </row>
    <row r="979" spans="1:10" ht="15" customHeight="1">
      <c r="A979" t="s">
        <v>107</v>
      </c>
      <c r="B979" t="s">
        <v>111</v>
      </c>
      <c r="C979">
        <v>42</v>
      </c>
      <c r="D979">
        <v>10</v>
      </c>
      <c r="E979">
        <v>3</v>
      </c>
      <c r="F979" s="5" t="str">
        <f>IFERROR(ROUND(COUNTIFS(Tasks!$A:$A,$A979,Tasks!$B:$B,$B979,Tasks!$I:$I,"&lt;="&amp;INDEX(Weeks!$D:$D,MATCH($C979,Weeks!$A:$A,0)),Tasks!$I:$I,"&lt;&gt;")/COUNTIFS(Tasks!$A:$A,$A979,Tasks!$B:$B,$B979)*100,0),"")</f>
        <v/>
      </c>
      <c r="G979" s="5" t="str">
        <f>IFERROR(ROUND(COUNTIFS(Tasks!$A:$A,$A979,Tasks!$B:$B,$B979,Tasks!$H:$H,"&lt;="&amp;INDEX(Weeks!$D:$D,MATCH($C979,Weeks!$A:$A,0)))/COUNTIFS(Tasks!$A:$A,$A979,Tasks!$B:$B,$B979)*100,0),"")</f>
        <v/>
      </c>
      <c r="I979">
        <f>COUNTIFS(Tasks!$A:$A,$A979,Tasks!$B:$B,$B979,Tasks!$G:$G,"&lt;="&amp;INDEX(Weeks!$D:$D,MATCH($C979,Weeks!$A:$A,0)))-COUNTIFS(Tasks!$A:$A,$A979,Tasks!$B:$B,$B979,Tasks!$I:$I,"&lt;="&amp;INDEX(Weeks!$D:$D,MATCH($C979,Weeks!$A:$A,0)),Tasks!$I:$I,"&lt;&gt;")</f>
        <v>0</v>
      </c>
      <c r="J979">
        <f>COUNTIFS(Tasks!$A:$A,$A979,Tasks!$B:$B,$B979,
Tasks!$I:$I,"&gt;"&amp;IFERROR(INDEX(Weeks!$D:$D,MATCH($C979-1,Weeks!$A:$A,0)),DATE(2000,1,1)),
Tasks!$I:$I,"&lt;="&amp;INDEX(Weeks!$D:$D,MATCH($C979,Weeks!$A:$A,0)),
Tasks!$I:$I,"&lt;&gt;")</f>
        <v>0</v>
      </c>
    </row>
    <row r="980" spans="1:10" ht="15" customHeight="1">
      <c r="A980" t="s">
        <v>107</v>
      </c>
      <c r="B980" t="s">
        <v>111</v>
      </c>
      <c r="C980">
        <v>43</v>
      </c>
      <c r="D980">
        <v>10</v>
      </c>
      <c r="E980">
        <v>4</v>
      </c>
      <c r="F980" s="5" t="str">
        <f>IFERROR(ROUND(COUNTIFS(Tasks!$A:$A,$A980,Tasks!$B:$B,$B980,Tasks!$I:$I,"&lt;="&amp;INDEX(Weeks!$D:$D,MATCH($C980,Weeks!$A:$A,0)),Tasks!$I:$I,"&lt;&gt;")/COUNTIFS(Tasks!$A:$A,$A980,Tasks!$B:$B,$B980)*100,0),"")</f>
        <v/>
      </c>
      <c r="G980" s="5" t="str">
        <f>IFERROR(ROUND(COUNTIFS(Tasks!$A:$A,$A980,Tasks!$B:$B,$B980,Tasks!$H:$H,"&lt;="&amp;INDEX(Weeks!$D:$D,MATCH($C980,Weeks!$A:$A,0)))/COUNTIFS(Tasks!$A:$A,$A980,Tasks!$B:$B,$B980)*100,0),"")</f>
        <v/>
      </c>
      <c r="I980">
        <f>COUNTIFS(Tasks!$A:$A,$A980,Tasks!$B:$B,$B980,Tasks!$G:$G,"&lt;="&amp;INDEX(Weeks!$D:$D,MATCH($C980,Weeks!$A:$A,0)))-COUNTIFS(Tasks!$A:$A,$A980,Tasks!$B:$B,$B980,Tasks!$I:$I,"&lt;="&amp;INDEX(Weeks!$D:$D,MATCH($C980,Weeks!$A:$A,0)),Tasks!$I:$I,"&lt;&gt;")</f>
        <v>0</v>
      </c>
      <c r="J980">
        <f>COUNTIFS(Tasks!$A:$A,$A980,Tasks!$B:$B,$B980,
Tasks!$I:$I,"&gt;"&amp;IFERROR(INDEX(Weeks!$D:$D,MATCH($C980-1,Weeks!$A:$A,0)),DATE(2000,1,1)),
Tasks!$I:$I,"&lt;="&amp;INDEX(Weeks!$D:$D,MATCH($C980,Weeks!$A:$A,0)),
Tasks!$I:$I,"&lt;&gt;")</f>
        <v>0</v>
      </c>
    </row>
    <row r="981" spans="1:10" ht="15" customHeight="1">
      <c r="A981" t="s">
        <v>107</v>
      </c>
      <c r="B981" t="s">
        <v>111</v>
      </c>
      <c r="C981">
        <v>44</v>
      </c>
      <c r="D981">
        <v>10</v>
      </c>
      <c r="E981">
        <v>5</v>
      </c>
      <c r="F981" s="5" t="str">
        <f>IFERROR(ROUND(COUNTIFS(Tasks!$A:$A,$A981,Tasks!$B:$B,$B981,Tasks!$I:$I,"&lt;="&amp;INDEX(Weeks!$D:$D,MATCH($C981,Weeks!$A:$A,0)),Tasks!$I:$I,"&lt;&gt;")/COUNTIFS(Tasks!$A:$A,$A981,Tasks!$B:$B,$B981)*100,0),"")</f>
        <v/>
      </c>
      <c r="G981" s="5" t="str">
        <f>IFERROR(ROUND(COUNTIFS(Tasks!$A:$A,$A981,Tasks!$B:$B,$B981,Tasks!$H:$H,"&lt;="&amp;INDEX(Weeks!$D:$D,MATCH($C981,Weeks!$A:$A,0)))/COUNTIFS(Tasks!$A:$A,$A981,Tasks!$B:$B,$B981)*100,0),"")</f>
        <v/>
      </c>
      <c r="I981">
        <f>COUNTIFS(Tasks!$A:$A,$A981,Tasks!$B:$B,$B981,Tasks!$G:$G,"&lt;="&amp;INDEX(Weeks!$D:$D,MATCH($C981,Weeks!$A:$A,0)))-COUNTIFS(Tasks!$A:$A,$A981,Tasks!$B:$B,$B981,Tasks!$I:$I,"&lt;="&amp;INDEX(Weeks!$D:$D,MATCH($C981,Weeks!$A:$A,0)),Tasks!$I:$I,"&lt;&gt;")</f>
        <v>0</v>
      </c>
      <c r="J981">
        <f>COUNTIFS(Tasks!$A:$A,$A981,Tasks!$B:$B,$B981,
Tasks!$I:$I,"&gt;"&amp;IFERROR(INDEX(Weeks!$D:$D,MATCH($C981-1,Weeks!$A:$A,0)),DATE(2000,1,1)),
Tasks!$I:$I,"&lt;="&amp;INDEX(Weeks!$D:$D,MATCH($C981,Weeks!$A:$A,0)),
Tasks!$I:$I,"&lt;&gt;")</f>
        <v>0</v>
      </c>
    </row>
    <row r="982" spans="1:10" ht="15" customHeight="1">
      <c r="A982" t="s">
        <v>107</v>
      </c>
      <c r="B982" t="s">
        <v>111</v>
      </c>
      <c r="C982">
        <v>45</v>
      </c>
      <c r="D982">
        <v>11</v>
      </c>
      <c r="E982">
        <v>1</v>
      </c>
      <c r="F982" s="5" t="str">
        <f>IFERROR(ROUND(COUNTIFS(Tasks!$A:$A,$A982,Tasks!$B:$B,$B982,Tasks!$I:$I,"&lt;="&amp;INDEX(Weeks!$D:$D,MATCH($C982,Weeks!$A:$A,0)),Tasks!$I:$I,"&lt;&gt;")/COUNTIFS(Tasks!$A:$A,$A982,Tasks!$B:$B,$B982)*100,0),"")</f>
        <v/>
      </c>
      <c r="G982" s="5" t="str">
        <f>IFERROR(ROUND(COUNTIFS(Tasks!$A:$A,$A982,Tasks!$B:$B,$B982,Tasks!$H:$H,"&lt;="&amp;INDEX(Weeks!$D:$D,MATCH($C982,Weeks!$A:$A,0)))/COUNTIFS(Tasks!$A:$A,$A982,Tasks!$B:$B,$B982)*100,0),"")</f>
        <v/>
      </c>
      <c r="I982">
        <f>COUNTIFS(Tasks!$A:$A,$A982,Tasks!$B:$B,$B982,Tasks!$G:$G,"&lt;="&amp;INDEX(Weeks!$D:$D,MATCH($C982,Weeks!$A:$A,0)))-COUNTIFS(Tasks!$A:$A,$A982,Tasks!$B:$B,$B982,Tasks!$I:$I,"&lt;="&amp;INDEX(Weeks!$D:$D,MATCH($C982,Weeks!$A:$A,0)),Tasks!$I:$I,"&lt;&gt;")</f>
        <v>0</v>
      </c>
      <c r="J982">
        <f>COUNTIFS(Tasks!$A:$A,$A982,Tasks!$B:$B,$B982,
Tasks!$I:$I,"&gt;"&amp;IFERROR(INDEX(Weeks!$D:$D,MATCH($C982-1,Weeks!$A:$A,0)),DATE(2000,1,1)),
Tasks!$I:$I,"&lt;="&amp;INDEX(Weeks!$D:$D,MATCH($C982,Weeks!$A:$A,0)),
Tasks!$I:$I,"&lt;&gt;")</f>
        <v>0</v>
      </c>
    </row>
    <row r="983" spans="1:10" ht="15" customHeight="1">
      <c r="A983" t="s">
        <v>107</v>
      </c>
      <c r="B983" t="s">
        <v>111</v>
      </c>
      <c r="C983">
        <v>46</v>
      </c>
      <c r="D983">
        <v>11</v>
      </c>
      <c r="E983">
        <v>2</v>
      </c>
      <c r="F983" s="5" t="str">
        <f>IFERROR(ROUND(COUNTIFS(Tasks!$A:$A,$A983,Tasks!$B:$B,$B983,Tasks!$I:$I,"&lt;="&amp;INDEX(Weeks!$D:$D,MATCH($C983,Weeks!$A:$A,0)),Tasks!$I:$I,"&lt;&gt;")/COUNTIFS(Tasks!$A:$A,$A983,Tasks!$B:$B,$B983)*100,0),"")</f>
        <v/>
      </c>
      <c r="G983" s="5" t="str">
        <f>IFERROR(ROUND(COUNTIFS(Tasks!$A:$A,$A983,Tasks!$B:$B,$B983,Tasks!$H:$H,"&lt;="&amp;INDEX(Weeks!$D:$D,MATCH($C983,Weeks!$A:$A,0)))/COUNTIFS(Tasks!$A:$A,$A983,Tasks!$B:$B,$B983)*100,0),"")</f>
        <v/>
      </c>
      <c r="I983">
        <f>COUNTIFS(Tasks!$A:$A,$A983,Tasks!$B:$B,$B983,Tasks!$G:$G,"&lt;="&amp;INDEX(Weeks!$D:$D,MATCH($C983,Weeks!$A:$A,0)))-COUNTIFS(Tasks!$A:$A,$A983,Tasks!$B:$B,$B983,Tasks!$I:$I,"&lt;="&amp;INDEX(Weeks!$D:$D,MATCH($C983,Weeks!$A:$A,0)),Tasks!$I:$I,"&lt;&gt;")</f>
        <v>0</v>
      </c>
      <c r="J983">
        <f>COUNTIFS(Tasks!$A:$A,$A983,Tasks!$B:$B,$B983,
Tasks!$I:$I,"&gt;"&amp;IFERROR(INDEX(Weeks!$D:$D,MATCH($C983-1,Weeks!$A:$A,0)),DATE(2000,1,1)),
Tasks!$I:$I,"&lt;="&amp;INDEX(Weeks!$D:$D,MATCH($C983,Weeks!$A:$A,0)),
Tasks!$I:$I,"&lt;&gt;")</f>
        <v>0</v>
      </c>
    </row>
    <row r="984" spans="1:10" ht="15" customHeight="1">
      <c r="A984" t="s">
        <v>107</v>
      </c>
      <c r="B984" t="s">
        <v>111</v>
      </c>
      <c r="C984">
        <v>47</v>
      </c>
      <c r="D984">
        <v>11</v>
      </c>
      <c r="E984">
        <v>3</v>
      </c>
      <c r="F984" s="5" t="str">
        <f>IFERROR(ROUND(COUNTIFS(Tasks!$A:$A,$A984,Tasks!$B:$B,$B984,Tasks!$I:$I,"&lt;="&amp;INDEX(Weeks!$D:$D,MATCH($C984,Weeks!$A:$A,0)),Tasks!$I:$I,"&lt;&gt;")/COUNTIFS(Tasks!$A:$A,$A984,Tasks!$B:$B,$B984)*100,0),"")</f>
        <v/>
      </c>
      <c r="G984" s="5" t="str">
        <f>IFERROR(ROUND(COUNTIFS(Tasks!$A:$A,$A984,Tasks!$B:$B,$B984,Tasks!$H:$H,"&lt;="&amp;INDEX(Weeks!$D:$D,MATCH($C984,Weeks!$A:$A,0)))/COUNTIFS(Tasks!$A:$A,$A984,Tasks!$B:$B,$B984)*100,0),"")</f>
        <v/>
      </c>
      <c r="I984">
        <f>COUNTIFS(Tasks!$A:$A,$A984,Tasks!$B:$B,$B984,Tasks!$G:$G,"&lt;="&amp;INDEX(Weeks!$D:$D,MATCH($C984,Weeks!$A:$A,0)))-COUNTIFS(Tasks!$A:$A,$A984,Tasks!$B:$B,$B984,Tasks!$I:$I,"&lt;="&amp;INDEX(Weeks!$D:$D,MATCH($C984,Weeks!$A:$A,0)),Tasks!$I:$I,"&lt;&gt;")</f>
        <v>0</v>
      </c>
      <c r="J984">
        <f>COUNTIFS(Tasks!$A:$A,$A984,Tasks!$B:$B,$B984,
Tasks!$I:$I,"&gt;"&amp;IFERROR(INDEX(Weeks!$D:$D,MATCH($C984-1,Weeks!$A:$A,0)),DATE(2000,1,1)),
Tasks!$I:$I,"&lt;="&amp;INDEX(Weeks!$D:$D,MATCH($C984,Weeks!$A:$A,0)),
Tasks!$I:$I,"&lt;&gt;")</f>
        <v>0</v>
      </c>
    </row>
    <row r="985" spans="1:10" ht="15" customHeight="1">
      <c r="A985" t="s">
        <v>107</v>
      </c>
      <c r="B985" t="s">
        <v>111</v>
      </c>
      <c r="C985">
        <v>48</v>
      </c>
      <c r="D985">
        <v>11</v>
      </c>
      <c r="E985">
        <v>4</v>
      </c>
      <c r="F985" s="5" t="str">
        <f>IFERROR(ROUND(COUNTIFS(Tasks!$A:$A,$A985,Tasks!$B:$B,$B985,Tasks!$I:$I,"&lt;="&amp;INDEX(Weeks!$D:$D,MATCH($C985,Weeks!$A:$A,0)),Tasks!$I:$I,"&lt;&gt;")/COUNTIFS(Tasks!$A:$A,$A985,Tasks!$B:$B,$B985)*100,0),"")</f>
        <v/>
      </c>
      <c r="G985" s="5" t="str">
        <f>IFERROR(ROUND(COUNTIFS(Tasks!$A:$A,$A985,Tasks!$B:$B,$B985,Tasks!$H:$H,"&lt;="&amp;INDEX(Weeks!$D:$D,MATCH($C985,Weeks!$A:$A,0)))/COUNTIFS(Tasks!$A:$A,$A985,Tasks!$B:$B,$B985)*100,0),"")</f>
        <v/>
      </c>
      <c r="I985">
        <f>COUNTIFS(Tasks!$A:$A,$A985,Tasks!$B:$B,$B985,Tasks!$G:$G,"&lt;="&amp;INDEX(Weeks!$D:$D,MATCH($C985,Weeks!$A:$A,0)))-COUNTIFS(Tasks!$A:$A,$A985,Tasks!$B:$B,$B985,Tasks!$I:$I,"&lt;="&amp;INDEX(Weeks!$D:$D,MATCH($C985,Weeks!$A:$A,0)),Tasks!$I:$I,"&lt;&gt;")</f>
        <v>0</v>
      </c>
      <c r="J985">
        <f>COUNTIFS(Tasks!$A:$A,$A985,Tasks!$B:$B,$B985,
Tasks!$I:$I,"&gt;"&amp;IFERROR(INDEX(Weeks!$D:$D,MATCH($C985-1,Weeks!$A:$A,0)),DATE(2000,1,1)),
Tasks!$I:$I,"&lt;="&amp;INDEX(Weeks!$D:$D,MATCH($C985,Weeks!$A:$A,0)),
Tasks!$I:$I,"&lt;&gt;")</f>
        <v>0</v>
      </c>
    </row>
    <row r="986" spans="1:10">
      <c r="A986" t="s">
        <v>107</v>
      </c>
      <c r="B986" t="s">
        <v>111</v>
      </c>
      <c r="C986">
        <v>49</v>
      </c>
      <c r="D986">
        <v>12</v>
      </c>
      <c r="E986">
        <v>1</v>
      </c>
      <c r="F986" s="5" t="str">
        <f>IFERROR(ROUND(COUNTIFS(Tasks!$A:$A,$A986,Tasks!$B:$B,$B986,Tasks!$I:$I,"&lt;="&amp;INDEX(Weeks!$D:$D,MATCH($C986,Weeks!$A:$A,0)),Tasks!$I:$I,"&lt;&gt;")/COUNTIFS(Tasks!$A:$A,$A986,Tasks!$B:$B,$B986)*100,0),"")</f>
        <v/>
      </c>
      <c r="G986" s="5" t="str">
        <f>IFERROR(ROUND(COUNTIFS(Tasks!$A:$A,$A986,Tasks!$B:$B,$B986,Tasks!$H:$H,"&lt;="&amp;INDEX(Weeks!$D:$D,MATCH($C986,Weeks!$A:$A,0)))/COUNTIFS(Tasks!$A:$A,$A986,Tasks!$B:$B,$B986)*100,0),"")</f>
        <v/>
      </c>
      <c r="I986">
        <f>COUNTIFS(Tasks!$A:$A,$A986,Tasks!$B:$B,$B986,Tasks!$G:$G,"&lt;="&amp;INDEX(Weeks!$D:$D,MATCH($C986,Weeks!$A:$A,0)))-COUNTIFS(Tasks!$A:$A,$A986,Tasks!$B:$B,$B986,Tasks!$I:$I,"&lt;="&amp;INDEX(Weeks!$D:$D,MATCH($C986,Weeks!$A:$A,0)),Tasks!$I:$I,"&lt;&gt;")</f>
        <v>0</v>
      </c>
      <c r="J986">
        <f>COUNTIFS(Tasks!$A:$A,$A986,Tasks!$B:$B,$B986,
Tasks!$I:$I,"&gt;"&amp;IFERROR(INDEX(Weeks!$D:$D,MATCH($C986-1,Weeks!$A:$A,0)),DATE(2000,1,1)),
Tasks!$I:$I,"&lt;="&amp;INDEX(Weeks!$D:$D,MATCH($C986,Weeks!$A:$A,0)),
Tasks!$I:$I,"&lt;&gt;")</f>
        <v>0</v>
      </c>
    </row>
    <row r="987" spans="1:10">
      <c r="A987" t="s">
        <v>107</v>
      </c>
      <c r="B987" t="s">
        <v>111</v>
      </c>
      <c r="C987">
        <v>50</v>
      </c>
      <c r="D987">
        <v>12</v>
      </c>
      <c r="E987">
        <v>2</v>
      </c>
      <c r="F987" s="5" t="str">
        <f>IFERROR(ROUND(COUNTIFS(Tasks!$A:$A,$A987,Tasks!$B:$B,$B987,Tasks!$I:$I,"&lt;="&amp;INDEX(Weeks!$D:$D,MATCH($C987,Weeks!$A:$A,0)),Tasks!$I:$I,"&lt;&gt;")/COUNTIFS(Tasks!$A:$A,$A987,Tasks!$B:$B,$B987)*100,0),"")</f>
        <v/>
      </c>
      <c r="G987" s="5" t="str">
        <f>IFERROR(ROUND(COUNTIFS(Tasks!$A:$A,$A987,Tasks!$B:$B,$B987,Tasks!$H:$H,"&lt;="&amp;INDEX(Weeks!$D:$D,MATCH($C987,Weeks!$A:$A,0)))/COUNTIFS(Tasks!$A:$A,$A987,Tasks!$B:$B,$B987)*100,0),"")</f>
        <v/>
      </c>
      <c r="I987">
        <f>COUNTIFS(Tasks!$A:$A,$A987,Tasks!$B:$B,$B987,Tasks!$G:$G,"&lt;="&amp;INDEX(Weeks!$D:$D,MATCH($C987,Weeks!$A:$A,0)))-COUNTIFS(Tasks!$A:$A,$A987,Tasks!$B:$B,$B987,Tasks!$I:$I,"&lt;="&amp;INDEX(Weeks!$D:$D,MATCH($C987,Weeks!$A:$A,0)),Tasks!$I:$I,"&lt;&gt;")</f>
        <v>0</v>
      </c>
      <c r="J987">
        <f>COUNTIFS(Tasks!$A:$A,$A987,Tasks!$B:$B,$B987,
Tasks!$I:$I,"&gt;"&amp;IFERROR(INDEX(Weeks!$D:$D,MATCH($C987-1,Weeks!$A:$A,0)),DATE(2000,1,1)),
Tasks!$I:$I,"&lt;="&amp;INDEX(Weeks!$D:$D,MATCH($C987,Weeks!$A:$A,0)),
Tasks!$I:$I,"&lt;&gt;")</f>
        <v>0</v>
      </c>
    </row>
    <row r="988" spans="1:10">
      <c r="A988" t="s">
        <v>107</v>
      </c>
      <c r="B988" t="s">
        <v>111</v>
      </c>
      <c r="C988">
        <v>51</v>
      </c>
      <c r="D988">
        <v>12</v>
      </c>
      <c r="E988">
        <v>3</v>
      </c>
      <c r="F988" s="5" t="str">
        <f>IFERROR(ROUND(COUNTIFS(Tasks!$A:$A,$A988,Tasks!$B:$B,$B988,Tasks!$I:$I,"&lt;="&amp;INDEX(Weeks!$D:$D,MATCH($C988,Weeks!$A:$A,0)),Tasks!$I:$I,"&lt;&gt;")/COUNTIFS(Tasks!$A:$A,$A988,Tasks!$B:$B,$B988)*100,0),"")</f>
        <v/>
      </c>
      <c r="G988" s="5" t="str">
        <f>IFERROR(ROUND(COUNTIFS(Tasks!$A:$A,$A988,Tasks!$B:$B,$B988,Tasks!$H:$H,"&lt;="&amp;INDEX(Weeks!$D:$D,MATCH($C988,Weeks!$A:$A,0)))/COUNTIFS(Tasks!$A:$A,$A988,Tasks!$B:$B,$B988)*100,0),"")</f>
        <v/>
      </c>
      <c r="I988">
        <f>COUNTIFS(Tasks!$A:$A,$A988,Tasks!$B:$B,$B988,Tasks!$G:$G,"&lt;="&amp;INDEX(Weeks!$D:$D,MATCH($C988,Weeks!$A:$A,0)))-COUNTIFS(Tasks!$A:$A,$A988,Tasks!$B:$B,$B988,Tasks!$I:$I,"&lt;="&amp;INDEX(Weeks!$D:$D,MATCH($C988,Weeks!$A:$A,0)),Tasks!$I:$I,"&lt;&gt;")</f>
        <v>0</v>
      </c>
      <c r="J988">
        <f>COUNTIFS(Tasks!$A:$A,$A988,Tasks!$B:$B,$B988,
Tasks!$I:$I,"&gt;"&amp;IFERROR(INDEX(Weeks!$D:$D,MATCH($C988-1,Weeks!$A:$A,0)),DATE(2000,1,1)),
Tasks!$I:$I,"&lt;="&amp;INDEX(Weeks!$D:$D,MATCH($C988,Weeks!$A:$A,0)),
Tasks!$I:$I,"&lt;&gt;")</f>
        <v>0</v>
      </c>
    </row>
    <row r="989" spans="1:10">
      <c r="A989" t="s">
        <v>107</v>
      </c>
      <c r="B989" t="s">
        <v>111</v>
      </c>
      <c r="C989">
        <v>52</v>
      </c>
      <c r="D989">
        <v>12</v>
      </c>
      <c r="E989">
        <v>4</v>
      </c>
      <c r="F989" s="5" t="str">
        <f>IFERROR(ROUND(COUNTIFS(Tasks!$A:$A,$A989,Tasks!$B:$B,$B989,Tasks!$I:$I,"&lt;="&amp;INDEX(Weeks!$D:$D,MATCH($C989,Weeks!$A:$A,0)),Tasks!$I:$I,"&lt;&gt;")/COUNTIFS(Tasks!$A:$A,$A989,Tasks!$B:$B,$B989)*100,0),"")</f>
        <v/>
      </c>
      <c r="G989" s="5" t="str">
        <f>IFERROR(ROUND(COUNTIFS(Tasks!$A:$A,$A989,Tasks!$B:$B,$B989,Tasks!$H:$H,"&lt;="&amp;INDEX(Weeks!$D:$D,MATCH($C989,Weeks!$A:$A,0)))/COUNTIFS(Tasks!$A:$A,$A989,Tasks!$B:$B,$B989)*100,0),"")</f>
        <v/>
      </c>
      <c r="I989">
        <f>COUNTIFS(Tasks!$A:$A,$A989,Tasks!$B:$B,$B989,Tasks!$G:$G,"&lt;="&amp;INDEX(Weeks!$D:$D,MATCH($C989,Weeks!$A:$A,0)))-COUNTIFS(Tasks!$A:$A,$A989,Tasks!$B:$B,$B989,Tasks!$I:$I,"&lt;="&amp;INDEX(Weeks!$D:$D,MATCH($C989,Weeks!$A:$A,0)),Tasks!$I:$I,"&lt;&gt;")</f>
        <v>0</v>
      </c>
      <c r="J989">
        <f>COUNTIFS(Tasks!$A:$A,$A989,Tasks!$B:$B,$B989,
Tasks!$I:$I,"&gt;"&amp;IFERROR(INDEX(Weeks!$D:$D,MATCH($C989-1,Weeks!$A:$A,0)),DATE(2000,1,1)),
Tasks!$I:$I,"&lt;="&amp;INDEX(Weeks!$D:$D,MATCH($C989,Weeks!$A:$A,0)),
Tasks!$I:$I,"&lt;&gt;")</f>
        <v>0</v>
      </c>
    </row>
  </sheetData>
  <autoFilter ref="A1:J985" xr:uid="{00000000-0009-0000-0000-000002000000}"/>
  <dataValidations count="1">
    <dataValidation type="list" allowBlank="1" showInputMessage="1" showErrorMessage="1" sqref="H2:H985" xr:uid="{00000000-0002-0000-0200-000000000000}">
      <formula1>"Not Started,No Deviation,Moderate Deviation,Critical Deviation,Stopped"</formula1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"/>
  <sheetViews>
    <sheetView zoomScaleNormal="100" workbookViewId="0">
      <pane ySplit="1" topLeftCell="A17" activePane="bottomLeft" state="frozen"/>
      <selection pane="bottomLeft" activeCell="D2" sqref="D2"/>
    </sheetView>
  </sheetViews>
  <sheetFormatPr defaultColWidth="8.7109375" defaultRowHeight="14.45"/>
  <cols>
    <col min="3" max="3" width="20.140625" customWidth="1"/>
    <col min="4" max="4" width="23.7109375" customWidth="1"/>
  </cols>
  <sheetData>
    <row r="1" spans="1:4" ht="15" customHeight="1">
      <c r="A1" s="2" t="s">
        <v>83</v>
      </c>
      <c r="B1" s="2" t="s">
        <v>84</v>
      </c>
      <c r="C1" s="2" t="s">
        <v>85</v>
      </c>
      <c r="D1" s="2" t="s">
        <v>112</v>
      </c>
    </row>
    <row r="2" spans="1:4" ht="15" customHeight="1">
      <c r="A2">
        <v>1</v>
      </c>
      <c r="B2">
        <v>1</v>
      </c>
      <c r="C2">
        <v>1</v>
      </c>
      <c r="D2" s="3">
        <v>46026</v>
      </c>
    </row>
    <row r="3" spans="1:4" ht="15" customHeight="1">
      <c r="A3">
        <v>2</v>
      </c>
      <c r="B3">
        <v>1</v>
      </c>
      <c r="C3">
        <v>2</v>
      </c>
      <c r="D3" s="3">
        <v>46033</v>
      </c>
    </row>
    <row r="4" spans="1:4" ht="15" customHeight="1">
      <c r="A4">
        <v>3</v>
      </c>
      <c r="B4">
        <v>1</v>
      </c>
      <c r="C4">
        <v>3</v>
      </c>
      <c r="D4" s="3">
        <v>46040</v>
      </c>
    </row>
    <row r="5" spans="1:4" ht="15" customHeight="1">
      <c r="A5">
        <v>4</v>
      </c>
      <c r="B5">
        <v>1</v>
      </c>
      <c r="C5">
        <v>4</v>
      </c>
      <c r="D5" s="3">
        <v>46047</v>
      </c>
    </row>
    <row r="6" spans="1:4" ht="15" customHeight="1">
      <c r="A6">
        <v>5</v>
      </c>
      <c r="B6">
        <v>1</v>
      </c>
      <c r="C6">
        <v>5</v>
      </c>
      <c r="D6" s="3">
        <v>46054</v>
      </c>
    </row>
    <row r="7" spans="1:4" ht="15" customHeight="1">
      <c r="A7">
        <v>6</v>
      </c>
      <c r="B7">
        <v>2</v>
      </c>
      <c r="C7">
        <v>1</v>
      </c>
      <c r="D7" s="3">
        <v>46061</v>
      </c>
    </row>
    <row r="8" spans="1:4" ht="15" customHeight="1">
      <c r="A8">
        <v>7</v>
      </c>
      <c r="B8">
        <v>2</v>
      </c>
      <c r="C8">
        <v>2</v>
      </c>
      <c r="D8" s="3">
        <v>46068</v>
      </c>
    </row>
    <row r="9" spans="1:4" ht="15" customHeight="1">
      <c r="A9">
        <v>8</v>
      </c>
      <c r="B9">
        <v>2</v>
      </c>
      <c r="C9">
        <v>3</v>
      </c>
      <c r="D9" s="3">
        <v>46075</v>
      </c>
    </row>
    <row r="10" spans="1:4" ht="15" customHeight="1">
      <c r="A10">
        <v>9</v>
      </c>
      <c r="B10">
        <v>2</v>
      </c>
      <c r="C10">
        <v>4</v>
      </c>
      <c r="D10" s="3">
        <v>46082</v>
      </c>
    </row>
    <row r="11" spans="1:4" ht="15" customHeight="1">
      <c r="A11">
        <v>10</v>
      </c>
      <c r="B11">
        <v>3</v>
      </c>
      <c r="C11">
        <v>1</v>
      </c>
      <c r="D11" s="3">
        <v>46089</v>
      </c>
    </row>
    <row r="12" spans="1:4" ht="15" customHeight="1">
      <c r="A12">
        <v>11</v>
      </c>
      <c r="B12">
        <v>3</v>
      </c>
      <c r="C12">
        <v>2</v>
      </c>
      <c r="D12" s="3">
        <v>46096</v>
      </c>
    </row>
    <row r="13" spans="1:4" ht="15" customHeight="1">
      <c r="A13">
        <v>12</v>
      </c>
      <c r="B13">
        <v>3</v>
      </c>
      <c r="C13">
        <v>3</v>
      </c>
      <c r="D13" s="3">
        <v>46103</v>
      </c>
    </row>
    <row r="14" spans="1:4" ht="15" customHeight="1">
      <c r="A14">
        <v>13</v>
      </c>
      <c r="B14">
        <v>3</v>
      </c>
      <c r="C14">
        <v>4</v>
      </c>
      <c r="D14" s="3">
        <v>46110</v>
      </c>
    </row>
    <row r="15" spans="1:4" ht="15" customHeight="1">
      <c r="A15">
        <v>14</v>
      </c>
      <c r="B15">
        <v>4</v>
      </c>
      <c r="C15">
        <v>1</v>
      </c>
      <c r="D15" s="3">
        <v>46117</v>
      </c>
    </row>
    <row r="16" spans="1:4" ht="15" customHeight="1">
      <c r="A16">
        <v>15</v>
      </c>
      <c r="B16">
        <v>4</v>
      </c>
      <c r="C16">
        <v>2</v>
      </c>
      <c r="D16" s="3">
        <v>46124</v>
      </c>
    </row>
    <row r="17" spans="1:4" ht="15" customHeight="1">
      <c r="A17">
        <v>16</v>
      </c>
      <c r="B17">
        <v>4</v>
      </c>
      <c r="C17">
        <v>3</v>
      </c>
      <c r="D17" s="3">
        <v>46131</v>
      </c>
    </row>
    <row r="18" spans="1:4" ht="15" customHeight="1">
      <c r="A18">
        <v>17</v>
      </c>
      <c r="B18">
        <v>4</v>
      </c>
      <c r="C18">
        <v>4</v>
      </c>
      <c r="D18" s="3">
        <v>46138</v>
      </c>
    </row>
    <row r="19" spans="1:4" ht="15" customHeight="1">
      <c r="A19">
        <v>18</v>
      </c>
      <c r="B19">
        <v>5</v>
      </c>
      <c r="C19">
        <v>1</v>
      </c>
      <c r="D19" s="3">
        <v>46145</v>
      </c>
    </row>
    <row r="20" spans="1:4" ht="15" customHeight="1">
      <c r="A20">
        <v>19</v>
      </c>
      <c r="B20">
        <v>5</v>
      </c>
      <c r="C20">
        <v>2</v>
      </c>
      <c r="D20" s="3">
        <v>46152</v>
      </c>
    </row>
    <row r="21" spans="1:4" ht="15" customHeight="1">
      <c r="A21">
        <v>20</v>
      </c>
      <c r="B21">
        <v>5</v>
      </c>
      <c r="C21">
        <v>3</v>
      </c>
      <c r="D21" s="3">
        <v>46159</v>
      </c>
    </row>
    <row r="22" spans="1:4" ht="15" customHeight="1">
      <c r="A22">
        <v>21</v>
      </c>
      <c r="B22">
        <v>5</v>
      </c>
      <c r="C22">
        <v>4</v>
      </c>
      <c r="D22" s="3">
        <v>46166</v>
      </c>
    </row>
    <row r="23" spans="1:4" ht="15" customHeight="1">
      <c r="A23">
        <v>22</v>
      </c>
      <c r="B23">
        <v>5</v>
      </c>
      <c r="C23">
        <v>5</v>
      </c>
      <c r="D23" s="3">
        <v>46173</v>
      </c>
    </row>
    <row r="24" spans="1:4" ht="15" customHeight="1">
      <c r="A24">
        <v>23</v>
      </c>
      <c r="B24">
        <v>6</v>
      </c>
      <c r="C24">
        <v>1</v>
      </c>
      <c r="D24" s="3">
        <v>46180</v>
      </c>
    </row>
    <row r="25" spans="1:4" ht="15" customHeight="1">
      <c r="A25">
        <v>24</v>
      </c>
      <c r="B25">
        <v>6</v>
      </c>
      <c r="C25">
        <v>2</v>
      </c>
      <c r="D25" s="3">
        <v>46187</v>
      </c>
    </row>
    <row r="26" spans="1:4" ht="15" customHeight="1">
      <c r="A26">
        <v>25</v>
      </c>
      <c r="B26">
        <v>6</v>
      </c>
      <c r="C26">
        <v>3</v>
      </c>
      <c r="D26" s="3">
        <v>46194</v>
      </c>
    </row>
    <row r="27" spans="1:4" ht="15" customHeight="1">
      <c r="A27">
        <v>26</v>
      </c>
      <c r="B27">
        <v>6</v>
      </c>
      <c r="C27">
        <v>4</v>
      </c>
      <c r="D27" s="3">
        <v>46201</v>
      </c>
    </row>
    <row r="28" spans="1:4" ht="15" customHeight="1">
      <c r="A28">
        <v>27</v>
      </c>
      <c r="B28">
        <v>7</v>
      </c>
      <c r="C28">
        <v>1</v>
      </c>
      <c r="D28" s="3">
        <v>46208</v>
      </c>
    </row>
    <row r="29" spans="1:4" ht="15" customHeight="1">
      <c r="A29">
        <v>28</v>
      </c>
      <c r="B29">
        <v>7</v>
      </c>
      <c r="C29">
        <v>2</v>
      </c>
      <c r="D29" s="3">
        <v>46215</v>
      </c>
    </row>
    <row r="30" spans="1:4" ht="15" customHeight="1">
      <c r="A30">
        <v>29</v>
      </c>
      <c r="B30">
        <v>7</v>
      </c>
      <c r="C30">
        <v>3</v>
      </c>
      <c r="D30" s="3">
        <v>46222</v>
      </c>
    </row>
    <row r="31" spans="1:4" ht="15" customHeight="1">
      <c r="A31">
        <v>30</v>
      </c>
      <c r="B31">
        <v>7</v>
      </c>
      <c r="C31">
        <v>4</v>
      </c>
      <c r="D31" s="3">
        <v>46229</v>
      </c>
    </row>
    <row r="32" spans="1:4" ht="15" customHeight="1">
      <c r="A32">
        <v>31</v>
      </c>
      <c r="B32">
        <v>8</v>
      </c>
      <c r="C32">
        <v>1</v>
      </c>
      <c r="D32" s="3">
        <v>46236</v>
      </c>
    </row>
    <row r="33" spans="1:4" ht="15" customHeight="1">
      <c r="A33">
        <v>32</v>
      </c>
      <c r="B33">
        <v>8</v>
      </c>
      <c r="C33">
        <v>2</v>
      </c>
      <c r="D33" s="3">
        <v>46243</v>
      </c>
    </row>
    <row r="34" spans="1:4" ht="15" customHeight="1">
      <c r="A34">
        <v>33</v>
      </c>
      <c r="B34">
        <v>8</v>
      </c>
      <c r="C34">
        <v>3</v>
      </c>
      <c r="D34" s="3">
        <v>46250</v>
      </c>
    </row>
    <row r="35" spans="1:4" ht="15" customHeight="1">
      <c r="A35">
        <v>34</v>
      </c>
      <c r="B35">
        <v>8</v>
      </c>
      <c r="C35">
        <v>4</v>
      </c>
      <c r="D35" s="3">
        <v>46257</v>
      </c>
    </row>
    <row r="36" spans="1:4" ht="15" customHeight="1">
      <c r="A36">
        <v>35</v>
      </c>
      <c r="B36">
        <v>8</v>
      </c>
      <c r="C36">
        <v>5</v>
      </c>
      <c r="D36" s="3">
        <v>46264</v>
      </c>
    </row>
    <row r="37" spans="1:4" ht="15" customHeight="1">
      <c r="A37">
        <v>36</v>
      </c>
      <c r="B37">
        <v>9</v>
      </c>
      <c r="C37">
        <v>1</v>
      </c>
      <c r="D37" s="3">
        <v>46271</v>
      </c>
    </row>
    <row r="38" spans="1:4" ht="15" customHeight="1">
      <c r="A38">
        <v>37</v>
      </c>
      <c r="B38">
        <v>9</v>
      </c>
      <c r="C38">
        <v>2</v>
      </c>
      <c r="D38" s="3">
        <v>46278</v>
      </c>
    </row>
    <row r="39" spans="1:4" ht="15" customHeight="1">
      <c r="A39">
        <v>38</v>
      </c>
      <c r="B39">
        <v>9</v>
      </c>
      <c r="C39">
        <v>3</v>
      </c>
      <c r="D39" s="3">
        <v>46285</v>
      </c>
    </row>
    <row r="40" spans="1:4" ht="15" customHeight="1">
      <c r="A40">
        <v>39</v>
      </c>
      <c r="B40">
        <v>9</v>
      </c>
      <c r="C40">
        <v>4</v>
      </c>
      <c r="D40" s="3">
        <v>46292</v>
      </c>
    </row>
    <row r="41" spans="1:4" ht="15" customHeight="1">
      <c r="A41">
        <v>40</v>
      </c>
      <c r="B41">
        <v>10</v>
      </c>
      <c r="C41">
        <v>1</v>
      </c>
      <c r="D41" s="3">
        <v>46299</v>
      </c>
    </row>
    <row r="42" spans="1:4" ht="15" customHeight="1">
      <c r="A42">
        <v>41</v>
      </c>
      <c r="B42">
        <v>10</v>
      </c>
      <c r="C42">
        <v>2</v>
      </c>
      <c r="D42" s="3">
        <v>46306</v>
      </c>
    </row>
    <row r="43" spans="1:4" ht="15" customHeight="1">
      <c r="A43">
        <v>42</v>
      </c>
      <c r="B43">
        <v>10</v>
      </c>
      <c r="C43">
        <v>3</v>
      </c>
      <c r="D43" s="3">
        <v>46313</v>
      </c>
    </row>
    <row r="44" spans="1:4" ht="15" customHeight="1">
      <c r="A44">
        <v>43</v>
      </c>
      <c r="B44">
        <v>10</v>
      </c>
      <c r="C44">
        <v>4</v>
      </c>
      <c r="D44" s="3">
        <v>46320</v>
      </c>
    </row>
    <row r="45" spans="1:4" ht="15" customHeight="1">
      <c r="A45">
        <v>44</v>
      </c>
      <c r="B45">
        <v>10</v>
      </c>
      <c r="C45">
        <v>5</v>
      </c>
      <c r="D45" s="3">
        <v>46327</v>
      </c>
    </row>
    <row r="46" spans="1:4" ht="15" customHeight="1">
      <c r="A46">
        <v>45</v>
      </c>
      <c r="B46">
        <v>11</v>
      </c>
      <c r="C46">
        <v>1</v>
      </c>
      <c r="D46" s="3">
        <v>46334</v>
      </c>
    </row>
    <row r="47" spans="1:4" ht="15" customHeight="1">
      <c r="A47">
        <v>46</v>
      </c>
      <c r="B47">
        <v>11</v>
      </c>
      <c r="C47">
        <v>2</v>
      </c>
      <c r="D47" s="3">
        <v>46341</v>
      </c>
    </row>
    <row r="48" spans="1:4" ht="15" customHeight="1">
      <c r="A48">
        <v>47</v>
      </c>
      <c r="B48">
        <v>11</v>
      </c>
      <c r="C48">
        <v>3</v>
      </c>
      <c r="D48" s="3">
        <v>46348</v>
      </c>
    </row>
    <row r="49" spans="1:4" ht="15" customHeight="1">
      <c r="A49">
        <v>48</v>
      </c>
      <c r="B49">
        <v>11</v>
      </c>
      <c r="C49">
        <v>4</v>
      </c>
      <c r="D49" s="3">
        <v>46355</v>
      </c>
    </row>
    <row r="50" spans="1:4">
      <c r="A50">
        <v>49</v>
      </c>
      <c r="B50">
        <v>12</v>
      </c>
      <c r="C50">
        <v>1</v>
      </c>
      <c r="D50" s="3">
        <v>46362</v>
      </c>
    </row>
    <row r="51" spans="1:4">
      <c r="A51">
        <v>50</v>
      </c>
      <c r="B51">
        <v>12</v>
      </c>
      <c r="C51">
        <v>2</v>
      </c>
      <c r="D51" s="3">
        <v>46369</v>
      </c>
    </row>
    <row r="52" spans="1:4">
      <c r="A52">
        <v>51</v>
      </c>
      <c r="B52">
        <v>12</v>
      </c>
      <c r="C52">
        <v>3</v>
      </c>
      <c r="D52" s="3">
        <v>46376</v>
      </c>
    </row>
    <row r="53" spans="1:4">
      <c r="A53">
        <v>52</v>
      </c>
      <c r="B53">
        <v>12</v>
      </c>
      <c r="C53">
        <v>4</v>
      </c>
      <c r="D53" s="3">
        <v>46383</v>
      </c>
    </row>
    <row r="54" spans="1:4">
      <c r="D54" s="3"/>
    </row>
  </sheetData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3017"/>
  <sheetViews>
    <sheetView zoomScaleNormal="100" workbookViewId="0">
      <pane ySplit="1" topLeftCell="A1167" activePane="bottomLeft" state="frozen"/>
      <selection pane="bottomLeft" activeCell="H1181" sqref="H1181:H1184"/>
    </sheetView>
  </sheetViews>
  <sheetFormatPr defaultColWidth="8.7109375" defaultRowHeight="14.45"/>
  <cols>
    <col min="1" max="1" width="24.85546875" customWidth="1"/>
    <col min="2" max="2" width="41.28515625" customWidth="1"/>
    <col min="5" max="5" width="17.42578125" customWidth="1"/>
    <col min="6" max="6" width="18" customWidth="1"/>
    <col min="7" max="7" width="15.7109375" customWidth="1"/>
    <col min="8" max="8" width="19.5703125" customWidth="1"/>
  </cols>
  <sheetData>
    <row r="1" spans="1:8" ht="15" customHeight="1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113</v>
      </c>
      <c r="G1" s="2" t="s">
        <v>114</v>
      </c>
      <c r="H1" s="2" t="s">
        <v>86</v>
      </c>
    </row>
    <row r="2" spans="1:8" ht="15" hidden="1" customHeight="1">
      <c r="A2" t="s">
        <v>93</v>
      </c>
      <c r="B2" t="s">
        <v>94</v>
      </c>
      <c r="C2">
        <v>1</v>
      </c>
      <c r="D2">
        <v>1</v>
      </c>
      <c r="E2">
        <v>1</v>
      </c>
      <c r="F2">
        <v>1</v>
      </c>
      <c r="G2" t="s">
        <v>115</v>
      </c>
      <c r="H2">
        <f>IFERROR(ROUND(COUNTIFS(Tasks!$A:$A,$A2,Tasks!$B:$B,$B2,Tasks!$C:$C,$G2,Tasks!$I:$I,"&lt;="&amp;INDEX(Weeks!$D:$D,MATCH($C2,Weeks!$A:$A,0)),Tasks!$I:$I,"&lt;&gt;")/COUNTIFS(Tasks!$A:$A,$A2,Tasks!$B:$B,$B2,Tasks!$C:$C,$G2)*100,0),"")</f>
        <v>100</v>
      </c>
    </row>
    <row r="3" spans="1:8" ht="15" hidden="1" customHeight="1">
      <c r="A3" t="s">
        <v>93</v>
      </c>
      <c r="B3" t="s">
        <v>94</v>
      </c>
      <c r="C3">
        <v>2</v>
      </c>
      <c r="D3">
        <v>1</v>
      </c>
      <c r="E3">
        <v>2</v>
      </c>
      <c r="F3">
        <v>1</v>
      </c>
      <c r="G3" t="s">
        <v>115</v>
      </c>
      <c r="H3">
        <f>IFERROR(ROUND(COUNTIFS(Tasks!$A:$A,$A3,Tasks!$B:$B,$B3,Tasks!$C:$C,$G3,Tasks!$I:$I,"&lt;="&amp;INDEX(Weeks!$D:$D,MATCH($C3,Weeks!$A:$A,0)),Tasks!$I:$I,"&lt;&gt;")/COUNTIFS(Tasks!$A:$A,$A3,Tasks!$B:$B,$B3,Tasks!$C:$C,$G3)*100,0),"")</f>
        <v>100</v>
      </c>
    </row>
    <row r="4" spans="1:8" ht="15" hidden="1" customHeight="1">
      <c r="A4" t="s">
        <v>93</v>
      </c>
      <c r="B4" t="s">
        <v>94</v>
      </c>
      <c r="C4">
        <v>3</v>
      </c>
      <c r="D4">
        <v>1</v>
      </c>
      <c r="E4">
        <v>3</v>
      </c>
      <c r="F4">
        <v>1</v>
      </c>
      <c r="G4" t="s">
        <v>115</v>
      </c>
      <c r="H4">
        <f>IFERROR(ROUND(COUNTIFS(Tasks!$A:$A,$A4,Tasks!$B:$B,$B4,Tasks!$C:$C,$G4,Tasks!$I:$I,"&lt;="&amp;INDEX(Weeks!$D:$D,MATCH($C4,Weeks!$A:$A,0)),Tasks!$I:$I,"&lt;&gt;")/COUNTIFS(Tasks!$A:$A,$A4,Tasks!$B:$B,$B4,Tasks!$C:$C,$G4)*100,0),"")</f>
        <v>100</v>
      </c>
    </row>
    <row r="5" spans="1:8" ht="15" hidden="1" customHeight="1">
      <c r="A5" t="s">
        <v>93</v>
      </c>
      <c r="B5" t="s">
        <v>94</v>
      </c>
      <c r="C5">
        <v>4</v>
      </c>
      <c r="D5">
        <v>1</v>
      </c>
      <c r="E5">
        <v>4</v>
      </c>
      <c r="F5">
        <v>1</v>
      </c>
      <c r="G5" t="s">
        <v>115</v>
      </c>
      <c r="H5">
        <f>IFERROR(ROUND(COUNTIFS(Tasks!$A:$A,$A5,Tasks!$B:$B,$B5,Tasks!$C:$C,$G5,Tasks!$I:$I,"&lt;="&amp;INDEX(Weeks!$D:$D,MATCH($C5,Weeks!$A:$A,0)),Tasks!$I:$I,"&lt;&gt;")/COUNTIFS(Tasks!$A:$A,$A5,Tasks!$B:$B,$B5,Tasks!$C:$C,$G5)*100,0),"")</f>
        <v>100</v>
      </c>
    </row>
    <row r="6" spans="1:8" ht="15" hidden="1" customHeight="1">
      <c r="A6" t="s">
        <v>93</v>
      </c>
      <c r="B6" t="s">
        <v>94</v>
      </c>
      <c r="C6">
        <v>5</v>
      </c>
      <c r="D6">
        <v>1</v>
      </c>
      <c r="E6">
        <v>5</v>
      </c>
      <c r="F6">
        <v>1</v>
      </c>
      <c r="G6" t="s">
        <v>115</v>
      </c>
      <c r="H6">
        <f>IFERROR(ROUND(COUNTIFS(Tasks!$A:$A,$A6,Tasks!$B:$B,$B6,Tasks!$C:$C,$G6,Tasks!$I:$I,"&lt;="&amp;INDEX(Weeks!$D:$D,MATCH($C6,Weeks!$A:$A,0)),Tasks!$I:$I,"&lt;&gt;")/COUNTIFS(Tasks!$A:$A,$A6,Tasks!$B:$B,$B6,Tasks!$C:$C,$G6)*100,0),"")</f>
        <v>100</v>
      </c>
    </row>
    <row r="7" spans="1:8" ht="15" hidden="1" customHeight="1">
      <c r="A7" t="s">
        <v>93</v>
      </c>
      <c r="B7" t="s">
        <v>94</v>
      </c>
      <c r="C7">
        <v>6</v>
      </c>
      <c r="D7">
        <v>2</v>
      </c>
      <c r="E7">
        <v>1</v>
      </c>
      <c r="F7">
        <v>1</v>
      </c>
      <c r="G7" t="s">
        <v>115</v>
      </c>
      <c r="H7">
        <f>IFERROR(ROUND(COUNTIFS(Tasks!$A:$A,$A7,Tasks!$B:$B,$B7,Tasks!$C:$C,$G7,Tasks!$I:$I,"&lt;="&amp;INDEX(Weeks!$D:$D,MATCH($C7,Weeks!$A:$A,0)),Tasks!$I:$I,"&lt;&gt;")/COUNTIFS(Tasks!$A:$A,$A7,Tasks!$B:$B,$B7,Tasks!$C:$C,$G7)*100,0),"")</f>
        <v>100</v>
      </c>
    </row>
    <row r="8" spans="1:8" ht="15" hidden="1" customHeight="1">
      <c r="A8" t="s">
        <v>93</v>
      </c>
      <c r="B8" t="s">
        <v>94</v>
      </c>
      <c r="C8">
        <v>7</v>
      </c>
      <c r="D8">
        <v>2</v>
      </c>
      <c r="E8">
        <v>2</v>
      </c>
      <c r="F8">
        <v>1</v>
      </c>
      <c r="G8" t="s">
        <v>115</v>
      </c>
      <c r="H8">
        <f>IFERROR(ROUND(COUNTIFS(Tasks!$A:$A,$A8,Tasks!$B:$B,$B8,Tasks!$C:$C,$G8,Tasks!$I:$I,"&lt;="&amp;INDEX(Weeks!$D:$D,MATCH($C8,Weeks!$A:$A,0)),Tasks!$I:$I,"&lt;&gt;")/COUNTIFS(Tasks!$A:$A,$A8,Tasks!$B:$B,$B8,Tasks!$C:$C,$G8)*100,0),"")</f>
        <v>100</v>
      </c>
    </row>
    <row r="9" spans="1:8" ht="15" hidden="1" customHeight="1">
      <c r="A9" t="s">
        <v>93</v>
      </c>
      <c r="B9" t="s">
        <v>94</v>
      </c>
      <c r="C9">
        <v>8</v>
      </c>
      <c r="D9">
        <v>2</v>
      </c>
      <c r="E9">
        <v>3</v>
      </c>
      <c r="F9">
        <v>1</v>
      </c>
      <c r="G9" t="s">
        <v>115</v>
      </c>
      <c r="H9">
        <f>IFERROR(ROUND(COUNTIFS(Tasks!$A:$A,$A9,Tasks!$B:$B,$B9,Tasks!$C:$C,$G9,Tasks!$I:$I,"&lt;="&amp;INDEX(Weeks!$D:$D,MATCH($C9,Weeks!$A:$A,0)),Tasks!$I:$I,"&lt;&gt;")/COUNTIFS(Tasks!$A:$A,$A9,Tasks!$B:$B,$B9,Tasks!$C:$C,$G9)*100,0),"")</f>
        <v>100</v>
      </c>
    </row>
    <row r="10" spans="1:8" ht="15" hidden="1" customHeight="1">
      <c r="A10" t="s">
        <v>93</v>
      </c>
      <c r="B10" t="s">
        <v>94</v>
      </c>
      <c r="C10">
        <v>9</v>
      </c>
      <c r="D10">
        <v>2</v>
      </c>
      <c r="E10">
        <v>4</v>
      </c>
      <c r="F10">
        <v>1</v>
      </c>
      <c r="G10" t="s">
        <v>115</v>
      </c>
      <c r="H10">
        <f>IFERROR(ROUND(COUNTIFS(Tasks!$A:$A,$A10,Tasks!$B:$B,$B10,Tasks!$C:$C,$G10,Tasks!$I:$I,"&lt;="&amp;INDEX(Weeks!$D:$D,MATCH($C10,Weeks!$A:$A,0)),Tasks!$I:$I,"&lt;&gt;")/COUNTIFS(Tasks!$A:$A,$A10,Tasks!$B:$B,$B10,Tasks!$C:$C,$G10)*100,0),"")</f>
        <v>100</v>
      </c>
    </row>
    <row r="11" spans="1:8" ht="15" hidden="1" customHeight="1">
      <c r="A11" t="s">
        <v>93</v>
      </c>
      <c r="B11" t="s">
        <v>94</v>
      </c>
      <c r="C11">
        <v>10</v>
      </c>
      <c r="D11">
        <v>3</v>
      </c>
      <c r="E11">
        <v>1</v>
      </c>
      <c r="F11">
        <v>1</v>
      </c>
      <c r="G11" t="s">
        <v>115</v>
      </c>
      <c r="H11">
        <f>IFERROR(ROUND(COUNTIFS(Tasks!$A:$A,$A11,Tasks!$B:$B,$B11,Tasks!$C:$C,$G11,Tasks!$I:$I,"&lt;="&amp;INDEX(Weeks!$D:$D,MATCH($C11,Weeks!$A:$A,0)),Tasks!$I:$I,"&lt;&gt;")/COUNTIFS(Tasks!$A:$A,$A11,Tasks!$B:$B,$B11,Tasks!$C:$C,$G11)*100,0),"")</f>
        <v>100</v>
      </c>
    </row>
    <row r="12" spans="1:8" ht="15" hidden="1" customHeight="1">
      <c r="A12" t="s">
        <v>93</v>
      </c>
      <c r="B12" t="s">
        <v>94</v>
      </c>
      <c r="C12">
        <v>11</v>
      </c>
      <c r="D12">
        <v>3</v>
      </c>
      <c r="E12">
        <v>2</v>
      </c>
      <c r="F12">
        <v>1</v>
      </c>
      <c r="G12" t="s">
        <v>115</v>
      </c>
      <c r="H12">
        <f>IFERROR(ROUND(COUNTIFS(Tasks!$A:$A,$A12,Tasks!$B:$B,$B12,Tasks!$C:$C,$G12,Tasks!$I:$I,"&lt;="&amp;INDEX(Weeks!$D:$D,MATCH($C12,Weeks!$A:$A,0)),Tasks!$I:$I,"&lt;&gt;")/COUNTIFS(Tasks!$A:$A,$A12,Tasks!$B:$B,$B12,Tasks!$C:$C,$G12)*100,0),"")</f>
        <v>100</v>
      </c>
    </row>
    <row r="13" spans="1:8" ht="15" hidden="1" customHeight="1">
      <c r="A13" t="s">
        <v>93</v>
      </c>
      <c r="B13" t="s">
        <v>94</v>
      </c>
      <c r="C13">
        <v>12</v>
      </c>
      <c r="D13">
        <v>3</v>
      </c>
      <c r="E13">
        <v>3</v>
      </c>
      <c r="F13">
        <v>1</v>
      </c>
      <c r="G13" t="s">
        <v>115</v>
      </c>
      <c r="H13">
        <f>IFERROR(ROUND(COUNTIFS(Tasks!$A:$A,$A13,Tasks!$B:$B,$B13,Tasks!$C:$C,$G13,Tasks!$I:$I,"&lt;="&amp;INDEX(Weeks!$D:$D,MATCH($C13,Weeks!$A:$A,0)),Tasks!$I:$I,"&lt;&gt;")/COUNTIFS(Tasks!$A:$A,$A13,Tasks!$B:$B,$B13,Tasks!$C:$C,$G13)*100,0),"")</f>
        <v>100</v>
      </c>
    </row>
    <row r="14" spans="1:8" ht="15" hidden="1" customHeight="1">
      <c r="A14" t="s">
        <v>93</v>
      </c>
      <c r="B14" t="s">
        <v>94</v>
      </c>
      <c r="C14">
        <v>13</v>
      </c>
      <c r="D14">
        <v>3</v>
      </c>
      <c r="E14">
        <v>4</v>
      </c>
      <c r="F14">
        <v>1</v>
      </c>
      <c r="G14" t="s">
        <v>115</v>
      </c>
      <c r="H14">
        <f>IFERROR(ROUND(COUNTIFS(Tasks!$A:$A,$A14,Tasks!$B:$B,$B14,Tasks!$C:$C,$G14,Tasks!$I:$I,"&lt;="&amp;INDEX(Weeks!$D:$D,MATCH($C14,Weeks!$A:$A,0)),Tasks!$I:$I,"&lt;&gt;")/COUNTIFS(Tasks!$A:$A,$A14,Tasks!$B:$B,$B14,Tasks!$C:$C,$G14)*100,0),"")</f>
        <v>100</v>
      </c>
    </row>
    <row r="15" spans="1:8" ht="15" hidden="1" customHeight="1">
      <c r="A15" t="s">
        <v>93</v>
      </c>
      <c r="B15" t="s">
        <v>94</v>
      </c>
      <c r="C15">
        <v>14</v>
      </c>
      <c r="D15">
        <v>4</v>
      </c>
      <c r="E15">
        <v>1</v>
      </c>
      <c r="F15">
        <v>1</v>
      </c>
      <c r="G15" t="s">
        <v>115</v>
      </c>
      <c r="H15">
        <f>IFERROR(ROUND(COUNTIFS(Tasks!$A:$A,$A15,Tasks!$B:$B,$B15,Tasks!$C:$C,$G15,Tasks!$I:$I,"&lt;="&amp;INDEX(Weeks!$D:$D,MATCH($C15,Weeks!$A:$A,0)),Tasks!$I:$I,"&lt;&gt;")/COUNTIFS(Tasks!$A:$A,$A15,Tasks!$B:$B,$B15,Tasks!$C:$C,$G15)*100,0),"")</f>
        <v>100</v>
      </c>
    </row>
    <row r="16" spans="1:8" ht="15" hidden="1" customHeight="1">
      <c r="A16" t="s">
        <v>93</v>
      </c>
      <c r="B16" t="s">
        <v>94</v>
      </c>
      <c r="C16">
        <v>15</v>
      </c>
      <c r="D16">
        <v>4</v>
      </c>
      <c r="E16">
        <v>2</v>
      </c>
      <c r="F16">
        <v>1</v>
      </c>
      <c r="G16" t="s">
        <v>115</v>
      </c>
      <c r="H16">
        <f>IFERROR(ROUND(COUNTIFS(Tasks!$A:$A,$A16,Tasks!$B:$B,$B16,Tasks!$C:$C,$G16,Tasks!$I:$I,"&lt;="&amp;INDEX(Weeks!$D:$D,MATCH($C16,Weeks!$A:$A,0)),Tasks!$I:$I,"&lt;&gt;")/COUNTIFS(Tasks!$A:$A,$A16,Tasks!$B:$B,$B16,Tasks!$C:$C,$G16)*100,0),"")</f>
        <v>100</v>
      </c>
    </row>
    <row r="17" spans="1:8" ht="15" hidden="1" customHeight="1">
      <c r="A17" t="s">
        <v>93</v>
      </c>
      <c r="B17" t="s">
        <v>94</v>
      </c>
      <c r="C17">
        <v>16</v>
      </c>
      <c r="D17">
        <v>4</v>
      </c>
      <c r="E17">
        <v>3</v>
      </c>
      <c r="F17">
        <v>1</v>
      </c>
      <c r="G17" t="s">
        <v>115</v>
      </c>
      <c r="H17">
        <f>IFERROR(ROUND(COUNTIFS(Tasks!$A:$A,$A17,Tasks!$B:$B,$B17,Tasks!$C:$C,$G17,Tasks!$I:$I,"&lt;="&amp;INDEX(Weeks!$D:$D,MATCH($C17,Weeks!$A:$A,0)),Tasks!$I:$I,"&lt;&gt;")/COUNTIFS(Tasks!$A:$A,$A17,Tasks!$B:$B,$B17,Tasks!$C:$C,$G17)*100,0),"")</f>
        <v>100</v>
      </c>
    </row>
    <row r="18" spans="1:8" ht="15" hidden="1" customHeight="1">
      <c r="A18" t="s">
        <v>93</v>
      </c>
      <c r="B18" t="s">
        <v>94</v>
      </c>
      <c r="C18">
        <v>17</v>
      </c>
      <c r="D18">
        <v>4</v>
      </c>
      <c r="E18">
        <v>4</v>
      </c>
      <c r="F18">
        <v>1</v>
      </c>
      <c r="G18" t="s">
        <v>115</v>
      </c>
      <c r="H18">
        <f>IFERROR(ROUND(COUNTIFS(Tasks!$A:$A,$A18,Tasks!$B:$B,$B18,Tasks!$C:$C,$G18,Tasks!$I:$I,"&lt;="&amp;INDEX(Weeks!$D:$D,MATCH($C18,Weeks!$A:$A,0)),Tasks!$I:$I,"&lt;&gt;")/COUNTIFS(Tasks!$A:$A,$A18,Tasks!$B:$B,$B18,Tasks!$C:$C,$G18)*100,0),"")</f>
        <v>100</v>
      </c>
    </row>
    <row r="19" spans="1:8" ht="15" hidden="1" customHeight="1">
      <c r="A19" t="s">
        <v>93</v>
      </c>
      <c r="B19" t="s">
        <v>94</v>
      </c>
      <c r="C19">
        <v>18</v>
      </c>
      <c r="D19">
        <v>5</v>
      </c>
      <c r="E19">
        <v>1</v>
      </c>
      <c r="F19">
        <v>1</v>
      </c>
      <c r="G19" t="s">
        <v>115</v>
      </c>
      <c r="H19">
        <f>IFERROR(ROUND(COUNTIFS(Tasks!$A:$A,$A19,Tasks!$B:$B,$B19,Tasks!$C:$C,$G19,Tasks!$I:$I,"&lt;="&amp;INDEX(Weeks!$D:$D,MATCH($C19,Weeks!$A:$A,0)),Tasks!$I:$I,"&lt;&gt;")/COUNTIFS(Tasks!$A:$A,$A19,Tasks!$B:$B,$B19,Tasks!$C:$C,$G19)*100,0),"")</f>
        <v>100</v>
      </c>
    </row>
    <row r="20" spans="1:8" ht="15" hidden="1" customHeight="1">
      <c r="A20" t="s">
        <v>93</v>
      </c>
      <c r="B20" t="s">
        <v>94</v>
      </c>
      <c r="C20">
        <v>19</v>
      </c>
      <c r="D20">
        <v>5</v>
      </c>
      <c r="E20">
        <v>2</v>
      </c>
      <c r="F20">
        <v>1</v>
      </c>
      <c r="G20" t="s">
        <v>115</v>
      </c>
      <c r="H20">
        <f>IFERROR(ROUND(COUNTIFS(Tasks!$A:$A,$A20,Tasks!$B:$B,$B20,Tasks!$C:$C,$G20,Tasks!$I:$I,"&lt;="&amp;INDEX(Weeks!$D:$D,MATCH($C20,Weeks!$A:$A,0)),Tasks!$I:$I,"&lt;&gt;")/COUNTIFS(Tasks!$A:$A,$A20,Tasks!$B:$B,$B20,Tasks!$C:$C,$G20)*100,0),"")</f>
        <v>100</v>
      </c>
    </row>
    <row r="21" spans="1:8" ht="15" hidden="1" customHeight="1">
      <c r="A21" t="s">
        <v>93</v>
      </c>
      <c r="B21" t="s">
        <v>94</v>
      </c>
      <c r="C21">
        <v>20</v>
      </c>
      <c r="D21">
        <v>5</v>
      </c>
      <c r="E21">
        <v>3</v>
      </c>
      <c r="F21">
        <v>1</v>
      </c>
      <c r="G21" t="s">
        <v>115</v>
      </c>
      <c r="H21">
        <f>IFERROR(ROUND(COUNTIFS(Tasks!$A:$A,$A21,Tasks!$B:$B,$B21,Tasks!$C:$C,$G21,Tasks!$I:$I,"&lt;="&amp;INDEX(Weeks!$D:$D,MATCH($C21,Weeks!$A:$A,0)),Tasks!$I:$I,"&lt;&gt;")/COUNTIFS(Tasks!$A:$A,$A21,Tasks!$B:$B,$B21,Tasks!$C:$C,$G21)*100,0),"")</f>
        <v>100</v>
      </c>
    </row>
    <row r="22" spans="1:8" ht="15" hidden="1" customHeight="1">
      <c r="A22" t="s">
        <v>93</v>
      </c>
      <c r="B22" t="s">
        <v>94</v>
      </c>
      <c r="C22">
        <v>21</v>
      </c>
      <c r="D22">
        <v>5</v>
      </c>
      <c r="E22">
        <v>4</v>
      </c>
      <c r="F22">
        <v>1</v>
      </c>
      <c r="G22" t="s">
        <v>115</v>
      </c>
      <c r="H22">
        <f>IFERROR(ROUND(COUNTIFS(Tasks!$A:$A,$A22,Tasks!$B:$B,$B22,Tasks!$C:$C,$G22,Tasks!$I:$I,"&lt;="&amp;INDEX(Weeks!$D:$D,MATCH($C22,Weeks!$A:$A,0)),Tasks!$I:$I,"&lt;&gt;")/COUNTIFS(Tasks!$A:$A,$A22,Tasks!$B:$B,$B22,Tasks!$C:$C,$G22)*100,0),"")</f>
        <v>100</v>
      </c>
    </row>
    <row r="23" spans="1:8" ht="15" hidden="1" customHeight="1">
      <c r="A23" t="s">
        <v>93</v>
      </c>
      <c r="B23" t="s">
        <v>94</v>
      </c>
      <c r="C23">
        <v>22</v>
      </c>
      <c r="D23">
        <v>5</v>
      </c>
      <c r="E23">
        <v>5</v>
      </c>
      <c r="F23">
        <v>1</v>
      </c>
      <c r="G23" t="s">
        <v>115</v>
      </c>
      <c r="H23">
        <f>IFERROR(ROUND(COUNTIFS(Tasks!$A:$A,$A23,Tasks!$B:$B,$B23,Tasks!$C:$C,$G23,Tasks!$I:$I,"&lt;="&amp;INDEX(Weeks!$D:$D,MATCH($C23,Weeks!$A:$A,0)),Tasks!$I:$I,"&lt;&gt;")/COUNTIFS(Tasks!$A:$A,$A23,Tasks!$B:$B,$B23,Tasks!$C:$C,$G23)*100,0),"")</f>
        <v>100</v>
      </c>
    </row>
    <row r="24" spans="1:8" ht="15" hidden="1" customHeight="1">
      <c r="A24" t="s">
        <v>93</v>
      </c>
      <c r="B24" t="s">
        <v>94</v>
      </c>
      <c r="C24">
        <v>23</v>
      </c>
      <c r="D24">
        <v>6</v>
      </c>
      <c r="E24">
        <v>1</v>
      </c>
      <c r="F24">
        <v>1</v>
      </c>
      <c r="G24" t="s">
        <v>115</v>
      </c>
      <c r="H24">
        <f>IFERROR(ROUND(COUNTIFS(Tasks!$A:$A,$A24,Tasks!$B:$B,$B24,Tasks!$C:$C,$G24,Tasks!$I:$I,"&lt;="&amp;INDEX(Weeks!$D:$D,MATCH($C24,Weeks!$A:$A,0)),Tasks!$I:$I,"&lt;&gt;")/COUNTIFS(Tasks!$A:$A,$A24,Tasks!$B:$B,$B24,Tasks!$C:$C,$G24)*100,0),"")</f>
        <v>100</v>
      </c>
    </row>
    <row r="25" spans="1:8" ht="15" hidden="1" customHeight="1">
      <c r="A25" t="s">
        <v>93</v>
      </c>
      <c r="B25" t="s">
        <v>94</v>
      </c>
      <c r="C25">
        <v>24</v>
      </c>
      <c r="D25">
        <v>6</v>
      </c>
      <c r="E25">
        <v>2</v>
      </c>
      <c r="F25">
        <v>1</v>
      </c>
      <c r="G25" t="s">
        <v>115</v>
      </c>
      <c r="H25">
        <f>IFERROR(ROUND(COUNTIFS(Tasks!$A:$A,$A25,Tasks!$B:$B,$B25,Tasks!$C:$C,$G25,Tasks!$I:$I,"&lt;="&amp;INDEX(Weeks!$D:$D,MATCH($C25,Weeks!$A:$A,0)),Tasks!$I:$I,"&lt;&gt;")/COUNTIFS(Tasks!$A:$A,$A25,Tasks!$B:$B,$B25,Tasks!$C:$C,$G25)*100,0),"")</f>
        <v>100</v>
      </c>
    </row>
    <row r="26" spans="1:8" ht="15" hidden="1" customHeight="1">
      <c r="A26" t="s">
        <v>93</v>
      </c>
      <c r="B26" t="s">
        <v>94</v>
      </c>
      <c r="C26">
        <v>25</v>
      </c>
      <c r="D26">
        <v>6</v>
      </c>
      <c r="E26">
        <v>3</v>
      </c>
      <c r="F26">
        <v>1</v>
      </c>
      <c r="G26" t="s">
        <v>115</v>
      </c>
      <c r="H26">
        <f>IFERROR(ROUND(COUNTIFS(Tasks!$A:$A,$A26,Tasks!$B:$B,$B26,Tasks!$C:$C,$G26,Tasks!$I:$I,"&lt;="&amp;INDEX(Weeks!$D:$D,MATCH($C26,Weeks!$A:$A,0)),Tasks!$I:$I,"&lt;&gt;")/COUNTIFS(Tasks!$A:$A,$A26,Tasks!$B:$B,$B26,Tasks!$C:$C,$G26)*100,0),"")</f>
        <v>100</v>
      </c>
    </row>
    <row r="27" spans="1:8" ht="15" hidden="1" customHeight="1">
      <c r="A27" t="s">
        <v>93</v>
      </c>
      <c r="B27" t="s">
        <v>94</v>
      </c>
      <c r="C27">
        <v>26</v>
      </c>
      <c r="D27">
        <v>6</v>
      </c>
      <c r="E27">
        <v>4</v>
      </c>
      <c r="F27">
        <v>1</v>
      </c>
      <c r="G27" t="s">
        <v>115</v>
      </c>
      <c r="H27">
        <f>IFERROR(ROUND(COUNTIFS(Tasks!$A:$A,$A27,Tasks!$B:$B,$B27,Tasks!$C:$C,$G27,Tasks!$I:$I,"&lt;="&amp;INDEX(Weeks!$D:$D,MATCH($C27,Weeks!$A:$A,0)),Tasks!$I:$I,"&lt;&gt;")/COUNTIFS(Tasks!$A:$A,$A27,Tasks!$B:$B,$B27,Tasks!$C:$C,$G27)*100,0),"")</f>
        <v>100</v>
      </c>
    </row>
    <row r="28" spans="1:8" ht="15" hidden="1" customHeight="1">
      <c r="A28" t="s">
        <v>93</v>
      </c>
      <c r="B28" t="s">
        <v>94</v>
      </c>
      <c r="C28">
        <v>27</v>
      </c>
      <c r="D28">
        <v>7</v>
      </c>
      <c r="E28">
        <v>1</v>
      </c>
      <c r="F28">
        <v>1</v>
      </c>
      <c r="G28" t="s">
        <v>115</v>
      </c>
      <c r="H28">
        <f>IFERROR(ROUND(COUNTIFS(Tasks!$A:$A,$A28,Tasks!$B:$B,$B28,Tasks!$C:$C,$G28,Tasks!$I:$I,"&lt;="&amp;INDEX(Weeks!$D:$D,MATCH($C28,Weeks!$A:$A,0)),Tasks!$I:$I,"&lt;&gt;")/COUNTIFS(Tasks!$A:$A,$A28,Tasks!$B:$B,$B28,Tasks!$C:$C,$G28)*100,0),"")</f>
        <v>100</v>
      </c>
    </row>
    <row r="29" spans="1:8" ht="15" hidden="1" customHeight="1">
      <c r="A29" t="s">
        <v>93</v>
      </c>
      <c r="B29" t="s">
        <v>94</v>
      </c>
      <c r="C29">
        <v>28</v>
      </c>
      <c r="D29">
        <v>7</v>
      </c>
      <c r="E29">
        <v>2</v>
      </c>
      <c r="F29">
        <v>1</v>
      </c>
      <c r="G29" t="s">
        <v>115</v>
      </c>
      <c r="H29">
        <f>IFERROR(ROUND(COUNTIFS(Tasks!$A:$A,$A29,Tasks!$B:$B,$B29,Tasks!$C:$C,$G29,Tasks!$I:$I,"&lt;="&amp;INDEX(Weeks!$D:$D,MATCH($C29,Weeks!$A:$A,0)),Tasks!$I:$I,"&lt;&gt;")/COUNTIFS(Tasks!$A:$A,$A29,Tasks!$B:$B,$B29,Tasks!$C:$C,$G29)*100,0),"")</f>
        <v>100</v>
      </c>
    </row>
    <row r="30" spans="1:8" ht="15" hidden="1" customHeight="1">
      <c r="A30" t="s">
        <v>93</v>
      </c>
      <c r="B30" t="s">
        <v>94</v>
      </c>
      <c r="C30">
        <v>29</v>
      </c>
      <c r="D30">
        <v>7</v>
      </c>
      <c r="E30">
        <v>3</v>
      </c>
      <c r="F30">
        <v>1</v>
      </c>
      <c r="G30" t="s">
        <v>115</v>
      </c>
      <c r="H30">
        <f>IFERROR(ROUND(COUNTIFS(Tasks!$A:$A,$A30,Tasks!$B:$B,$B30,Tasks!$C:$C,$G30,Tasks!$I:$I,"&lt;="&amp;INDEX(Weeks!$D:$D,MATCH($C30,Weeks!$A:$A,0)),Tasks!$I:$I,"&lt;&gt;")/COUNTIFS(Tasks!$A:$A,$A30,Tasks!$B:$B,$B30,Tasks!$C:$C,$G30)*100,0),"")</f>
        <v>100</v>
      </c>
    </row>
    <row r="31" spans="1:8" ht="15" hidden="1" customHeight="1">
      <c r="A31" t="s">
        <v>93</v>
      </c>
      <c r="B31" t="s">
        <v>94</v>
      </c>
      <c r="C31">
        <v>30</v>
      </c>
      <c r="D31">
        <v>7</v>
      </c>
      <c r="E31">
        <v>4</v>
      </c>
      <c r="F31">
        <v>1</v>
      </c>
      <c r="G31" t="s">
        <v>115</v>
      </c>
      <c r="H31">
        <f>IFERROR(ROUND(COUNTIFS(Tasks!$A:$A,$A31,Tasks!$B:$B,$B31,Tasks!$C:$C,$G31,Tasks!$I:$I,"&lt;="&amp;INDEX(Weeks!$D:$D,MATCH($C31,Weeks!$A:$A,0)),Tasks!$I:$I,"&lt;&gt;")/COUNTIFS(Tasks!$A:$A,$A31,Tasks!$B:$B,$B31,Tasks!$C:$C,$G31)*100,0),"")</f>
        <v>100</v>
      </c>
    </row>
    <row r="32" spans="1:8" ht="15" hidden="1" customHeight="1">
      <c r="A32" t="s">
        <v>93</v>
      </c>
      <c r="B32" t="s">
        <v>94</v>
      </c>
      <c r="C32">
        <v>31</v>
      </c>
      <c r="D32">
        <v>8</v>
      </c>
      <c r="E32">
        <v>1</v>
      </c>
      <c r="F32">
        <v>1</v>
      </c>
      <c r="G32" t="s">
        <v>115</v>
      </c>
      <c r="H32">
        <f>IFERROR(ROUND(COUNTIFS(Tasks!$A:$A,$A32,Tasks!$B:$B,$B32,Tasks!$C:$C,$G32,Tasks!$I:$I,"&lt;="&amp;INDEX(Weeks!$D:$D,MATCH($C32,Weeks!$A:$A,0)),Tasks!$I:$I,"&lt;&gt;")/COUNTIFS(Tasks!$A:$A,$A32,Tasks!$B:$B,$B32,Tasks!$C:$C,$G32)*100,0),"")</f>
        <v>100</v>
      </c>
    </row>
    <row r="33" spans="1:8" ht="15" hidden="1" customHeight="1">
      <c r="A33" t="s">
        <v>93</v>
      </c>
      <c r="B33" t="s">
        <v>94</v>
      </c>
      <c r="C33">
        <v>32</v>
      </c>
      <c r="D33">
        <v>8</v>
      </c>
      <c r="E33">
        <v>2</v>
      </c>
      <c r="F33">
        <v>1</v>
      </c>
      <c r="G33" t="s">
        <v>115</v>
      </c>
      <c r="H33">
        <f>IFERROR(ROUND(COUNTIFS(Tasks!$A:$A,$A33,Tasks!$B:$B,$B33,Tasks!$C:$C,$G33,Tasks!$I:$I,"&lt;="&amp;INDEX(Weeks!$D:$D,MATCH($C33,Weeks!$A:$A,0)),Tasks!$I:$I,"&lt;&gt;")/COUNTIFS(Tasks!$A:$A,$A33,Tasks!$B:$B,$B33,Tasks!$C:$C,$G33)*100,0),"")</f>
        <v>100</v>
      </c>
    </row>
    <row r="34" spans="1:8" ht="15" hidden="1" customHeight="1">
      <c r="A34" t="s">
        <v>93</v>
      </c>
      <c r="B34" t="s">
        <v>94</v>
      </c>
      <c r="C34">
        <v>33</v>
      </c>
      <c r="D34">
        <v>8</v>
      </c>
      <c r="E34">
        <v>3</v>
      </c>
      <c r="F34">
        <v>1</v>
      </c>
      <c r="G34" t="s">
        <v>115</v>
      </c>
      <c r="H34">
        <f>IFERROR(ROUND(COUNTIFS(Tasks!$A:$A,$A34,Tasks!$B:$B,$B34,Tasks!$C:$C,$G34,Tasks!$I:$I,"&lt;="&amp;INDEX(Weeks!$D:$D,MATCH($C34,Weeks!$A:$A,0)),Tasks!$I:$I,"&lt;&gt;")/COUNTIFS(Tasks!$A:$A,$A34,Tasks!$B:$B,$B34,Tasks!$C:$C,$G34)*100,0),"")</f>
        <v>100</v>
      </c>
    </row>
    <row r="35" spans="1:8" ht="15" hidden="1" customHeight="1">
      <c r="A35" t="s">
        <v>93</v>
      </c>
      <c r="B35" t="s">
        <v>94</v>
      </c>
      <c r="C35">
        <v>34</v>
      </c>
      <c r="D35">
        <v>8</v>
      </c>
      <c r="E35">
        <v>4</v>
      </c>
      <c r="F35">
        <v>1</v>
      </c>
      <c r="G35" t="s">
        <v>115</v>
      </c>
      <c r="H35">
        <f>IFERROR(ROUND(COUNTIFS(Tasks!$A:$A,$A35,Tasks!$B:$B,$B35,Tasks!$C:$C,$G35,Tasks!$I:$I,"&lt;="&amp;INDEX(Weeks!$D:$D,MATCH($C35,Weeks!$A:$A,0)),Tasks!$I:$I,"&lt;&gt;")/COUNTIFS(Tasks!$A:$A,$A35,Tasks!$B:$B,$B35,Tasks!$C:$C,$G35)*100,0),"")</f>
        <v>100</v>
      </c>
    </row>
    <row r="36" spans="1:8" ht="15" hidden="1" customHeight="1">
      <c r="A36" t="s">
        <v>93</v>
      </c>
      <c r="B36" t="s">
        <v>94</v>
      </c>
      <c r="C36">
        <v>35</v>
      </c>
      <c r="D36">
        <v>8</v>
      </c>
      <c r="E36">
        <v>5</v>
      </c>
      <c r="F36">
        <v>1</v>
      </c>
      <c r="G36" t="s">
        <v>115</v>
      </c>
      <c r="H36">
        <f>IFERROR(ROUND(COUNTIFS(Tasks!$A:$A,$A36,Tasks!$B:$B,$B36,Tasks!$C:$C,$G36,Tasks!$I:$I,"&lt;="&amp;INDEX(Weeks!$D:$D,MATCH($C36,Weeks!$A:$A,0)),Tasks!$I:$I,"&lt;&gt;")/COUNTIFS(Tasks!$A:$A,$A36,Tasks!$B:$B,$B36,Tasks!$C:$C,$G36)*100,0),"")</f>
        <v>100</v>
      </c>
    </row>
    <row r="37" spans="1:8" ht="15" hidden="1" customHeight="1">
      <c r="A37" t="s">
        <v>93</v>
      </c>
      <c r="B37" t="s">
        <v>94</v>
      </c>
      <c r="C37">
        <v>36</v>
      </c>
      <c r="D37">
        <v>9</v>
      </c>
      <c r="E37">
        <v>1</v>
      </c>
      <c r="F37">
        <v>1</v>
      </c>
      <c r="G37" t="s">
        <v>115</v>
      </c>
      <c r="H37">
        <f>IFERROR(ROUND(COUNTIFS(Tasks!$A:$A,$A37,Tasks!$B:$B,$B37,Tasks!$C:$C,$G37,Tasks!$I:$I,"&lt;="&amp;INDEX(Weeks!$D:$D,MATCH($C37,Weeks!$A:$A,0)),Tasks!$I:$I,"&lt;&gt;")/COUNTIFS(Tasks!$A:$A,$A37,Tasks!$B:$B,$B37,Tasks!$C:$C,$G37)*100,0),"")</f>
        <v>100</v>
      </c>
    </row>
    <row r="38" spans="1:8" ht="15" hidden="1" customHeight="1">
      <c r="A38" t="s">
        <v>93</v>
      </c>
      <c r="B38" t="s">
        <v>94</v>
      </c>
      <c r="C38">
        <v>37</v>
      </c>
      <c r="D38">
        <v>9</v>
      </c>
      <c r="E38">
        <v>2</v>
      </c>
      <c r="F38">
        <v>1</v>
      </c>
      <c r="G38" t="s">
        <v>115</v>
      </c>
      <c r="H38">
        <f>IFERROR(ROUND(COUNTIFS(Tasks!$A:$A,$A38,Tasks!$B:$B,$B38,Tasks!$C:$C,$G38,Tasks!$I:$I,"&lt;="&amp;INDEX(Weeks!$D:$D,MATCH($C38,Weeks!$A:$A,0)),Tasks!$I:$I,"&lt;&gt;")/COUNTIFS(Tasks!$A:$A,$A38,Tasks!$B:$B,$B38,Tasks!$C:$C,$G38)*100,0),"")</f>
        <v>100</v>
      </c>
    </row>
    <row r="39" spans="1:8" ht="15" hidden="1" customHeight="1">
      <c r="A39" t="s">
        <v>93</v>
      </c>
      <c r="B39" t="s">
        <v>94</v>
      </c>
      <c r="C39">
        <v>38</v>
      </c>
      <c r="D39">
        <v>9</v>
      </c>
      <c r="E39">
        <v>3</v>
      </c>
      <c r="F39">
        <v>1</v>
      </c>
      <c r="G39" t="s">
        <v>115</v>
      </c>
      <c r="H39">
        <f>IFERROR(ROUND(COUNTIFS(Tasks!$A:$A,$A39,Tasks!$B:$B,$B39,Tasks!$C:$C,$G39,Tasks!$I:$I,"&lt;="&amp;INDEX(Weeks!$D:$D,MATCH($C39,Weeks!$A:$A,0)),Tasks!$I:$I,"&lt;&gt;")/COUNTIFS(Tasks!$A:$A,$A39,Tasks!$B:$B,$B39,Tasks!$C:$C,$G39)*100,0),"")</f>
        <v>100</v>
      </c>
    </row>
    <row r="40" spans="1:8" ht="15" hidden="1" customHeight="1">
      <c r="A40" t="s">
        <v>93</v>
      </c>
      <c r="B40" t="s">
        <v>94</v>
      </c>
      <c r="C40">
        <v>39</v>
      </c>
      <c r="D40">
        <v>9</v>
      </c>
      <c r="E40">
        <v>4</v>
      </c>
      <c r="F40">
        <v>1</v>
      </c>
      <c r="G40" t="s">
        <v>115</v>
      </c>
      <c r="H40">
        <f>IFERROR(ROUND(COUNTIFS(Tasks!$A:$A,$A40,Tasks!$B:$B,$B40,Tasks!$C:$C,$G40,Tasks!$I:$I,"&lt;="&amp;INDEX(Weeks!$D:$D,MATCH($C40,Weeks!$A:$A,0)),Tasks!$I:$I,"&lt;&gt;")/COUNTIFS(Tasks!$A:$A,$A40,Tasks!$B:$B,$B40,Tasks!$C:$C,$G40)*100,0),"")</f>
        <v>100</v>
      </c>
    </row>
    <row r="41" spans="1:8" ht="15" hidden="1" customHeight="1">
      <c r="A41" t="s">
        <v>93</v>
      </c>
      <c r="B41" t="s">
        <v>94</v>
      </c>
      <c r="C41">
        <v>40</v>
      </c>
      <c r="D41">
        <v>10</v>
      </c>
      <c r="E41">
        <v>1</v>
      </c>
      <c r="F41">
        <v>1</v>
      </c>
      <c r="G41" t="s">
        <v>115</v>
      </c>
      <c r="H41">
        <f>IFERROR(ROUND(COUNTIFS(Tasks!$A:$A,$A41,Tasks!$B:$B,$B41,Tasks!$C:$C,$G41,Tasks!$I:$I,"&lt;="&amp;INDEX(Weeks!$D:$D,MATCH($C41,Weeks!$A:$A,0)),Tasks!$I:$I,"&lt;&gt;")/COUNTIFS(Tasks!$A:$A,$A41,Tasks!$B:$B,$B41,Tasks!$C:$C,$G41)*100,0),"")</f>
        <v>100</v>
      </c>
    </row>
    <row r="42" spans="1:8" ht="15" hidden="1" customHeight="1">
      <c r="A42" t="s">
        <v>93</v>
      </c>
      <c r="B42" t="s">
        <v>94</v>
      </c>
      <c r="C42">
        <v>41</v>
      </c>
      <c r="D42">
        <v>10</v>
      </c>
      <c r="E42">
        <v>2</v>
      </c>
      <c r="F42">
        <v>1</v>
      </c>
      <c r="G42" t="s">
        <v>115</v>
      </c>
      <c r="H42">
        <f>IFERROR(ROUND(COUNTIFS(Tasks!$A:$A,$A42,Tasks!$B:$B,$B42,Tasks!$C:$C,$G42,Tasks!$I:$I,"&lt;="&amp;INDEX(Weeks!$D:$D,MATCH($C42,Weeks!$A:$A,0)),Tasks!$I:$I,"&lt;&gt;")/COUNTIFS(Tasks!$A:$A,$A42,Tasks!$B:$B,$B42,Tasks!$C:$C,$G42)*100,0),"")</f>
        <v>100</v>
      </c>
    </row>
    <row r="43" spans="1:8" ht="15" hidden="1" customHeight="1">
      <c r="A43" t="s">
        <v>93</v>
      </c>
      <c r="B43" t="s">
        <v>94</v>
      </c>
      <c r="C43">
        <v>42</v>
      </c>
      <c r="D43">
        <v>10</v>
      </c>
      <c r="E43">
        <v>3</v>
      </c>
      <c r="F43">
        <v>1</v>
      </c>
      <c r="G43" t="s">
        <v>115</v>
      </c>
      <c r="H43">
        <f>IFERROR(ROUND(COUNTIFS(Tasks!$A:$A,$A43,Tasks!$B:$B,$B43,Tasks!$C:$C,$G43,Tasks!$I:$I,"&lt;="&amp;INDEX(Weeks!$D:$D,MATCH($C43,Weeks!$A:$A,0)),Tasks!$I:$I,"&lt;&gt;")/COUNTIFS(Tasks!$A:$A,$A43,Tasks!$B:$B,$B43,Tasks!$C:$C,$G43)*100,0),"")</f>
        <v>100</v>
      </c>
    </row>
    <row r="44" spans="1:8" ht="15" hidden="1" customHeight="1">
      <c r="A44" t="s">
        <v>93</v>
      </c>
      <c r="B44" t="s">
        <v>94</v>
      </c>
      <c r="C44">
        <v>43</v>
      </c>
      <c r="D44">
        <v>10</v>
      </c>
      <c r="E44">
        <v>4</v>
      </c>
      <c r="F44">
        <v>1</v>
      </c>
      <c r="G44" t="s">
        <v>115</v>
      </c>
      <c r="H44">
        <f>IFERROR(ROUND(COUNTIFS(Tasks!$A:$A,$A44,Tasks!$B:$B,$B44,Tasks!$C:$C,$G44,Tasks!$I:$I,"&lt;="&amp;INDEX(Weeks!$D:$D,MATCH($C44,Weeks!$A:$A,0)),Tasks!$I:$I,"&lt;&gt;")/COUNTIFS(Tasks!$A:$A,$A44,Tasks!$B:$B,$B44,Tasks!$C:$C,$G44)*100,0),"")</f>
        <v>100</v>
      </c>
    </row>
    <row r="45" spans="1:8" ht="15" hidden="1" customHeight="1">
      <c r="A45" t="s">
        <v>93</v>
      </c>
      <c r="B45" t="s">
        <v>94</v>
      </c>
      <c r="C45">
        <v>44</v>
      </c>
      <c r="D45">
        <v>10</v>
      </c>
      <c r="E45">
        <v>5</v>
      </c>
      <c r="F45">
        <v>1</v>
      </c>
      <c r="G45" t="s">
        <v>115</v>
      </c>
      <c r="H45">
        <f>IFERROR(ROUND(COUNTIFS(Tasks!$A:$A,$A45,Tasks!$B:$B,$B45,Tasks!$C:$C,$G45,Tasks!$I:$I,"&lt;="&amp;INDEX(Weeks!$D:$D,MATCH($C45,Weeks!$A:$A,0)),Tasks!$I:$I,"&lt;&gt;")/COUNTIFS(Tasks!$A:$A,$A45,Tasks!$B:$B,$B45,Tasks!$C:$C,$G45)*100,0),"")</f>
        <v>100</v>
      </c>
    </row>
    <row r="46" spans="1:8" ht="15" hidden="1" customHeight="1">
      <c r="A46" t="s">
        <v>93</v>
      </c>
      <c r="B46" t="s">
        <v>94</v>
      </c>
      <c r="C46">
        <v>45</v>
      </c>
      <c r="D46">
        <v>11</v>
      </c>
      <c r="E46">
        <v>1</v>
      </c>
      <c r="F46">
        <v>1</v>
      </c>
      <c r="G46" t="s">
        <v>115</v>
      </c>
      <c r="H46">
        <f>IFERROR(ROUND(COUNTIFS(Tasks!$A:$A,$A46,Tasks!$B:$B,$B46,Tasks!$C:$C,$G46,Tasks!$I:$I,"&lt;="&amp;INDEX(Weeks!$D:$D,MATCH($C46,Weeks!$A:$A,0)),Tasks!$I:$I,"&lt;&gt;")/COUNTIFS(Tasks!$A:$A,$A46,Tasks!$B:$B,$B46,Tasks!$C:$C,$G46)*100,0),"")</f>
        <v>100</v>
      </c>
    </row>
    <row r="47" spans="1:8" ht="15" hidden="1" customHeight="1">
      <c r="A47" t="s">
        <v>93</v>
      </c>
      <c r="B47" t="s">
        <v>94</v>
      </c>
      <c r="C47">
        <v>46</v>
      </c>
      <c r="D47">
        <v>11</v>
      </c>
      <c r="E47">
        <v>2</v>
      </c>
      <c r="F47">
        <v>1</v>
      </c>
      <c r="G47" t="s">
        <v>115</v>
      </c>
      <c r="H47">
        <f>IFERROR(ROUND(COUNTIFS(Tasks!$A:$A,$A47,Tasks!$B:$B,$B47,Tasks!$C:$C,$G47,Tasks!$I:$I,"&lt;="&amp;INDEX(Weeks!$D:$D,MATCH($C47,Weeks!$A:$A,0)),Tasks!$I:$I,"&lt;&gt;")/COUNTIFS(Tasks!$A:$A,$A47,Tasks!$B:$B,$B47,Tasks!$C:$C,$G47)*100,0),"")</f>
        <v>100</v>
      </c>
    </row>
    <row r="48" spans="1:8" ht="15" hidden="1" customHeight="1">
      <c r="A48" t="s">
        <v>93</v>
      </c>
      <c r="B48" t="s">
        <v>94</v>
      </c>
      <c r="C48">
        <v>47</v>
      </c>
      <c r="D48">
        <v>11</v>
      </c>
      <c r="E48">
        <v>3</v>
      </c>
      <c r="F48">
        <v>1</v>
      </c>
      <c r="G48" t="s">
        <v>115</v>
      </c>
      <c r="H48">
        <f>IFERROR(ROUND(COUNTIFS(Tasks!$A:$A,$A48,Tasks!$B:$B,$B48,Tasks!$C:$C,$G48,Tasks!$I:$I,"&lt;="&amp;INDEX(Weeks!$D:$D,MATCH($C48,Weeks!$A:$A,0)),Tasks!$I:$I,"&lt;&gt;")/COUNTIFS(Tasks!$A:$A,$A48,Tasks!$B:$B,$B48,Tasks!$C:$C,$G48)*100,0),"")</f>
        <v>100</v>
      </c>
    </row>
    <row r="49" spans="1:8" ht="15" hidden="1" customHeight="1">
      <c r="A49" t="s">
        <v>93</v>
      </c>
      <c r="B49" t="s">
        <v>94</v>
      </c>
      <c r="C49">
        <v>48</v>
      </c>
      <c r="D49">
        <v>11</v>
      </c>
      <c r="E49">
        <v>4</v>
      </c>
      <c r="F49">
        <v>1</v>
      </c>
      <c r="G49" t="s">
        <v>115</v>
      </c>
      <c r="H49">
        <f>IFERROR(ROUND(COUNTIFS(Tasks!$A:$A,$A49,Tasks!$B:$B,$B49,Tasks!$C:$C,$G49,Tasks!$I:$I,"&lt;="&amp;INDEX(Weeks!$D:$D,MATCH($C49,Weeks!$A:$A,0)),Tasks!$I:$I,"&lt;&gt;")/COUNTIFS(Tasks!$A:$A,$A49,Tasks!$B:$B,$B49,Tasks!$C:$C,$G49)*100,0),"")</f>
        <v>100</v>
      </c>
    </row>
    <row r="50" spans="1:8" ht="15" hidden="1" customHeight="1">
      <c r="A50" t="s">
        <v>93</v>
      </c>
      <c r="B50" t="s">
        <v>94</v>
      </c>
      <c r="C50">
        <v>49</v>
      </c>
      <c r="D50">
        <v>12</v>
      </c>
      <c r="E50">
        <v>1</v>
      </c>
      <c r="F50">
        <v>1</v>
      </c>
      <c r="G50" t="s">
        <v>115</v>
      </c>
      <c r="H50">
        <f>IFERROR(ROUND(COUNTIFS(Tasks!$A:$A,$A50,Tasks!$B:$B,$B50,Tasks!$C:$C,$G50,Tasks!$I:$I,"&lt;="&amp;INDEX(Weeks!$D:$D,MATCH($C50,Weeks!$A:$A,0)),Tasks!$I:$I,"&lt;&gt;")/COUNTIFS(Tasks!$A:$A,$A50,Tasks!$B:$B,$B50,Tasks!$C:$C,$G50)*100,0),"")</f>
        <v>100</v>
      </c>
    </row>
    <row r="51" spans="1:8" ht="15" hidden="1" customHeight="1">
      <c r="A51" t="s">
        <v>93</v>
      </c>
      <c r="B51" t="s">
        <v>94</v>
      </c>
      <c r="C51">
        <v>50</v>
      </c>
      <c r="D51">
        <v>12</v>
      </c>
      <c r="E51">
        <v>2</v>
      </c>
      <c r="F51">
        <v>1</v>
      </c>
      <c r="G51" t="s">
        <v>115</v>
      </c>
      <c r="H51">
        <f>IFERROR(ROUND(COUNTIFS(Tasks!$A:$A,$A51,Tasks!$B:$B,$B51,Tasks!$C:$C,$G51,Tasks!$I:$I,"&lt;="&amp;INDEX(Weeks!$D:$D,MATCH($C51,Weeks!$A:$A,0)),Tasks!$I:$I,"&lt;&gt;")/COUNTIFS(Tasks!$A:$A,$A51,Tasks!$B:$B,$B51,Tasks!$C:$C,$G51)*100,0),"")</f>
        <v>100</v>
      </c>
    </row>
    <row r="52" spans="1:8" ht="15" hidden="1" customHeight="1">
      <c r="A52" t="s">
        <v>93</v>
      </c>
      <c r="B52" t="s">
        <v>94</v>
      </c>
      <c r="C52">
        <v>51</v>
      </c>
      <c r="D52">
        <v>12</v>
      </c>
      <c r="E52">
        <v>3</v>
      </c>
      <c r="F52">
        <v>1</v>
      </c>
      <c r="G52" t="s">
        <v>115</v>
      </c>
      <c r="H52">
        <f>IFERROR(ROUND(COUNTIFS(Tasks!$A:$A,$A52,Tasks!$B:$B,$B52,Tasks!$C:$C,$G52,Tasks!$I:$I,"&lt;="&amp;INDEX(Weeks!$D:$D,MATCH($C52,Weeks!$A:$A,0)),Tasks!$I:$I,"&lt;&gt;")/COUNTIFS(Tasks!$A:$A,$A52,Tasks!$B:$B,$B52,Tasks!$C:$C,$G52)*100,0),"")</f>
        <v>100</v>
      </c>
    </row>
    <row r="53" spans="1:8" ht="15" hidden="1" customHeight="1">
      <c r="A53" t="s">
        <v>93</v>
      </c>
      <c r="B53" t="s">
        <v>94</v>
      </c>
      <c r="C53">
        <v>52</v>
      </c>
      <c r="D53">
        <v>12</v>
      </c>
      <c r="E53">
        <v>4</v>
      </c>
      <c r="F53">
        <v>1</v>
      </c>
      <c r="G53" t="s">
        <v>115</v>
      </c>
      <c r="H53">
        <f>IFERROR(ROUND(COUNTIFS(Tasks!$A:$A,$A53,Tasks!$B:$B,$B53,Tasks!$C:$C,$G53,Tasks!$I:$I,"&lt;="&amp;INDEX(Weeks!$D:$D,MATCH($C53,Weeks!$A:$A,0)),Tasks!$I:$I,"&lt;&gt;")/COUNTIFS(Tasks!$A:$A,$A53,Tasks!$B:$B,$B53,Tasks!$C:$C,$G53)*100,0),"")</f>
        <v>100</v>
      </c>
    </row>
    <row r="54" spans="1:8" ht="15" hidden="1" customHeight="1">
      <c r="A54" t="s">
        <v>93</v>
      </c>
      <c r="B54" t="s">
        <v>94</v>
      </c>
      <c r="C54">
        <v>1</v>
      </c>
      <c r="D54">
        <v>1</v>
      </c>
      <c r="E54">
        <v>1</v>
      </c>
      <c r="F54">
        <v>2</v>
      </c>
      <c r="G54" t="s">
        <v>116</v>
      </c>
      <c r="H54">
        <f>IFERROR(ROUND(COUNTIFS(Tasks!$A:$A,$A54,Tasks!$B:$B,$B54,Tasks!$C:$C,$G54,Tasks!$I:$I,"&lt;="&amp;INDEX(Weeks!$D:$D,MATCH($C54,Weeks!$A:$A,0)),Tasks!$I:$I,"&lt;&gt;")/COUNTIFS(Tasks!$A:$A,$A54,Tasks!$B:$B,$B54,Tasks!$C:$C,$G54)*100,0),"")</f>
        <v>0</v>
      </c>
    </row>
    <row r="55" spans="1:8" ht="15" hidden="1" customHeight="1">
      <c r="A55" t="s">
        <v>93</v>
      </c>
      <c r="B55" t="s">
        <v>94</v>
      </c>
      <c r="C55">
        <v>2</v>
      </c>
      <c r="D55">
        <v>1</v>
      </c>
      <c r="E55">
        <v>2</v>
      </c>
      <c r="F55">
        <v>2</v>
      </c>
      <c r="G55" t="s">
        <v>116</v>
      </c>
      <c r="H55">
        <f>IFERROR(ROUND(COUNTIFS(Tasks!$A:$A,$A55,Tasks!$B:$B,$B55,Tasks!$C:$C,$G55,Tasks!$I:$I,"&lt;="&amp;INDEX(Weeks!$D:$D,MATCH($C55,Weeks!$A:$A,0)),Tasks!$I:$I,"&lt;&gt;")/COUNTIFS(Tasks!$A:$A,$A55,Tasks!$B:$B,$B55,Tasks!$C:$C,$G55)*100,0),"")</f>
        <v>0</v>
      </c>
    </row>
    <row r="56" spans="1:8" ht="15" hidden="1" customHeight="1">
      <c r="A56" t="s">
        <v>93</v>
      </c>
      <c r="B56" t="s">
        <v>94</v>
      </c>
      <c r="C56">
        <v>3</v>
      </c>
      <c r="D56">
        <v>1</v>
      </c>
      <c r="E56">
        <v>3</v>
      </c>
      <c r="F56">
        <v>2</v>
      </c>
      <c r="G56" t="s">
        <v>116</v>
      </c>
      <c r="H56">
        <f>IFERROR(ROUND(COUNTIFS(Tasks!$A:$A,$A56,Tasks!$B:$B,$B56,Tasks!$C:$C,$G56,Tasks!$I:$I,"&lt;="&amp;INDEX(Weeks!$D:$D,MATCH($C56,Weeks!$A:$A,0)),Tasks!$I:$I,"&lt;&gt;")/COUNTIFS(Tasks!$A:$A,$A56,Tasks!$B:$B,$B56,Tasks!$C:$C,$G56)*100,0),"")</f>
        <v>100</v>
      </c>
    </row>
    <row r="57" spans="1:8" ht="15" hidden="1" customHeight="1">
      <c r="A57" t="s">
        <v>93</v>
      </c>
      <c r="B57" t="s">
        <v>94</v>
      </c>
      <c r="C57">
        <v>4</v>
      </c>
      <c r="D57">
        <v>1</v>
      </c>
      <c r="E57">
        <v>4</v>
      </c>
      <c r="F57">
        <v>2</v>
      </c>
      <c r="G57" t="s">
        <v>116</v>
      </c>
      <c r="H57">
        <f>IFERROR(ROUND(COUNTIFS(Tasks!$A:$A,$A57,Tasks!$B:$B,$B57,Tasks!$C:$C,$G57,Tasks!$I:$I,"&lt;="&amp;INDEX(Weeks!$D:$D,MATCH($C57,Weeks!$A:$A,0)),Tasks!$I:$I,"&lt;&gt;")/COUNTIFS(Tasks!$A:$A,$A57,Tasks!$B:$B,$B57,Tasks!$C:$C,$G57)*100,0),"")</f>
        <v>100</v>
      </c>
    </row>
    <row r="58" spans="1:8" ht="15" hidden="1" customHeight="1">
      <c r="A58" t="s">
        <v>93</v>
      </c>
      <c r="B58" t="s">
        <v>94</v>
      </c>
      <c r="C58">
        <v>5</v>
      </c>
      <c r="D58">
        <v>1</v>
      </c>
      <c r="E58">
        <v>5</v>
      </c>
      <c r="F58">
        <v>2</v>
      </c>
      <c r="G58" t="s">
        <v>116</v>
      </c>
      <c r="H58">
        <f>IFERROR(ROUND(COUNTIFS(Tasks!$A:$A,$A58,Tasks!$B:$B,$B58,Tasks!$C:$C,$G58,Tasks!$I:$I,"&lt;="&amp;INDEX(Weeks!$D:$D,MATCH($C58,Weeks!$A:$A,0)),Tasks!$I:$I,"&lt;&gt;")/COUNTIFS(Tasks!$A:$A,$A58,Tasks!$B:$B,$B58,Tasks!$C:$C,$G58)*100,0),"")</f>
        <v>100</v>
      </c>
    </row>
    <row r="59" spans="1:8" ht="15" hidden="1" customHeight="1">
      <c r="A59" t="s">
        <v>93</v>
      </c>
      <c r="B59" t="s">
        <v>94</v>
      </c>
      <c r="C59">
        <v>6</v>
      </c>
      <c r="D59">
        <v>2</v>
      </c>
      <c r="E59">
        <v>1</v>
      </c>
      <c r="F59">
        <v>2</v>
      </c>
      <c r="G59" t="s">
        <v>116</v>
      </c>
      <c r="H59">
        <f>IFERROR(ROUND(COUNTIFS(Tasks!$A:$A,$A59,Tasks!$B:$B,$B59,Tasks!$C:$C,$G59,Tasks!$I:$I,"&lt;="&amp;INDEX(Weeks!$D:$D,MATCH($C59,Weeks!$A:$A,0)),Tasks!$I:$I,"&lt;&gt;")/COUNTIFS(Tasks!$A:$A,$A59,Tasks!$B:$B,$B59,Tasks!$C:$C,$G59)*100,0),"")</f>
        <v>100</v>
      </c>
    </row>
    <row r="60" spans="1:8" ht="15" hidden="1" customHeight="1">
      <c r="A60" t="s">
        <v>93</v>
      </c>
      <c r="B60" t="s">
        <v>94</v>
      </c>
      <c r="C60">
        <v>7</v>
      </c>
      <c r="D60">
        <v>2</v>
      </c>
      <c r="E60">
        <v>2</v>
      </c>
      <c r="F60">
        <v>2</v>
      </c>
      <c r="G60" t="s">
        <v>116</v>
      </c>
      <c r="H60">
        <f>IFERROR(ROUND(COUNTIFS(Tasks!$A:$A,$A60,Tasks!$B:$B,$B60,Tasks!$C:$C,$G60,Tasks!$I:$I,"&lt;="&amp;INDEX(Weeks!$D:$D,MATCH($C60,Weeks!$A:$A,0)),Tasks!$I:$I,"&lt;&gt;")/COUNTIFS(Tasks!$A:$A,$A60,Tasks!$B:$B,$B60,Tasks!$C:$C,$G60)*100,0),"")</f>
        <v>100</v>
      </c>
    </row>
    <row r="61" spans="1:8" ht="15" hidden="1" customHeight="1">
      <c r="A61" t="s">
        <v>93</v>
      </c>
      <c r="B61" t="s">
        <v>94</v>
      </c>
      <c r="C61">
        <v>8</v>
      </c>
      <c r="D61">
        <v>2</v>
      </c>
      <c r="E61">
        <v>3</v>
      </c>
      <c r="F61">
        <v>2</v>
      </c>
      <c r="G61" t="s">
        <v>116</v>
      </c>
      <c r="H61">
        <f>IFERROR(ROUND(COUNTIFS(Tasks!$A:$A,$A61,Tasks!$B:$B,$B61,Tasks!$C:$C,$G61,Tasks!$I:$I,"&lt;="&amp;INDEX(Weeks!$D:$D,MATCH($C61,Weeks!$A:$A,0)),Tasks!$I:$I,"&lt;&gt;")/COUNTIFS(Tasks!$A:$A,$A61,Tasks!$B:$B,$B61,Tasks!$C:$C,$G61)*100,0),"")</f>
        <v>100</v>
      </c>
    </row>
    <row r="62" spans="1:8" ht="15" hidden="1" customHeight="1">
      <c r="A62" t="s">
        <v>93</v>
      </c>
      <c r="B62" t="s">
        <v>94</v>
      </c>
      <c r="C62">
        <v>9</v>
      </c>
      <c r="D62">
        <v>2</v>
      </c>
      <c r="E62">
        <v>4</v>
      </c>
      <c r="F62">
        <v>2</v>
      </c>
      <c r="G62" t="s">
        <v>116</v>
      </c>
      <c r="H62">
        <f>IFERROR(ROUND(COUNTIFS(Tasks!$A:$A,$A62,Tasks!$B:$B,$B62,Tasks!$C:$C,$G62,Tasks!$I:$I,"&lt;="&amp;INDEX(Weeks!$D:$D,MATCH($C62,Weeks!$A:$A,0)),Tasks!$I:$I,"&lt;&gt;")/COUNTIFS(Tasks!$A:$A,$A62,Tasks!$B:$B,$B62,Tasks!$C:$C,$G62)*100,0),"")</f>
        <v>100</v>
      </c>
    </row>
    <row r="63" spans="1:8" ht="15" hidden="1" customHeight="1">
      <c r="A63" t="s">
        <v>93</v>
      </c>
      <c r="B63" t="s">
        <v>94</v>
      </c>
      <c r="C63">
        <v>10</v>
      </c>
      <c r="D63">
        <v>3</v>
      </c>
      <c r="E63">
        <v>1</v>
      </c>
      <c r="F63">
        <v>2</v>
      </c>
      <c r="G63" t="s">
        <v>116</v>
      </c>
      <c r="H63">
        <f>IFERROR(ROUND(COUNTIFS(Tasks!$A:$A,$A63,Tasks!$B:$B,$B63,Tasks!$C:$C,$G63,Tasks!$I:$I,"&lt;="&amp;INDEX(Weeks!$D:$D,MATCH($C63,Weeks!$A:$A,0)),Tasks!$I:$I,"&lt;&gt;")/COUNTIFS(Tasks!$A:$A,$A63,Tasks!$B:$B,$B63,Tasks!$C:$C,$G63)*100,0),"")</f>
        <v>100</v>
      </c>
    </row>
    <row r="64" spans="1:8" ht="15" hidden="1" customHeight="1">
      <c r="A64" t="s">
        <v>93</v>
      </c>
      <c r="B64" t="s">
        <v>94</v>
      </c>
      <c r="C64">
        <v>11</v>
      </c>
      <c r="D64">
        <v>3</v>
      </c>
      <c r="E64">
        <v>2</v>
      </c>
      <c r="F64">
        <v>2</v>
      </c>
      <c r="G64" t="s">
        <v>116</v>
      </c>
      <c r="H64">
        <f>IFERROR(ROUND(COUNTIFS(Tasks!$A:$A,$A64,Tasks!$B:$B,$B64,Tasks!$C:$C,$G64,Tasks!$I:$I,"&lt;="&amp;INDEX(Weeks!$D:$D,MATCH($C64,Weeks!$A:$A,0)),Tasks!$I:$I,"&lt;&gt;")/COUNTIFS(Tasks!$A:$A,$A64,Tasks!$B:$B,$B64,Tasks!$C:$C,$G64)*100,0),"")</f>
        <v>100</v>
      </c>
    </row>
    <row r="65" spans="1:8" ht="15" hidden="1" customHeight="1">
      <c r="A65" t="s">
        <v>93</v>
      </c>
      <c r="B65" t="s">
        <v>94</v>
      </c>
      <c r="C65">
        <v>12</v>
      </c>
      <c r="D65">
        <v>3</v>
      </c>
      <c r="E65">
        <v>3</v>
      </c>
      <c r="F65">
        <v>2</v>
      </c>
      <c r="G65" t="s">
        <v>116</v>
      </c>
      <c r="H65">
        <f>IFERROR(ROUND(COUNTIFS(Tasks!$A:$A,$A65,Tasks!$B:$B,$B65,Tasks!$C:$C,$G65,Tasks!$I:$I,"&lt;="&amp;INDEX(Weeks!$D:$D,MATCH($C65,Weeks!$A:$A,0)),Tasks!$I:$I,"&lt;&gt;")/COUNTIFS(Tasks!$A:$A,$A65,Tasks!$B:$B,$B65,Tasks!$C:$C,$G65)*100,0),"")</f>
        <v>100</v>
      </c>
    </row>
    <row r="66" spans="1:8" ht="15" hidden="1" customHeight="1">
      <c r="A66" t="s">
        <v>93</v>
      </c>
      <c r="B66" t="s">
        <v>94</v>
      </c>
      <c r="C66">
        <v>13</v>
      </c>
      <c r="D66">
        <v>3</v>
      </c>
      <c r="E66">
        <v>4</v>
      </c>
      <c r="F66">
        <v>2</v>
      </c>
      <c r="G66" t="s">
        <v>116</v>
      </c>
      <c r="H66">
        <f>IFERROR(ROUND(COUNTIFS(Tasks!$A:$A,$A66,Tasks!$B:$B,$B66,Tasks!$C:$C,$G66,Tasks!$I:$I,"&lt;="&amp;INDEX(Weeks!$D:$D,MATCH($C66,Weeks!$A:$A,0)),Tasks!$I:$I,"&lt;&gt;")/COUNTIFS(Tasks!$A:$A,$A66,Tasks!$B:$B,$B66,Tasks!$C:$C,$G66)*100,0),"")</f>
        <v>100</v>
      </c>
    </row>
    <row r="67" spans="1:8" ht="15" hidden="1" customHeight="1">
      <c r="A67" t="s">
        <v>93</v>
      </c>
      <c r="B67" t="s">
        <v>94</v>
      </c>
      <c r="C67">
        <v>14</v>
      </c>
      <c r="D67">
        <v>4</v>
      </c>
      <c r="E67">
        <v>1</v>
      </c>
      <c r="F67">
        <v>2</v>
      </c>
      <c r="G67" t="s">
        <v>116</v>
      </c>
      <c r="H67">
        <f>IFERROR(ROUND(COUNTIFS(Tasks!$A:$A,$A67,Tasks!$B:$B,$B67,Tasks!$C:$C,$G67,Tasks!$I:$I,"&lt;="&amp;INDEX(Weeks!$D:$D,MATCH($C67,Weeks!$A:$A,0)),Tasks!$I:$I,"&lt;&gt;")/COUNTIFS(Tasks!$A:$A,$A67,Tasks!$B:$B,$B67,Tasks!$C:$C,$G67)*100,0),"")</f>
        <v>100</v>
      </c>
    </row>
    <row r="68" spans="1:8" ht="15" hidden="1" customHeight="1">
      <c r="A68" t="s">
        <v>93</v>
      </c>
      <c r="B68" t="s">
        <v>94</v>
      </c>
      <c r="C68">
        <v>15</v>
      </c>
      <c r="D68">
        <v>4</v>
      </c>
      <c r="E68">
        <v>2</v>
      </c>
      <c r="F68">
        <v>2</v>
      </c>
      <c r="G68" t="s">
        <v>116</v>
      </c>
      <c r="H68">
        <f>IFERROR(ROUND(COUNTIFS(Tasks!$A:$A,$A68,Tasks!$B:$B,$B68,Tasks!$C:$C,$G68,Tasks!$I:$I,"&lt;="&amp;INDEX(Weeks!$D:$D,MATCH($C68,Weeks!$A:$A,0)),Tasks!$I:$I,"&lt;&gt;")/COUNTIFS(Tasks!$A:$A,$A68,Tasks!$B:$B,$B68,Tasks!$C:$C,$G68)*100,0),"")</f>
        <v>100</v>
      </c>
    </row>
    <row r="69" spans="1:8" ht="15" hidden="1" customHeight="1">
      <c r="A69" t="s">
        <v>93</v>
      </c>
      <c r="B69" t="s">
        <v>94</v>
      </c>
      <c r="C69">
        <v>16</v>
      </c>
      <c r="D69">
        <v>4</v>
      </c>
      <c r="E69">
        <v>3</v>
      </c>
      <c r="F69">
        <v>2</v>
      </c>
      <c r="G69" t="s">
        <v>116</v>
      </c>
      <c r="H69">
        <f>IFERROR(ROUND(COUNTIFS(Tasks!$A:$A,$A69,Tasks!$B:$B,$B69,Tasks!$C:$C,$G69,Tasks!$I:$I,"&lt;="&amp;INDEX(Weeks!$D:$D,MATCH($C69,Weeks!$A:$A,0)),Tasks!$I:$I,"&lt;&gt;")/COUNTIFS(Tasks!$A:$A,$A69,Tasks!$B:$B,$B69,Tasks!$C:$C,$G69)*100,0),"")</f>
        <v>100</v>
      </c>
    </row>
    <row r="70" spans="1:8" ht="15" hidden="1" customHeight="1">
      <c r="A70" t="s">
        <v>93</v>
      </c>
      <c r="B70" t="s">
        <v>94</v>
      </c>
      <c r="C70">
        <v>17</v>
      </c>
      <c r="D70">
        <v>4</v>
      </c>
      <c r="E70">
        <v>4</v>
      </c>
      <c r="F70">
        <v>2</v>
      </c>
      <c r="G70" t="s">
        <v>116</v>
      </c>
      <c r="H70">
        <f>IFERROR(ROUND(COUNTIFS(Tasks!$A:$A,$A70,Tasks!$B:$B,$B70,Tasks!$C:$C,$G70,Tasks!$I:$I,"&lt;="&amp;INDEX(Weeks!$D:$D,MATCH($C70,Weeks!$A:$A,0)),Tasks!$I:$I,"&lt;&gt;")/COUNTIFS(Tasks!$A:$A,$A70,Tasks!$B:$B,$B70,Tasks!$C:$C,$G70)*100,0),"")</f>
        <v>100</v>
      </c>
    </row>
    <row r="71" spans="1:8" ht="15" hidden="1" customHeight="1">
      <c r="A71" t="s">
        <v>93</v>
      </c>
      <c r="B71" t="s">
        <v>94</v>
      </c>
      <c r="C71">
        <v>18</v>
      </c>
      <c r="D71">
        <v>5</v>
      </c>
      <c r="E71">
        <v>1</v>
      </c>
      <c r="F71">
        <v>2</v>
      </c>
      <c r="G71" t="s">
        <v>116</v>
      </c>
      <c r="H71">
        <f>IFERROR(ROUND(COUNTIFS(Tasks!$A:$A,$A71,Tasks!$B:$B,$B71,Tasks!$C:$C,$G71,Tasks!$I:$I,"&lt;="&amp;INDEX(Weeks!$D:$D,MATCH($C71,Weeks!$A:$A,0)),Tasks!$I:$I,"&lt;&gt;")/COUNTIFS(Tasks!$A:$A,$A71,Tasks!$B:$B,$B71,Tasks!$C:$C,$G71)*100,0),"")</f>
        <v>100</v>
      </c>
    </row>
    <row r="72" spans="1:8" ht="15" hidden="1" customHeight="1">
      <c r="A72" t="s">
        <v>93</v>
      </c>
      <c r="B72" t="s">
        <v>94</v>
      </c>
      <c r="C72">
        <v>19</v>
      </c>
      <c r="D72">
        <v>5</v>
      </c>
      <c r="E72">
        <v>2</v>
      </c>
      <c r="F72">
        <v>2</v>
      </c>
      <c r="G72" t="s">
        <v>116</v>
      </c>
      <c r="H72">
        <f>IFERROR(ROUND(COUNTIFS(Tasks!$A:$A,$A72,Tasks!$B:$B,$B72,Tasks!$C:$C,$G72,Tasks!$I:$I,"&lt;="&amp;INDEX(Weeks!$D:$D,MATCH($C72,Weeks!$A:$A,0)),Tasks!$I:$I,"&lt;&gt;")/COUNTIFS(Tasks!$A:$A,$A72,Tasks!$B:$B,$B72,Tasks!$C:$C,$G72)*100,0),"")</f>
        <v>100</v>
      </c>
    </row>
    <row r="73" spans="1:8" ht="15" hidden="1" customHeight="1">
      <c r="A73" t="s">
        <v>93</v>
      </c>
      <c r="B73" t="s">
        <v>94</v>
      </c>
      <c r="C73">
        <v>20</v>
      </c>
      <c r="D73">
        <v>5</v>
      </c>
      <c r="E73">
        <v>3</v>
      </c>
      <c r="F73">
        <v>2</v>
      </c>
      <c r="G73" t="s">
        <v>116</v>
      </c>
      <c r="H73">
        <f>IFERROR(ROUND(COUNTIFS(Tasks!$A:$A,$A73,Tasks!$B:$B,$B73,Tasks!$C:$C,$G73,Tasks!$I:$I,"&lt;="&amp;INDEX(Weeks!$D:$D,MATCH($C73,Weeks!$A:$A,0)),Tasks!$I:$I,"&lt;&gt;")/COUNTIFS(Tasks!$A:$A,$A73,Tasks!$B:$B,$B73,Tasks!$C:$C,$G73)*100,0),"")</f>
        <v>100</v>
      </c>
    </row>
    <row r="74" spans="1:8" ht="15" hidden="1" customHeight="1">
      <c r="A74" t="s">
        <v>93</v>
      </c>
      <c r="B74" t="s">
        <v>94</v>
      </c>
      <c r="C74">
        <v>21</v>
      </c>
      <c r="D74">
        <v>5</v>
      </c>
      <c r="E74">
        <v>4</v>
      </c>
      <c r="F74">
        <v>2</v>
      </c>
      <c r="G74" t="s">
        <v>116</v>
      </c>
      <c r="H74">
        <f>IFERROR(ROUND(COUNTIFS(Tasks!$A:$A,$A74,Tasks!$B:$B,$B74,Tasks!$C:$C,$G74,Tasks!$I:$I,"&lt;="&amp;INDEX(Weeks!$D:$D,MATCH($C74,Weeks!$A:$A,0)),Tasks!$I:$I,"&lt;&gt;")/COUNTIFS(Tasks!$A:$A,$A74,Tasks!$B:$B,$B74,Tasks!$C:$C,$G74)*100,0),"")</f>
        <v>100</v>
      </c>
    </row>
    <row r="75" spans="1:8" ht="15" hidden="1" customHeight="1">
      <c r="A75" t="s">
        <v>93</v>
      </c>
      <c r="B75" t="s">
        <v>94</v>
      </c>
      <c r="C75">
        <v>22</v>
      </c>
      <c r="D75">
        <v>5</v>
      </c>
      <c r="E75">
        <v>5</v>
      </c>
      <c r="F75">
        <v>2</v>
      </c>
      <c r="G75" t="s">
        <v>116</v>
      </c>
      <c r="H75">
        <f>IFERROR(ROUND(COUNTIFS(Tasks!$A:$A,$A75,Tasks!$B:$B,$B75,Tasks!$C:$C,$G75,Tasks!$I:$I,"&lt;="&amp;INDEX(Weeks!$D:$D,MATCH($C75,Weeks!$A:$A,0)),Tasks!$I:$I,"&lt;&gt;")/COUNTIFS(Tasks!$A:$A,$A75,Tasks!$B:$B,$B75,Tasks!$C:$C,$G75)*100,0),"")</f>
        <v>100</v>
      </c>
    </row>
    <row r="76" spans="1:8" ht="15" hidden="1" customHeight="1">
      <c r="A76" t="s">
        <v>93</v>
      </c>
      <c r="B76" t="s">
        <v>94</v>
      </c>
      <c r="C76">
        <v>23</v>
      </c>
      <c r="D76">
        <v>6</v>
      </c>
      <c r="E76">
        <v>1</v>
      </c>
      <c r="F76">
        <v>2</v>
      </c>
      <c r="G76" t="s">
        <v>116</v>
      </c>
      <c r="H76">
        <f>IFERROR(ROUND(COUNTIFS(Tasks!$A:$A,$A76,Tasks!$B:$B,$B76,Tasks!$C:$C,$G76,Tasks!$I:$I,"&lt;="&amp;INDEX(Weeks!$D:$D,MATCH($C76,Weeks!$A:$A,0)),Tasks!$I:$I,"&lt;&gt;")/COUNTIFS(Tasks!$A:$A,$A76,Tasks!$B:$B,$B76,Tasks!$C:$C,$G76)*100,0),"")</f>
        <v>100</v>
      </c>
    </row>
    <row r="77" spans="1:8" ht="15" hidden="1" customHeight="1">
      <c r="A77" t="s">
        <v>93</v>
      </c>
      <c r="B77" t="s">
        <v>94</v>
      </c>
      <c r="C77">
        <v>24</v>
      </c>
      <c r="D77">
        <v>6</v>
      </c>
      <c r="E77">
        <v>2</v>
      </c>
      <c r="F77">
        <v>2</v>
      </c>
      <c r="G77" t="s">
        <v>116</v>
      </c>
      <c r="H77">
        <f>IFERROR(ROUND(COUNTIFS(Tasks!$A:$A,$A77,Tasks!$B:$B,$B77,Tasks!$C:$C,$G77,Tasks!$I:$I,"&lt;="&amp;INDEX(Weeks!$D:$D,MATCH($C77,Weeks!$A:$A,0)),Tasks!$I:$I,"&lt;&gt;")/COUNTIFS(Tasks!$A:$A,$A77,Tasks!$B:$B,$B77,Tasks!$C:$C,$G77)*100,0),"")</f>
        <v>100</v>
      </c>
    </row>
    <row r="78" spans="1:8" ht="15" hidden="1" customHeight="1">
      <c r="A78" t="s">
        <v>93</v>
      </c>
      <c r="B78" t="s">
        <v>94</v>
      </c>
      <c r="C78">
        <v>25</v>
      </c>
      <c r="D78">
        <v>6</v>
      </c>
      <c r="E78">
        <v>3</v>
      </c>
      <c r="F78">
        <v>2</v>
      </c>
      <c r="G78" t="s">
        <v>116</v>
      </c>
      <c r="H78">
        <f>IFERROR(ROUND(COUNTIFS(Tasks!$A:$A,$A78,Tasks!$B:$B,$B78,Tasks!$C:$C,$G78,Tasks!$I:$I,"&lt;="&amp;INDEX(Weeks!$D:$D,MATCH($C78,Weeks!$A:$A,0)),Tasks!$I:$I,"&lt;&gt;")/COUNTIFS(Tasks!$A:$A,$A78,Tasks!$B:$B,$B78,Tasks!$C:$C,$G78)*100,0),"")</f>
        <v>100</v>
      </c>
    </row>
    <row r="79" spans="1:8" ht="15" hidden="1" customHeight="1">
      <c r="A79" t="s">
        <v>93</v>
      </c>
      <c r="B79" t="s">
        <v>94</v>
      </c>
      <c r="C79">
        <v>26</v>
      </c>
      <c r="D79">
        <v>6</v>
      </c>
      <c r="E79">
        <v>4</v>
      </c>
      <c r="F79">
        <v>2</v>
      </c>
      <c r="G79" t="s">
        <v>116</v>
      </c>
      <c r="H79">
        <f>IFERROR(ROUND(COUNTIFS(Tasks!$A:$A,$A79,Tasks!$B:$B,$B79,Tasks!$C:$C,$G79,Tasks!$I:$I,"&lt;="&amp;INDEX(Weeks!$D:$D,MATCH($C79,Weeks!$A:$A,0)),Tasks!$I:$I,"&lt;&gt;")/COUNTIFS(Tasks!$A:$A,$A79,Tasks!$B:$B,$B79,Tasks!$C:$C,$G79)*100,0),"")</f>
        <v>100</v>
      </c>
    </row>
    <row r="80" spans="1:8" ht="15" hidden="1" customHeight="1">
      <c r="A80" t="s">
        <v>93</v>
      </c>
      <c r="B80" t="s">
        <v>94</v>
      </c>
      <c r="C80">
        <v>27</v>
      </c>
      <c r="D80">
        <v>7</v>
      </c>
      <c r="E80">
        <v>1</v>
      </c>
      <c r="F80">
        <v>2</v>
      </c>
      <c r="G80" t="s">
        <v>116</v>
      </c>
      <c r="H80">
        <f>IFERROR(ROUND(COUNTIFS(Tasks!$A:$A,$A80,Tasks!$B:$B,$B80,Tasks!$C:$C,$G80,Tasks!$I:$I,"&lt;="&amp;INDEX(Weeks!$D:$D,MATCH($C80,Weeks!$A:$A,0)),Tasks!$I:$I,"&lt;&gt;")/COUNTIFS(Tasks!$A:$A,$A80,Tasks!$B:$B,$B80,Tasks!$C:$C,$G80)*100,0),"")</f>
        <v>100</v>
      </c>
    </row>
    <row r="81" spans="1:8" ht="15" hidden="1" customHeight="1">
      <c r="A81" t="s">
        <v>93</v>
      </c>
      <c r="B81" t="s">
        <v>94</v>
      </c>
      <c r="C81">
        <v>28</v>
      </c>
      <c r="D81">
        <v>7</v>
      </c>
      <c r="E81">
        <v>2</v>
      </c>
      <c r="F81">
        <v>2</v>
      </c>
      <c r="G81" t="s">
        <v>116</v>
      </c>
      <c r="H81">
        <f>IFERROR(ROUND(COUNTIFS(Tasks!$A:$A,$A81,Tasks!$B:$B,$B81,Tasks!$C:$C,$G81,Tasks!$I:$I,"&lt;="&amp;INDEX(Weeks!$D:$D,MATCH($C81,Weeks!$A:$A,0)),Tasks!$I:$I,"&lt;&gt;")/COUNTIFS(Tasks!$A:$A,$A81,Tasks!$B:$B,$B81,Tasks!$C:$C,$G81)*100,0),"")</f>
        <v>100</v>
      </c>
    </row>
    <row r="82" spans="1:8" ht="15" hidden="1" customHeight="1">
      <c r="A82" t="s">
        <v>93</v>
      </c>
      <c r="B82" t="s">
        <v>94</v>
      </c>
      <c r="C82">
        <v>29</v>
      </c>
      <c r="D82">
        <v>7</v>
      </c>
      <c r="E82">
        <v>3</v>
      </c>
      <c r="F82">
        <v>2</v>
      </c>
      <c r="G82" t="s">
        <v>116</v>
      </c>
      <c r="H82">
        <f>IFERROR(ROUND(COUNTIFS(Tasks!$A:$A,$A82,Tasks!$B:$B,$B82,Tasks!$C:$C,$G82,Tasks!$I:$I,"&lt;="&amp;INDEX(Weeks!$D:$D,MATCH($C82,Weeks!$A:$A,0)),Tasks!$I:$I,"&lt;&gt;")/COUNTIFS(Tasks!$A:$A,$A82,Tasks!$B:$B,$B82,Tasks!$C:$C,$G82)*100,0),"")</f>
        <v>100</v>
      </c>
    </row>
    <row r="83" spans="1:8" ht="15" hidden="1" customHeight="1">
      <c r="A83" t="s">
        <v>93</v>
      </c>
      <c r="B83" t="s">
        <v>94</v>
      </c>
      <c r="C83">
        <v>30</v>
      </c>
      <c r="D83">
        <v>7</v>
      </c>
      <c r="E83">
        <v>4</v>
      </c>
      <c r="F83">
        <v>2</v>
      </c>
      <c r="G83" t="s">
        <v>116</v>
      </c>
      <c r="H83">
        <f>IFERROR(ROUND(COUNTIFS(Tasks!$A:$A,$A83,Tasks!$B:$B,$B83,Tasks!$C:$C,$G83,Tasks!$I:$I,"&lt;="&amp;INDEX(Weeks!$D:$D,MATCH($C83,Weeks!$A:$A,0)),Tasks!$I:$I,"&lt;&gt;")/COUNTIFS(Tasks!$A:$A,$A83,Tasks!$B:$B,$B83,Tasks!$C:$C,$G83)*100,0),"")</f>
        <v>100</v>
      </c>
    </row>
    <row r="84" spans="1:8" ht="15" hidden="1" customHeight="1">
      <c r="A84" t="s">
        <v>93</v>
      </c>
      <c r="B84" t="s">
        <v>94</v>
      </c>
      <c r="C84">
        <v>31</v>
      </c>
      <c r="D84">
        <v>8</v>
      </c>
      <c r="E84">
        <v>1</v>
      </c>
      <c r="F84">
        <v>2</v>
      </c>
      <c r="G84" t="s">
        <v>116</v>
      </c>
      <c r="H84">
        <f>IFERROR(ROUND(COUNTIFS(Tasks!$A:$A,$A84,Tasks!$B:$B,$B84,Tasks!$C:$C,$G84,Tasks!$I:$I,"&lt;="&amp;INDEX(Weeks!$D:$D,MATCH($C84,Weeks!$A:$A,0)),Tasks!$I:$I,"&lt;&gt;")/COUNTIFS(Tasks!$A:$A,$A84,Tasks!$B:$B,$B84,Tasks!$C:$C,$G84)*100,0),"")</f>
        <v>100</v>
      </c>
    </row>
    <row r="85" spans="1:8" ht="15" hidden="1" customHeight="1">
      <c r="A85" t="s">
        <v>93</v>
      </c>
      <c r="B85" t="s">
        <v>94</v>
      </c>
      <c r="C85">
        <v>32</v>
      </c>
      <c r="D85">
        <v>8</v>
      </c>
      <c r="E85">
        <v>2</v>
      </c>
      <c r="F85">
        <v>2</v>
      </c>
      <c r="G85" t="s">
        <v>116</v>
      </c>
      <c r="H85">
        <f>IFERROR(ROUND(COUNTIFS(Tasks!$A:$A,$A85,Tasks!$B:$B,$B85,Tasks!$C:$C,$G85,Tasks!$I:$I,"&lt;="&amp;INDEX(Weeks!$D:$D,MATCH($C85,Weeks!$A:$A,0)),Tasks!$I:$I,"&lt;&gt;")/COUNTIFS(Tasks!$A:$A,$A85,Tasks!$B:$B,$B85,Tasks!$C:$C,$G85)*100,0),"")</f>
        <v>100</v>
      </c>
    </row>
    <row r="86" spans="1:8" ht="15" hidden="1" customHeight="1">
      <c r="A86" t="s">
        <v>93</v>
      </c>
      <c r="B86" t="s">
        <v>94</v>
      </c>
      <c r="C86">
        <v>33</v>
      </c>
      <c r="D86">
        <v>8</v>
      </c>
      <c r="E86">
        <v>3</v>
      </c>
      <c r="F86">
        <v>2</v>
      </c>
      <c r="G86" t="s">
        <v>116</v>
      </c>
      <c r="H86">
        <f>IFERROR(ROUND(COUNTIFS(Tasks!$A:$A,$A86,Tasks!$B:$B,$B86,Tasks!$C:$C,$G86,Tasks!$I:$I,"&lt;="&amp;INDEX(Weeks!$D:$D,MATCH($C86,Weeks!$A:$A,0)),Tasks!$I:$I,"&lt;&gt;")/COUNTIFS(Tasks!$A:$A,$A86,Tasks!$B:$B,$B86,Tasks!$C:$C,$G86)*100,0),"")</f>
        <v>100</v>
      </c>
    </row>
    <row r="87" spans="1:8" ht="15" hidden="1" customHeight="1">
      <c r="A87" t="s">
        <v>93</v>
      </c>
      <c r="B87" t="s">
        <v>94</v>
      </c>
      <c r="C87">
        <v>34</v>
      </c>
      <c r="D87">
        <v>8</v>
      </c>
      <c r="E87">
        <v>4</v>
      </c>
      <c r="F87">
        <v>2</v>
      </c>
      <c r="G87" t="s">
        <v>116</v>
      </c>
      <c r="H87">
        <f>IFERROR(ROUND(COUNTIFS(Tasks!$A:$A,$A87,Tasks!$B:$B,$B87,Tasks!$C:$C,$G87,Tasks!$I:$I,"&lt;="&amp;INDEX(Weeks!$D:$D,MATCH($C87,Weeks!$A:$A,0)),Tasks!$I:$I,"&lt;&gt;")/COUNTIFS(Tasks!$A:$A,$A87,Tasks!$B:$B,$B87,Tasks!$C:$C,$G87)*100,0),"")</f>
        <v>100</v>
      </c>
    </row>
    <row r="88" spans="1:8" ht="15" hidden="1" customHeight="1">
      <c r="A88" t="s">
        <v>93</v>
      </c>
      <c r="B88" t="s">
        <v>94</v>
      </c>
      <c r="C88">
        <v>35</v>
      </c>
      <c r="D88">
        <v>8</v>
      </c>
      <c r="E88">
        <v>5</v>
      </c>
      <c r="F88">
        <v>2</v>
      </c>
      <c r="G88" t="s">
        <v>116</v>
      </c>
      <c r="H88">
        <f>IFERROR(ROUND(COUNTIFS(Tasks!$A:$A,$A88,Tasks!$B:$B,$B88,Tasks!$C:$C,$G88,Tasks!$I:$I,"&lt;="&amp;INDEX(Weeks!$D:$D,MATCH($C88,Weeks!$A:$A,0)),Tasks!$I:$I,"&lt;&gt;")/COUNTIFS(Tasks!$A:$A,$A88,Tasks!$B:$B,$B88,Tasks!$C:$C,$G88)*100,0),"")</f>
        <v>100</v>
      </c>
    </row>
    <row r="89" spans="1:8" ht="15" hidden="1" customHeight="1">
      <c r="A89" t="s">
        <v>93</v>
      </c>
      <c r="B89" t="s">
        <v>94</v>
      </c>
      <c r="C89">
        <v>36</v>
      </c>
      <c r="D89">
        <v>9</v>
      </c>
      <c r="E89">
        <v>1</v>
      </c>
      <c r="F89">
        <v>2</v>
      </c>
      <c r="G89" t="s">
        <v>116</v>
      </c>
      <c r="H89">
        <f>IFERROR(ROUND(COUNTIFS(Tasks!$A:$A,$A89,Tasks!$B:$B,$B89,Tasks!$C:$C,$G89,Tasks!$I:$I,"&lt;="&amp;INDEX(Weeks!$D:$D,MATCH($C89,Weeks!$A:$A,0)),Tasks!$I:$I,"&lt;&gt;")/COUNTIFS(Tasks!$A:$A,$A89,Tasks!$B:$B,$B89,Tasks!$C:$C,$G89)*100,0),"")</f>
        <v>100</v>
      </c>
    </row>
    <row r="90" spans="1:8" ht="15" hidden="1" customHeight="1">
      <c r="A90" t="s">
        <v>93</v>
      </c>
      <c r="B90" t="s">
        <v>94</v>
      </c>
      <c r="C90">
        <v>37</v>
      </c>
      <c r="D90">
        <v>9</v>
      </c>
      <c r="E90">
        <v>2</v>
      </c>
      <c r="F90">
        <v>2</v>
      </c>
      <c r="G90" t="s">
        <v>116</v>
      </c>
      <c r="H90">
        <f>IFERROR(ROUND(COUNTIFS(Tasks!$A:$A,$A90,Tasks!$B:$B,$B90,Tasks!$C:$C,$G90,Tasks!$I:$I,"&lt;="&amp;INDEX(Weeks!$D:$D,MATCH($C90,Weeks!$A:$A,0)),Tasks!$I:$I,"&lt;&gt;")/COUNTIFS(Tasks!$A:$A,$A90,Tasks!$B:$B,$B90,Tasks!$C:$C,$G90)*100,0),"")</f>
        <v>100</v>
      </c>
    </row>
    <row r="91" spans="1:8" ht="15" hidden="1" customHeight="1">
      <c r="A91" t="s">
        <v>93</v>
      </c>
      <c r="B91" t="s">
        <v>94</v>
      </c>
      <c r="C91">
        <v>38</v>
      </c>
      <c r="D91">
        <v>9</v>
      </c>
      <c r="E91">
        <v>3</v>
      </c>
      <c r="F91">
        <v>2</v>
      </c>
      <c r="G91" t="s">
        <v>116</v>
      </c>
      <c r="H91">
        <f>IFERROR(ROUND(COUNTIFS(Tasks!$A:$A,$A91,Tasks!$B:$B,$B91,Tasks!$C:$C,$G91,Tasks!$I:$I,"&lt;="&amp;INDEX(Weeks!$D:$D,MATCH($C91,Weeks!$A:$A,0)),Tasks!$I:$I,"&lt;&gt;")/COUNTIFS(Tasks!$A:$A,$A91,Tasks!$B:$B,$B91,Tasks!$C:$C,$G91)*100,0),"")</f>
        <v>100</v>
      </c>
    </row>
    <row r="92" spans="1:8" ht="15" hidden="1" customHeight="1">
      <c r="A92" t="s">
        <v>93</v>
      </c>
      <c r="B92" t="s">
        <v>94</v>
      </c>
      <c r="C92">
        <v>39</v>
      </c>
      <c r="D92">
        <v>9</v>
      </c>
      <c r="E92">
        <v>4</v>
      </c>
      <c r="F92">
        <v>2</v>
      </c>
      <c r="G92" t="s">
        <v>116</v>
      </c>
      <c r="H92">
        <f>IFERROR(ROUND(COUNTIFS(Tasks!$A:$A,$A92,Tasks!$B:$B,$B92,Tasks!$C:$C,$G92,Tasks!$I:$I,"&lt;="&amp;INDEX(Weeks!$D:$D,MATCH($C92,Weeks!$A:$A,0)),Tasks!$I:$I,"&lt;&gt;")/COUNTIFS(Tasks!$A:$A,$A92,Tasks!$B:$B,$B92,Tasks!$C:$C,$G92)*100,0),"")</f>
        <v>100</v>
      </c>
    </row>
    <row r="93" spans="1:8" ht="15" hidden="1" customHeight="1">
      <c r="A93" t="s">
        <v>93</v>
      </c>
      <c r="B93" t="s">
        <v>94</v>
      </c>
      <c r="C93">
        <v>40</v>
      </c>
      <c r="D93">
        <v>10</v>
      </c>
      <c r="E93">
        <v>1</v>
      </c>
      <c r="F93">
        <v>2</v>
      </c>
      <c r="G93" t="s">
        <v>116</v>
      </c>
      <c r="H93">
        <f>IFERROR(ROUND(COUNTIFS(Tasks!$A:$A,$A93,Tasks!$B:$B,$B93,Tasks!$C:$C,$G93,Tasks!$I:$I,"&lt;="&amp;INDEX(Weeks!$D:$D,MATCH($C93,Weeks!$A:$A,0)),Tasks!$I:$I,"&lt;&gt;")/COUNTIFS(Tasks!$A:$A,$A93,Tasks!$B:$B,$B93,Tasks!$C:$C,$G93)*100,0),"")</f>
        <v>100</v>
      </c>
    </row>
    <row r="94" spans="1:8" ht="15" hidden="1" customHeight="1">
      <c r="A94" t="s">
        <v>93</v>
      </c>
      <c r="B94" t="s">
        <v>94</v>
      </c>
      <c r="C94">
        <v>41</v>
      </c>
      <c r="D94">
        <v>10</v>
      </c>
      <c r="E94">
        <v>2</v>
      </c>
      <c r="F94">
        <v>2</v>
      </c>
      <c r="G94" t="s">
        <v>116</v>
      </c>
      <c r="H94">
        <f>IFERROR(ROUND(COUNTIFS(Tasks!$A:$A,$A94,Tasks!$B:$B,$B94,Tasks!$C:$C,$G94,Tasks!$I:$I,"&lt;="&amp;INDEX(Weeks!$D:$D,MATCH($C94,Weeks!$A:$A,0)),Tasks!$I:$I,"&lt;&gt;")/COUNTIFS(Tasks!$A:$A,$A94,Tasks!$B:$B,$B94,Tasks!$C:$C,$G94)*100,0),"")</f>
        <v>100</v>
      </c>
    </row>
    <row r="95" spans="1:8" ht="15" hidden="1" customHeight="1">
      <c r="A95" t="s">
        <v>93</v>
      </c>
      <c r="B95" t="s">
        <v>94</v>
      </c>
      <c r="C95">
        <v>42</v>
      </c>
      <c r="D95">
        <v>10</v>
      </c>
      <c r="E95">
        <v>3</v>
      </c>
      <c r="F95">
        <v>2</v>
      </c>
      <c r="G95" t="s">
        <v>116</v>
      </c>
      <c r="H95">
        <f>IFERROR(ROUND(COUNTIFS(Tasks!$A:$A,$A95,Tasks!$B:$B,$B95,Tasks!$C:$C,$G95,Tasks!$I:$I,"&lt;="&amp;INDEX(Weeks!$D:$D,MATCH($C95,Weeks!$A:$A,0)),Tasks!$I:$I,"&lt;&gt;")/COUNTIFS(Tasks!$A:$A,$A95,Tasks!$B:$B,$B95,Tasks!$C:$C,$G95)*100,0),"")</f>
        <v>100</v>
      </c>
    </row>
    <row r="96" spans="1:8" ht="15" hidden="1" customHeight="1">
      <c r="A96" t="s">
        <v>93</v>
      </c>
      <c r="B96" t="s">
        <v>94</v>
      </c>
      <c r="C96">
        <v>43</v>
      </c>
      <c r="D96">
        <v>10</v>
      </c>
      <c r="E96">
        <v>4</v>
      </c>
      <c r="F96">
        <v>2</v>
      </c>
      <c r="G96" t="s">
        <v>116</v>
      </c>
      <c r="H96">
        <f>IFERROR(ROUND(COUNTIFS(Tasks!$A:$A,$A96,Tasks!$B:$B,$B96,Tasks!$C:$C,$G96,Tasks!$I:$I,"&lt;="&amp;INDEX(Weeks!$D:$D,MATCH($C96,Weeks!$A:$A,0)),Tasks!$I:$I,"&lt;&gt;")/COUNTIFS(Tasks!$A:$A,$A96,Tasks!$B:$B,$B96,Tasks!$C:$C,$G96)*100,0),"")</f>
        <v>100</v>
      </c>
    </row>
    <row r="97" spans="1:8" ht="15" hidden="1" customHeight="1">
      <c r="A97" t="s">
        <v>93</v>
      </c>
      <c r="B97" t="s">
        <v>94</v>
      </c>
      <c r="C97">
        <v>44</v>
      </c>
      <c r="D97">
        <v>10</v>
      </c>
      <c r="E97">
        <v>5</v>
      </c>
      <c r="F97">
        <v>2</v>
      </c>
      <c r="G97" t="s">
        <v>116</v>
      </c>
      <c r="H97">
        <f>IFERROR(ROUND(COUNTIFS(Tasks!$A:$A,$A97,Tasks!$B:$B,$B97,Tasks!$C:$C,$G97,Tasks!$I:$I,"&lt;="&amp;INDEX(Weeks!$D:$D,MATCH($C97,Weeks!$A:$A,0)),Tasks!$I:$I,"&lt;&gt;")/COUNTIFS(Tasks!$A:$A,$A97,Tasks!$B:$B,$B97,Tasks!$C:$C,$G97)*100,0),"")</f>
        <v>100</v>
      </c>
    </row>
    <row r="98" spans="1:8" ht="15" hidden="1" customHeight="1">
      <c r="A98" t="s">
        <v>93</v>
      </c>
      <c r="B98" t="s">
        <v>94</v>
      </c>
      <c r="C98">
        <v>45</v>
      </c>
      <c r="D98">
        <v>11</v>
      </c>
      <c r="E98">
        <v>1</v>
      </c>
      <c r="F98">
        <v>2</v>
      </c>
      <c r="G98" t="s">
        <v>116</v>
      </c>
      <c r="H98">
        <f>IFERROR(ROUND(COUNTIFS(Tasks!$A:$A,$A98,Tasks!$B:$B,$B98,Tasks!$C:$C,$G98,Tasks!$I:$I,"&lt;="&amp;INDEX(Weeks!$D:$D,MATCH($C98,Weeks!$A:$A,0)),Tasks!$I:$I,"&lt;&gt;")/COUNTIFS(Tasks!$A:$A,$A98,Tasks!$B:$B,$B98,Tasks!$C:$C,$G98)*100,0),"")</f>
        <v>100</v>
      </c>
    </row>
    <row r="99" spans="1:8" ht="15" hidden="1" customHeight="1">
      <c r="A99" t="s">
        <v>93</v>
      </c>
      <c r="B99" t="s">
        <v>94</v>
      </c>
      <c r="C99">
        <v>46</v>
      </c>
      <c r="D99">
        <v>11</v>
      </c>
      <c r="E99">
        <v>2</v>
      </c>
      <c r="F99">
        <v>2</v>
      </c>
      <c r="G99" t="s">
        <v>116</v>
      </c>
      <c r="H99">
        <f>IFERROR(ROUND(COUNTIFS(Tasks!$A:$A,$A99,Tasks!$B:$B,$B99,Tasks!$C:$C,$G99,Tasks!$I:$I,"&lt;="&amp;INDEX(Weeks!$D:$D,MATCH($C99,Weeks!$A:$A,0)),Tasks!$I:$I,"&lt;&gt;")/COUNTIFS(Tasks!$A:$A,$A99,Tasks!$B:$B,$B99,Tasks!$C:$C,$G99)*100,0),"")</f>
        <v>100</v>
      </c>
    </row>
    <row r="100" spans="1:8" ht="15" hidden="1" customHeight="1">
      <c r="A100" t="s">
        <v>93</v>
      </c>
      <c r="B100" t="s">
        <v>94</v>
      </c>
      <c r="C100">
        <v>47</v>
      </c>
      <c r="D100">
        <v>11</v>
      </c>
      <c r="E100">
        <v>3</v>
      </c>
      <c r="F100">
        <v>2</v>
      </c>
      <c r="G100" t="s">
        <v>116</v>
      </c>
      <c r="H100">
        <f>IFERROR(ROUND(COUNTIFS(Tasks!$A:$A,$A100,Tasks!$B:$B,$B100,Tasks!$C:$C,$G100,Tasks!$I:$I,"&lt;="&amp;INDEX(Weeks!$D:$D,MATCH($C100,Weeks!$A:$A,0)),Tasks!$I:$I,"&lt;&gt;")/COUNTIFS(Tasks!$A:$A,$A100,Tasks!$B:$B,$B100,Tasks!$C:$C,$G100)*100,0),"")</f>
        <v>100</v>
      </c>
    </row>
    <row r="101" spans="1:8" ht="15" hidden="1" customHeight="1">
      <c r="A101" t="s">
        <v>93</v>
      </c>
      <c r="B101" t="s">
        <v>94</v>
      </c>
      <c r="C101">
        <v>48</v>
      </c>
      <c r="D101">
        <v>11</v>
      </c>
      <c r="E101">
        <v>4</v>
      </c>
      <c r="F101">
        <v>2</v>
      </c>
      <c r="G101" t="s">
        <v>116</v>
      </c>
      <c r="H101">
        <f>IFERROR(ROUND(COUNTIFS(Tasks!$A:$A,$A101,Tasks!$B:$B,$B101,Tasks!$C:$C,$G101,Tasks!$I:$I,"&lt;="&amp;INDEX(Weeks!$D:$D,MATCH($C101,Weeks!$A:$A,0)),Tasks!$I:$I,"&lt;&gt;")/COUNTIFS(Tasks!$A:$A,$A101,Tasks!$B:$B,$B101,Tasks!$C:$C,$G101)*100,0),"")</f>
        <v>100</v>
      </c>
    </row>
    <row r="102" spans="1:8" ht="15" hidden="1" customHeight="1">
      <c r="A102" t="s">
        <v>93</v>
      </c>
      <c r="B102" t="s">
        <v>94</v>
      </c>
      <c r="C102">
        <v>49</v>
      </c>
      <c r="D102">
        <v>12</v>
      </c>
      <c r="E102">
        <v>1</v>
      </c>
      <c r="F102">
        <v>2</v>
      </c>
      <c r="G102" t="s">
        <v>116</v>
      </c>
      <c r="H102">
        <f>IFERROR(ROUND(COUNTIFS(Tasks!$A:$A,$A102,Tasks!$B:$B,$B102,Tasks!$C:$C,$G102,Tasks!$I:$I,"&lt;="&amp;INDEX(Weeks!$D:$D,MATCH($C102,Weeks!$A:$A,0)),Tasks!$I:$I,"&lt;&gt;")/COUNTIFS(Tasks!$A:$A,$A102,Tasks!$B:$B,$B102,Tasks!$C:$C,$G102)*100,0),"")</f>
        <v>100</v>
      </c>
    </row>
    <row r="103" spans="1:8" ht="15" hidden="1" customHeight="1">
      <c r="A103" t="s">
        <v>93</v>
      </c>
      <c r="B103" t="s">
        <v>94</v>
      </c>
      <c r="C103">
        <v>50</v>
      </c>
      <c r="D103">
        <v>12</v>
      </c>
      <c r="E103">
        <v>2</v>
      </c>
      <c r="F103">
        <v>2</v>
      </c>
      <c r="G103" t="s">
        <v>116</v>
      </c>
      <c r="H103">
        <f>IFERROR(ROUND(COUNTIFS(Tasks!$A:$A,$A103,Tasks!$B:$B,$B103,Tasks!$C:$C,$G103,Tasks!$I:$I,"&lt;="&amp;INDEX(Weeks!$D:$D,MATCH($C103,Weeks!$A:$A,0)),Tasks!$I:$I,"&lt;&gt;")/COUNTIFS(Tasks!$A:$A,$A103,Tasks!$B:$B,$B103,Tasks!$C:$C,$G103)*100,0),"")</f>
        <v>100</v>
      </c>
    </row>
    <row r="104" spans="1:8" ht="15" hidden="1" customHeight="1">
      <c r="A104" t="s">
        <v>93</v>
      </c>
      <c r="B104" t="s">
        <v>94</v>
      </c>
      <c r="C104">
        <v>51</v>
      </c>
      <c r="D104">
        <v>12</v>
      </c>
      <c r="E104">
        <v>3</v>
      </c>
      <c r="F104">
        <v>2</v>
      </c>
      <c r="G104" t="s">
        <v>116</v>
      </c>
      <c r="H104">
        <f>IFERROR(ROUND(COUNTIFS(Tasks!$A:$A,$A104,Tasks!$B:$B,$B104,Tasks!$C:$C,$G104,Tasks!$I:$I,"&lt;="&amp;INDEX(Weeks!$D:$D,MATCH($C104,Weeks!$A:$A,0)),Tasks!$I:$I,"&lt;&gt;")/COUNTIFS(Tasks!$A:$A,$A104,Tasks!$B:$B,$B104,Tasks!$C:$C,$G104)*100,0),"")</f>
        <v>100</v>
      </c>
    </row>
    <row r="105" spans="1:8" ht="15" hidden="1" customHeight="1">
      <c r="A105" t="s">
        <v>93</v>
      </c>
      <c r="B105" t="s">
        <v>94</v>
      </c>
      <c r="C105">
        <v>52</v>
      </c>
      <c r="D105">
        <v>12</v>
      </c>
      <c r="E105">
        <v>4</v>
      </c>
      <c r="F105">
        <v>2</v>
      </c>
      <c r="G105" t="s">
        <v>116</v>
      </c>
      <c r="H105">
        <f>IFERROR(ROUND(COUNTIFS(Tasks!$A:$A,$A105,Tasks!$B:$B,$B105,Tasks!$C:$C,$G105,Tasks!$I:$I,"&lt;="&amp;INDEX(Weeks!$D:$D,MATCH($C105,Weeks!$A:$A,0)),Tasks!$I:$I,"&lt;&gt;")/COUNTIFS(Tasks!$A:$A,$A105,Tasks!$B:$B,$B105,Tasks!$C:$C,$G105)*100,0),"")</f>
        <v>100</v>
      </c>
    </row>
    <row r="106" spans="1:8" ht="15" hidden="1" customHeight="1">
      <c r="A106" t="s">
        <v>93</v>
      </c>
      <c r="B106" t="s">
        <v>94</v>
      </c>
      <c r="C106">
        <v>1</v>
      </c>
      <c r="D106">
        <v>1</v>
      </c>
      <c r="E106">
        <v>1</v>
      </c>
      <c r="F106">
        <v>3</v>
      </c>
      <c r="G106" t="s">
        <v>117</v>
      </c>
      <c r="H106">
        <f>IFERROR(ROUND(COUNTIFS(Tasks!$A:$A,$A106,Tasks!$B:$B,$B106,Tasks!$C:$C,$G106,Tasks!$I:$I,"&lt;="&amp;INDEX(Weeks!$D:$D,MATCH($C106,Weeks!$A:$A,0)),Tasks!$I:$I,"&lt;&gt;")/COUNTIFS(Tasks!$A:$A,$A106,Tasks!$B:$B,$B106,Tasks!$C:$C,$G106)*100,0),"")</f>
        <v>0</v>
      </c>
    </row>
    <row r="107" spans="1:8" ht="15" hidden="1" customHeight="1">
      <c r="A107" t="s">
        <v>93</v>
      </c>
      <c r="B107" t="s">
        <v>94</v>
      </c>
      <c r="C107">
        <v>2</v>
      </c>
      <c r="D107">
        <v>1</v>
      </c>
      <c r="E107">
        <v>2</v>
      </c>
      <c r="F107">
        <v>3</v>
      </c>
      <c r="G107" t="s">
        <v>117</v>
      </c>
      <c r="H107">
        <f>IFERROR(ROUND(COUNTIFS(Tasks!$A:$A,$A107,Tasks!$B:$B,$B107,Tasks!$C:$C,$G107,Tasks!$I:$I,"&lt;="&amp;INDEX(Weeks!$D:$D,MATCH($C107,Weeks!$A:$A,0)),Tasks!$I:$I,"&lt;&gt;")/COUNTIFS(Tasks!$A:$A,$A107,Tasks!$B:$B,$B107,Tasks!$C:$C,$G107)*100,0),"")</f>
        <v>0</v>
      </c>
    </row>
    <row r="108" spans="1:8" ht="15" hidden="1" customHeight="1">
      <c r="A108" t="s">
        <v>93</v>
      </c>
      <c r="B108" t="s">
        <v>94</v>
      </c>
      <c r="C108">
        <v>3</v>
      </c>
      <c r="D108">
        <v>1</v>
      </c>
      <c r="E108">
        <v>3</v>
      </c>
      <c r="F108">
        <v>3</v>
      </c>
      <c r="G108" t="s">
        <v>117</v>
      </c>
      <c r="H108">
        <f>IFERROR(ROUND(COUNTIFS(Tasks!$A:$A,$A108,Tasks!$B:$B,$B108,Tasks!$C:$C,$G108,Tasks!$I:$I,"&lt;="&amp;INDEX(Weeks!$D:$D,MATCH($C108,Weeks!$A:$A,0)),Tasks!$I:$I,"&lt;&gt;")/COUNTIFS(Tasks!$A:$A,$A108,Tasks!$B:$B,$B108,Tasks!$C:$C,$G108)*100,0),"")</f>
        <v>0</v>
      </c>
    </row>
    <row r="109" spans="1:8" ht="15" hidden="1" customHeight="1">
      <c r="A109" t="s">
        <v>93</v>
      </c>
      <c r="B109" t="s">
        <v>94</v>
      </c>
      <c r="C109">
        <v>4</v>
      </c>
      <c r="D109">
        <v>1</v>
      </c>
      <c r="E109">
        <v>4</v>
      </c>
      <c r="F109">
        <v>3</v>
      </c>
      <c r="G109" t="s">
        <v>117</v>
      </c>
      <c r="H109">
        <f>IFERROR(ROUND(COUNTIFS(Tasks!$A:$A,$A109,Tasks!$B:$B,$B109,Tasks!$C:$C,$G109,Tasks!$I:$I,"&lt;="&amp;INDEX(Weeks!$D:$D,MATCH($C109,Weeks!$A:$A,0)),Tasks!$I:$I,"&lt;&gt;")/COUNTIFS(Tasks!$A:$A,$A109,Tasks!$B:$B,$B109,Tasks!$C:$C,$G109)*100,0),"")</f>
        <v>0</v>
      </c>
    </row>
    <row r="110" spans="1:8" ht="15" hidden="1" customHeight="1">
      <c r="A110" t="s">
        <v>93</v>
      </c>
      <c r="B110" t="s">
        <v>94</v>
      </c>
      <c r="C110">
        <v>5</v>
      </c>
      <c r="D110">
        <v>1</v>
      </c>
      <c r="E110">
        <v>5</v>
      </c>
      <c r="F110">
        <v>3</v>
      </c>
      <c r="G110" t="s">
        <v>117</v>
      </c>
      <c r="H110">
        <f>IFERROR(ROUND(COUNTIFS(Tasks!$A:$A,$A110,Tasks!$B:$B,$B110,Tasks!$C:$C,$G110,Tasks!$I:$I,"&lt;="&amp;INDEX(Weeks!$D:$D,MATCH($C110,Weeks!$A:$A,0)),Tasks!$I:$I,"&lt;&gt;")/COUNTIFS(Tasks!$A:$A,$A110,Tasks!$B:$B,$B110,Tasks!$C:$C,$G110)*100,0),"")</f>
        <v>0</v>
      </c>
    </row>
    <row r="111" spans="1:8" ht="15" hidden="1" customHeight="1">
      <c r="A111" t="s">
        <v>93</v>
      </c>
      <c r="B111" t="s">
        <v>94</v>
      </c>
      <c r="C111">
        <v>6</v>
      </c>
      <c r="D111">
        <v>2</v>
      </c>
      <c r="E111">
        <v>1</v>
      </c>
      <c r="F111">
        <v>3</v>
      </c>
      <c r="G111" t="s">
        <v>117</v>
      </c>
      <c r="H111">
        <f>IFERROR(ROUND(COUNTIFS(Tasks!$A:$A,$A111,Tasks!$B:$B,$B111,Tasks!$C:$C,$G111,Tasks!$I:$I,"&lt;="&amp;INDEX(Weeks!$D:$D,MATCH($C111,Weeks!$A:$A,0)),Tasks!$I:$I,"&lt;&gt;")/COUNTIFS(Tasks!$A:$A,$A111,Tasks!$B:$B,$B111,Tasks!$C:$C,$G111)*100,0),"")</f>
        <v>0</v>
      </c>
    </row>
    <row r="112" spans="1:8" ht="15" hidden="1" customHeight="1">
      <c r="A112" t="s">
        <v>93</v>
      </c>
      <c r="B112" t="s">
        <v>94</v>
      </c>
      <c r="C112">
        <v>7</v>
      </c>
      <c r="D112">
        <v>2</v>
      </c>
      <c r="E112">
        <v>2</v>
      </c>
      <c r="F112">
        <v>3</v>
      </c>
      <c r="G112" t="s">
        <v>117</v>
      </c>
      <c r="H112">
        <f>IFERROR(ROUND(COUNTIFS(Tasks!$A:$A,$A112,Tasks!$B:$B,$B112,Tasks!$C:$C,$G112,Tasks!$I:$I,"&lt;="&amp;INDEX(Weeks!$D:$D,MATCH($C112,Weeks!$A:$A,0)),Tasks!$I:$I,"&lt;&gt;")/COUNTIFS(Tasks!$A:$A,$A112,Tasks!$B:$B,$B112,Tasks!$C:$C,$G112)*100,0),"")</f>
        <v>0</v>
      </c>
    </row>
    <row r="113" spans="1:8" ht="15" hidden="1" customHeight="1">
      <c r="A113" t="s">
        <v>93</v>
      </c>
      <c r="B113" t="s">
        <v>94</v>
      </c>
      <c r="C113">
        <v>8</v>
      </c>
      <c r="D113">
        <v>2</v>
      </c>
      <c r="E113">
        <v>3</v>
      </c>
      <c r="F113">
        <v>3</v>
      </c>
      <c r="G113" t="s">
        <v>117</v>
      </c>
      <c r="H113">
        <f>IFERROR(ROUND(COUNTIFS(Tasks!$A:$A,$A113,Tasks!$B:$B,$B113,Tasks!$C:$C,$G113,Tasks!$I:$I,"&lt;="&amp;INDEX(Weeks!$D:$D,MATCH($C113,Weeks!$A:$A,0)),Tasks!$I:$I,"&lt;&gt;")/COUNTIFS(Tasks!$A:$A,$A113,Tasks!$B:$B,$B113,Tasks!$C:$C,$G113)*100,0),"")</f>
        <v>0</v>
      </c>
    </row>
    <row r="114" spans="1:8" ht="15" hidden="1" customHeight="1">
      <c r="A114" t="s">
        <v>93</v>
      </c>
      <c r="B114" t="s">
        <v>94</v>
      </c>
      <c r="C114">
        <v>9</v>
      </c>
      <c r="D114">
        <v>2</v>
      </c>
      <c r="E114">
        <v>4</v>
      </c>
      <c r="F114">
        <v>3</v>
      </c>
      <c r="G114" t="s">
        <v>117</v>
      </c>
      <c r="H114">
        <f>IFERROR(ROUND(COUNTIFS(Tasks!$A:$A,$A114,Tasks!$B:$B,$B114,Tasks!$C:$C,$G114,Tasks!$I:$I,"&lt;="&amp;INDEX(Weeks!$D:$D,MATCH($C114,Weeks!$A:$A,0)),Tasks!$I:$I,"&lt;&gt;")/COUNTIFS(Tasks!$A:$A,$A114,Tasks!$B:$B,$B114,Tasks!$C:$C,$G114)*100,0),"")</f>
        <v>0</v>
      </c>
    </row>
    <row r="115" spans="1:8" ht="15" hidden="1" customHeight="1">
      <c r="A115" t="s">
        <v>93</v>
      </c>
      <c r="B115" t="s">
        <v>94</v>
      </c>
      <c r="C115">
        <v>10</v>
      </c>
      <c r="D115">
        <v>3</v>
      </c>
      <c r="E115">
        <v>1</v>
      </c>
      <c r="F115">
        <v>3</v>
      </c>
      <c r="G115" t="s">
        <v>117</v>
      </c>
      <c r="H115">
        <f>IFERROR(ROUND(COUNTIFS(Tasks!$A:$A,$A115,Tasks!$B:$B,$B115,Tasks!$C:$C,$G115,Tasks!$I:$I,"&lt;="&amp;INDEX(Weeks!$D:$D,MATCH($C115,Weeks!$A:$A,0)),Tasks!$I:$I,"&lt;&gt;")/COUNTIFS(Tasks!$A:$A,$A115,Tasks!$B:$B,$B115,Tasks!$C:$C,$G115)*100,0),"")</f>
        <v>0</v>
      </c>
    </row>
    <row r="116" spans="1:8" ht="15" hidden="1" customHeight="1">
      <c r="A116" t="s">
        <v>93</v>
      </c>
      <c r="B116" t="s">
        <v>94</v>
      </c>
      <c r="C116">
        <v>11</v>
      </c>
      <c r="D116">
        <v>3</v>
      </c>
      <c r="E116">
        <v>2</v>
      </c>
      <c r="F116">
        <v>3</v>
      </c>
      <c r="G116" t="s">
        <v>117</v>
      </c>
      <c r="H116">
        <f>IFERROR(ROUND(COUNTIFS(Tasks!$A:$A,$A116,Tasks!$B:$B,$B116,Tasks!$C:$C,$G116,Tasks!$I:$I,"&lt;="&amp;INDEX(Weeks!$D:$D,MATCH($C116,Weeks!$A:$A,0)),Tasks!$I:$I,"&lt;&gt;")/COUNTIFS(Tasks!$A:$A,$A116,Tasks!$B:$B,$B116,Tasks!$C:$C,$G116)*100,0),"")</f>
        <v>0</v>
      </c>
    </row>
    <row r="117" spans="1:8" ht="15" hidden="1" customHeight="1">
      <c r="A117" t="s">
        <v>93</v>
      </c>
      <c r="B117" t="s">
        <v>94</v>
      </c>
      <c r="C117">
        <v>12</v>
      </c>
      <c r="D117">
        <v>3</v>
      </c>
      <c r="E117">
        <v>3</v>
      </c>
      <c r="F117">
        <v>3</v>
      </c>
      <c r="G117" t="s">
        <v>117</v>
      </c>
      <c r="H117">
        <f>IFERROR(ROUND(COUNTIFS(Tasks!$A:$A,$A117,Tasks!$B:$B,$B117,Tasks!$C:$C,$G117,Tasks!$I:$I,"&lt;="&amp;INDEX(Weeks!$D:$D,MATCH($C117,Weeks!$A:$A,0)),Tasks!$I:$I,"&lt;&gt;")/COUNTIFS(Tasks!$A:$A,$A117,Tasks!$B:$B,$B117,Tasks!$C:$C,$G117)*100,0),"")</f>
        <v>0</v>
      </c>
    </row>
    <row r="118" spans="1:8" ht="15" hidden="1" customHeight="1">
      <c r="A118" t="s">
        <v>93</v>
      </c>
      <c r="B118" t="s">
        <v>94</v>
      </c>
      <c r="C118">
        <v>13</v>
      </c>
      <c r="D118">
        <v>3</v>
      </c>
      <c r="E118">
        <v>4</v>
      </c>
      <c r="F118">
        <v>3</v>
      </c>
      <c r="G118" t="s">
        <v>117</v>
      </c>
      <c r="H118">
        <f>IFERROR(ROUND(COUNTIFS(Tasks!$A:$A,$A118,Tasks!$B:$B,$B118,Tasks!$C:$C,$G118,Tasks!$I:$I,"&lt;="&amp;INDEX(Weeks!$D:$D,MATCH($C118,Weeks!$A:$A,0)),Tasks!$I:$I,"&lt;&gt;")/COUNTIFS(Tasks!$A:$A,$A118,Tasks!$B:$B,$B118,Tasks!$C:$C,$G118)*100,0),"")</f>
        <v>0</v>
      </c>
    </row>
    <row r="119" spans="1:8" ht="15" hidden="1" customHeight="1">
      <c r="A119" t="s">
        <v>93</v>
      </c>
      <c r="B119" t="s">
        <v>94</v>
      </c>
      <c r="C119">
        <v>14</v>
      </c>
      <c r="D119">
        <v>4</v>
      </c>
      <c r="E119">
        <v>1</v>
      </c>
      <c r="F119">
        <v>3</v>
      </c>
      <c r="G119" t="s">
        <v>117</v>
      </c>
      <c r="H119">
        <f>IFERROR(ROUND(COUNTIFS(Tasks!$A:$A,$A119,Tasks!$B:$B,$B119,Tasks!$C:$C,$G119,Tasks!$I:$I,"&lt;="&amp;INDEX(Weeks!$D:$D,MATCH($C119,Weeks!$A:$A,0)),Tasks!$I:$I,"&lt;&gt;")/COUNTIFS(Tasks!$A:$A,$A119,Tasks!$B:$B,$B119,Tasks!$C:$C,$G119)*100,0),"")</f>
        <v>0</v>
      </c>
    </row>
    <row r="120" spans="1:8" ht="15" hidden="1" customHeight="1">
      <c r="A120" t="s">
        <v>93</v>
      </c>
      <c r="B120" t="s">
        <v>94</v>
      </c>
      <c r="C120">
        <v>15</v>
      </c>
      <c r="D120">
        <v>4</v>
      </c>
      <c r="E120">
        <v>2</v>
      </c>
      <c r="F120">
        <v>3</v>
      </c>
      <c r="G120" t="s">
        <v>117</v>
      </c>
      <c r="H120">
        <f>IFERROR(ROUND(COUNTIFS(Tasks!$A:$A,$A120,Tasks!$B:$B,$B120,Tasks!$C:$C,$G120,Tasks!$I:$I,"&lt;="&amp;INDEX(Weeks!$D:$D,MATCH($C120,Weeks!$A:$A,0)),Tasks!$I:$I,"&lt;&gt;")/COUNTIFS(Tasks!$A:$A,$A120,Tasks!$B:$B,$B120,Tasks!$C:$C,$G120)*100,0),"")</f>
        <v>0</v>
      </c>
    </row>
    <row r="121" spans="1:8" ht="15" hidden="1" customHeight="1">
      <c r="A121" t="s">
        <v>93</v>
      </c>
      <c r="B121" t="s">
        <v>94</v>
      </c>
      <c r="C121">
        <v>16</v>
      </c>
      <c r="D121">
        <v>4</v>
      </c>
      <c r="E121">
        <v>3</v>
      </c>
      <c r="F121">
        <v>3</v>
      </c>
      <c r="G121" t="s">
        <v>117</v>
      </c>
      <c r="H121">
        <f>IFERROR(ROUND(COUNTIFS(Tasks!$A:$A,$A121,Tasks!$B:$B,$B121,Tasks!$C:$C,$G121,Tasks!$I:$I,"&lt;="&amp;INDEX(Weeks!$D:$D,MATCH($C121,Weeks!$A:$A,0)),Tasks!$I:$I,"&lt;&gt;")/COUNTIFS(Tasks!$A:$A,$A121,Tasks!$B:$B,$B121,Tasks!$C:$C,$G121)*100,0),"")</f>
        <v>0</v>
      </c>
    </row>
    <row r="122" spans="1:8" ht="15" hidden="1" customHeight="1">
      <c r="A122" t="s">
        <v>93</v>
      </c>
      <c r="B122" t="s">
        <v>94</v>
      </c>
      <c r="C122">
        <v>17</v>
      </c>
      <c r="D122">
        <v>4</v>
      </c>
      <c r="E122">
        <v>4</v>
      </c>
      <c r="F122">
        <v>3</v>
      </c>
      <c r="G122" t="s">
        <v>117</v>
      </c>
      <c r="H122">
        <f>IFERROR(ROUND(COUNTIFS(Tasks!$A:$A,$A122,Tasks!$B:$B,$B122,Tasks!$C:$C,$G122,Tasks!$I:$I,"&lt;="&amp;INDEX(Weeks!$D:$D,MATCH($C122,Weeks!$A:$A,0)),Tasks!$I:$I,"&lt;&gt;")/COUNTIFS(Tasks!$A:$A,$A122,Tasks!$B:$B,$B122,Tasks!$C:$C,$G122)*100,0),"")</f>
        <v>0</v>
      </c>
    </row>
    <row r="123" spans="1:8" ht="15" hidden="1" customHeight="1">
      <c r="A123" t="s">
        <v>93</v>
      </c>
      <c r="B123" t="s">
        <v>94</v>
      </c>
      <c r="C123">
        <v>18</v>
      </c>
      <c r="D123">
        <v>5</v>
      </c>
      <c r="E123">
        <v>1</v>
      </c>
      <c r="F123">
        <v>3</v>
      </c>
      <c r="G123" t="s">
        <v>117</v>
      </c>
      <c r="H123">
        <f>IFERROR(ROUND(COUNTIFS(Tasks!$A:$A,$A123,Tasks!$B:$B,$B123,Tasks!$C:$C,$G123,Tasks!$I:$I,"&lt;="&amp;INDEX(Weeks!$D:$D,MATCH($C123,Weeks!$A:$A,0)),Tasks!$I:$I,"&lt;&gt;")/COUNTIFS(Tasks!$A:$A,$A123,Tasks!$B:$B,$B123,Tasks!$C:$C,$G123)*100,0),"")</f>
        <v>0</v>
      </c>
    </row>
    <row r="124" spans="1:8" ht="15" hidden="1" customHeight="1">
      <c r="A124" t="s">
        <v>93</v>
      </c>
      <c r="B124" t="s">
        <v>94</v>
      </c>
      <c r="C124">
        <v>19</v>
      </c>
      <c r="D124">
        <v>5</v>
      </c>
      <c r="E124">
        <v>2</v>
      </c>
      <c r="F124">
        <v>3</v>
      </c>
      <c r="G124" t="s">
        <v>117</v>
      </c>
      <c r="H124">
        <f>IFERROR(ROUND(COUNTIFS(Tasks!$A:$A,$A124,Tasks!$B:$B,$B124,Tasks!$C:$C,$G124,Tasks!$I:$I,"&lt;="&amp;INDEX(Weeks!$D:$D,MATCH($C124,Weeks!$A:$A,0)),Tasks!$I:$I,"&lt;&gt;")/COUNTIFS(Tasks!$A:$A,$A124,Tasks!$B:$B,$B124,Tasks!$C:$C,$G124)*100,0),"")</f>
        <v>0</v>
      </c>
    </row>
    <row r="125" spans="1:8" ht="15" hidden="1" customHeight="1">
      <c r="A125" t="s">
        <v>93</v>
      </c>
      <c r="B125" t="s">
        <v>94</v>
      </c>
      <c r="C125">
        <v>20</v>
      </c>
      <c r="D125">
        <v>5</v>
      </c>
      <c r="E125">
        <v>3</v>
      </c>
      <c r="F125">
        <v>3</v>
      </c>
      <c r="G125" t="s">
        <v>117</v>
      </c>
      <c r="H125">
        <f>IFERROR(ROUND(COUNTIFS(Tasks!$A:$A,$A125,Tasks!$B:$B,$B125,Tasks!$C:$C,$G125,Tasks!$I:$I,"&lt;="&amp;INDEX(Weeks!$D:$D,MATCH($C125,Weeks!$A:$A,0)),Tasks!$I:$I,"&lt;&gt;")/COUNTIFS(Tasks!$A:$A,$A125,Tasks!$B:$B,$B125,Tasks!$C:$C,$G125)*100,0),"")</f>
        <v>0</v>
      </c>
    </row>
    <row r="126" spans="1:8" ht="15" hidden="1" customHeight="1">
      <c r="A126" t="s">
        <v>93</v>
      </c>
      <c r="B126" t="s">
        <v>94</v>
      </c>
      <c r="C126">
        <v>21</v>
      </c>
      <c r="D126">
        <v>5</v>
      </c>
      <c r="E126">
        <v>4</v>
      </c>
      <c r="F126">
        <v>3</v>
      </c>
      <c r="G126" t="s">
        <v>117</v>
      </c>
      <c r="H126">
        <f>IFERROR(ROUND(COUNTIFS(Tasks!$A:$A,$A126,Tasks!$B:$B,$B126,Tasks!$C:$C,$G126,Tasks!$I:$I,"&lt;="&amp;INDEX(Weeks!$D:$D,MATCH($C126,Weeks!$A:$A,0)),Tasks!$I:$I,"&lt;&gt;")/COUNTIFS(Tasks!$A:$A,$A126,Tasks!$B:$B,$B126,Tasks!$C:$C,$G126)*100,0),"")</f>
        <v>0</v>
      </c>
    </row>
    <row r="127" spans="1:8" ht="15" hidden="1" customHeight="1">
      <c r="A127" t="s">
        <v>93</v>
      </c>
      <c r="B127" t="s">
        <v>94</v>
      </c>
      <c r="C127">
        <v>22</v>
      </c>
      <c r="D127">
        <v>5</v>
      </c>
      <c r="E127">
        <v>5</v>
      </c>
      <c r="F127">
        <v>3</v>
      </c>
      <c r="G127" t="s">
        <v>117</v>
      </c>
      <c r="H127">
        <f>IFERROR(ROUND(COUNTIFS(Tasks!$A:$A,$A127,Tasks!$B:$B,$B127,Tasks!$C:$C,$G127,Tasks!$I:$I,"&lt;="&amp;INDEX(Weeks!$D:$D,MATCH($C127,Weeks!$A:$A,0)),Tasks!$I:$I,"&lt;&gt;")/COUNTIFS(Tasks!$A:$A,$A127,Tasks!$B:$B,$B127,Tasks!$C:$C,$G127)*100,0),"")</f>
        <v>0</v>
      </c>
    </row>
    <row r="128" spans="1:8" ht="15" hidden="1" customHeight="1">
      <c r="A128" t="s">
        <v>93</v>
      </c>
      <c r="B128" t="s">
        <v>94</v>
      </c>
      <c r="C128">
        <v>23</v>
      </c>
      <c r="D128">
        <v>6</v>
      </c>
      <c r="E128">
        <v>1</v>
      </c>
      <c r="F128">
        <v>3</v>
      </c>
      <c r="G128" t="s">
        <v>117</v>
      </c>
      <c r="H128">
        <f>IFERROR(ROUND(COUNTIFS(Tasks!$A:$A,$A128,Tasks!$B:$B,$B128,Tasks!$C:$C,$G128,Tasks!$I:$I,"&lt;="&amp;INDEX(Weeks!$D:$D,MATCH($C128,Weeks!$A:$A,0)),Tasks!$I:$I,"&lt;&gt;")/COUNTIFS(Tasks!$A:$A,$A128,Tasks!$B:$B,$B128,Tasks!$C:$C,$G128)*100,0),"")</f>
        <v>0</v>
      </c>
    </row>
    <row r="129" spans="1:8" ht="15" hidden="1" customHeight="1">
      <c r="A129" t="s">
        <v>93</v>
      </c>
      <c r="B129" t="s">
        <v>94</v>
      </c>
      <c r="C129">
        <v>24</v>
      </c>
      <c r="D129">
        <v>6</v>
      </c>
      <c r="E129">
        <v>2</v>
      </c>
      <c r="F129">
        <v>3</v>
      </c>
      <c r="G129" t="s">
        <v>117</v>
      </c>
      <c r="H129">
        <f>IFERROR(ROUND(COUNTIFS(Tasks!$A:$A,$A129,Tasks!$B:$B,$B129,Tasks!$C:$C,$G129,Tasks!$I:$I,"&lt;="&amp;INDEX(Weeks!$D:$D,MATCH($C129,Weeks!$A:$A,0)),Tasks!$I:$I,"&lt;&gt;")/COUNTIFS(Tasks!$A:$A,$A129,Tasks!$B:$B,$B129,Tasks!$C:$C,$G129)*100,0),"")</f>
        <v>0</v>
      </c>
    </row>
    <row r="130" spans="1:8" ht="15" hidden="1" customHeight="1">
      <c r="A130" t="s">
        <v>93</v>
      </c>
      <c r="B130" t="s">
        <v>94</v>
      </c>
      <c r="C130">
        <v>25</v>
      </c>
      <c r="D130">
        <v>6</v>
      </c>
      <c r="E130">
        <v>3</v>
      </c>
      <c r="F130">
        <v>3</v>
      </c>
      <c r="G130" t="s">
        <v>117</v>
      </c>
      <c r="H130">
        <f>IFERROR(ROUND(COUNTIFS(Tasks!$A:$A,$A130,Tasks!$B:$B,$B130,Tasks!$C:$C,$G130,Tasks!$I:$I,"&lt;="&amp;INDEX(Weeks!$D:$D,MATCH($C130,Weeks!$A:$A,0)),Tasks!$I:$I,"&lt;&gt;")/COUNTIFS(Tasks!$A:$A,$A130,Tasks!$B:$B,$B130,Tasks!$C:$C,$G130)*100,0),"")</f>
        <v>0</v>
      </c>
    </row>
    <row r="131" spans="1:8" ht="15" hidden="1" customHeight="1">
      <c r="A131" t="s">
        <v>93</v>
      </c>
      <c r="B131" t="s">
        <v>94</v>
      </c>
      <c r="C131">
        <v>26</v>
      </c>
      <c r="D131">
        <v>6</v>
      </c>
      <c r="E131">
        <v>4</v>
      </c>
      <c r="F131">
        <v>3</v>
      </c>
      <c r="G131" t="s">
        <v>117</v>
      </c>
      <c r="H131">
        <f>IFERROR(ROUND(COUNTIFS(Tasks!$A:$A,$A131,Tasks!$B:$B,$B131,Tasks!$C:$C,$G131,Tasks!$I:$I,"&lt;="&amp;INDEX(Weeks!$D:$D,MATCH($C131,Weeks!$A:$A,0)),Tasks!$I:$I,"&lt;&gt;")/COUNTIFS(Tasks!$A:$A,$A131,Tasks!$B:$B,$B131,Tasks!$C:$C,$G131)*100,0),"")</f>
        <v>0</v>
      </c>
    </row>
    <row r="132" spans="1:8" ht="15" hidden="1" customHeight="1">
      <c r="A132" t="s">
        <v>93</v>
      </c>
      <c r="B132" t="s">
        <v>94</v>
      </c>
      <c r="C132">
        <v>27</v>
      </c>
      <c r="D132">
        <v>7</v>
      </c>
      <c r="E132">
        <v>1</v>
      </c>
      <c r="F132">
        <v>3</v>
      </c>
      <c r="G132" t="s">
        <v>117</v>
      </c>
      <c r="H132">
        <f>IFERROR(ROUND(COUNTIFS(Tasks!$A:$A,$A132,Tasks!$B:$B,$B132,Tasks!$C:$C,$G132,Tasks!$I:$I,"&lt;="&amp;INDEX(Weeks!$D:$D,MATCH($C132,Weeks!$A:$A,0)),Tasks!$I:$I,"&lt;&gt;")/COUNTIFS(Tasks!$A:$A,$A132,Tasks!$B:$B,$B132,Tasks!$C:$C,$G132)*100,0),"")</f>
        <v>0</v>
      </c>
    </row>
    <row r="133" spans="1:8" ht="15" hidden="1" customHeight="1">
      <c r="A133" t="s">
        <v>93</v>
      </c>
      <c r="B133" t="s">
        <v>94</v>
      </c>
      <c r="C133">
        <v>28</v>
      </c>
      <c r="D133">
        <v>7</v>
      </c>
      <c r="E133">
        <v>2</v>
      </c>
      <c r="F133">
        <v>3</v>
      </c>
      <c r="G133" t="s">
        <v>117</v>
      </c>
      <c r="H133">
        <f>IFERROR(ROUND(COUNTIFS(Tasks!$A:$A,$A133,Tasks!$B:$B,$B133,Tasks!$C:$C,$G133,Tasks!$I:$I,"&lt;="&amp;INDEX(Weeks!$D:$D,MATCH($C133,Weeks!$A:$A,0)),Tasks!$I:$I,"&lt;&gt;")/COUNTIFS(Tasks!$A:$A,$A133,Tasks!$B:$B,$B133,Tasks!$C:$C,$G133)*100,0),"")</f>
        <v>0</v>
      </c>
    </row>
    <row r="134" spans="1:8" ht="15" hidden="1" customHeight="1">
      <c r="A134" t="s">
        <v>93</v>
      </c>
      <c r="B134" t="s">
        <v>94</v>
      </c>
      <c r="C134">
        <v>29</v>
      </c>
      <c r="D134">
        <v>7</v>
      </c>
      <c r="E134">
        <v>3</v>
      </c>
      <c r="F134">
        <v>3</v>
      </c>
      <c r="G134" t="s">
        <v>117</v>
      </c>
      <c r="H134">
        <f>IFERROR(ROUND(COUNTIFS(Tasks!$A:$A,$A134,Tasks!$B:$B,$B134,Tasks!$C:$C,$G134,Tasks!$I:$I,"&lt;="&amp;INDEX(Weeks!$D:$D,MATCH($C134,Weeks!$A:$A,0)),Tasks!$I:$I,"&lt;&gt;")/COUNTIFS(Tasks!$A:$A,$A134,Tasks!$B:$B,$B134,Tasks!$C:$C,$G134)*100,0),"")</f>
        <v>0</v>
      </c>
    </row>
    <row r="135" spans="1:8" ht="15" hidden="1" customHeight="1">
      <c r="A135" t="s">
        <v>93</v>
      </c>
      <c r="B135" t="s">
        <v>94</v>
      </c>
      <c r="C135">
        <v>30</v>
      </c>
      <c r="D135">
        <v>7</v>
      </c>
      <c r="E135">
        <v>4</v>
      </c>
      <c r="F135">
        <v>3</v>
      </c>
      <c r="G135" t="s">
        <v>117</v>
      </c>
      <c r="H135">
        <f>IFERROR(ROUND(COUNTIFS(Tasks!$A:$A,$A135,Tasks!$B:$B,$B135,Tasks!$C:$C,$G135,Tasks!$I:$I,"&lt;="&amp;INDEX(Weeks!$D:$D,MATCH($C135,Weeks!$A:$A,0)),Tasks!$I:$I,"&lt;&gt;")/COUNTIFS(Tasks!$A:$A,$A135,Tasks!$B:$B,$B135,Tasks!$C:$C,$G135)*100,0),"")</f>
        <v>0</v>
      </c>
    </row>
    <row r="136" spans="1:8" ht="15" hidden="1" customHeight="1">
      <c r="A136" t="s">
        <v>93</v>
      </c>
      <c r="B136" t="s">
        <v>94</v>
      </c>
      <c r="C136">
        <v>31</v>
      </c>
      <c r="D136">
        <v>8</v>
      </c>
      <c r="E136">
        <v>1</v>
      </c>
      <c r="F136">
        <v>3</v>
      </c>
      <c r="G136" t="s">
        <v>117</v>
      </c>
      <c r="H136">
        <f>IFERROR(ROUND(COUNTIFS(Tasks!$A:$A,$A136,Tasks!$B:$B,$B136,Tasks!$C:$C,$G136,Tasks!$I:$I,"&lt;="&amp;INDEX(Weeks!$D:$D,MATCH($C136,Weeks!$A:$A,0)),Tasks!$I:$I,"&lt;&gt;")/COUNTIFS(Tasks!$A:$A,$A136,Tasks!$B:$B,$B136,Tasks!$C:$C,$G136)*100,0),"")</f>
        <v>0</v>
      </c>
    </row>
    <row r="137" spans="1:8" ht="15" hidden="1" customHeight="1">
      <c r="A137" t="s">
        <v>93</v>
      </c>
      <c r="B137" t="s">
        <v>94</v>
      </c>
      <c r="C137">
        <v>32</v>
      </c>
      <c r="D137">
        <v>8</v>
      </c>
      <c r="E137">
        <v>2</v>
      </c>
      <c r="F137">
        <v>3</v>
      </c>
      <c r="G137" t="s">
        <v>117</v>
      </c>
      <c r="H137">
        <f>IFERROR(ROUND(COUNTIFS(Tasks!$A:$A,$A137,Tasks!$B:$B,$B137,Tasks!$C:$C,$G137,Tasks!$I:$I,"&lt;="&amp;INDEX(Weeks!$D:$D,MATCH($C137,Weeks!$A:$A,0)),Tasks!$I:$I,"&lt;&gt;")/COUNTIFS(Tasks!$A:$A,$A137,Tasks!$B:$B,$B137,Tasks!$C:$C,$G137)*100,0),"")</f>
        <v>0</v>
      </c>
    </row>
    <row r="138" spans="1:8" ht="15" hidden="1" customHeight="1">
      <c r="A138" t="s">
        <v>93</v>
      </c>
      <c r="B138" t="s">
        <v>94</v>
      </c>
      <c r="C138">
        <v>33</v>
      </c>
      <c r="D138">
        <v>8</v>
      </c>
      <c r="E138">
        <v>3</v>
      </c>
      <c r="F138">
        <v>3</v>
      </c>
      <c r="G138" t="s">
        <v>117</v>
      </c>
      <c r="H138">
        <f>IFERROR(ROUND(COUNTIFS(Tasks!$A:$A,$A138,Tasks!$B:$B,$B138,Tasks!$C:$C,$G138,Tasks!$I:$I,"&lt;="&amp;INDEX(Weeks!$D:$D,MATCH($C138,Weeks!$A:$A,0)),Tasks!$I:$I,"&lt;&gt;")/COUNTIFS(Tasks!$A:$A,$A138,Tasks!$B:$B,$B138,Tasks!$C:$C,$G138)*100,0),"")</f>
        <v>0</v>
      </c>
    </row>
    <row r="139" spans="1:8" ht="15" hidden="1" customHeight="1">
      <c r="A139" t="s">
        <v>93</v>
      </c>
      <c r="B139" t="s">
        <v>94</v>
      </c>
      <c r="C139">
        <v>34</v>
      </c>
      <c r="D139">
        <v>8</v>
      </c>
      <c r="E139">
        <v>4</v>
      </c>
      <c r="F139">
        <v>3</v>
      </c>
      <c r="G139" t="s">
        <v>117</v>
      </c>
      <c r="H139">
        <f>IFERROR(ROUND(COUNTIFS(Tasks!$A:$A,$A139,Tasks!$B:$B,$B139,Tasks!$C:$C,$G139,Tasks!$I:$I,"&lt;="&amp;INDEX(Weeks!$D:$D,MATCH($C139,Weeks!$A:$A,0)),Tasks!$I:$I,"&lt;&gt;")/COUNTIFS(Tasks!$A:$A,$A139,Tasks!$B:$B,$B139,Tasks!$C:$C,$G139)*100,0),"")</f>
        <v>0</v>
      </c>
    </row>
    <row r="140" spans="1:8" ht="15" hidden="1" customHeight="1">
      <c r="A140" t="s">
        <v>93</v>
      </c>
      <c r="B140" t="s">
        <v>94</v>
      </c>
      <c r="C140">
        <v>35</v>
      </c>
      <c r="D140">
        <v>8</v>
      </c>
      <c r="E140">
        <v>5</v>
      </c>
      <c r="F140">
        <v>3</v>
      </c>
      <c r="G140" t="s">
        <v>117</v>
      </c>
      <c r="H140">
        <f>IFERROR(ROUND(COUNTIFS(Tasks!$A:$A,$A140,Tasks!$B:$B,$B140,Tasks!$C:$C,$G140,Tasks!$I:$I,"&lt;="&amp;INDEX(Weeks!$D:$D,MATCH($C140,Weeks!$A:$A,0)),Tasks!$I:$I,"&lt;&gt;")/COUNTIFS(Tasks!$A:$A,$A140,Tasks!$B:$B,$B140,Tasks!$C:$C,$G140)*100,0),"")</f>
        <v>0</v>
      </c>
    </row>
    <row r="141" spans="1:8" ht="15" hidden="1" customHeight="1">
      <c r="A141" t="s">
        <v>93</v>
      </c>
      <c r="B141" t="s">
        <v>94</v>
      </c>
      <c r="C141">
        <v>36</v>
      </c>
      <c r="D141">
        <v>9</v>
      </c>
      <c r="E141">
        <v>1</v>
      </c>
      <c r="F141">
        <v>3</v>
      </c>
      <c r="G141" t="s">
        <v>117</v>
      </c>
      <c r="H141">
        <f>IFERROR(ROUND(COUNTIFS(Tasks!$A:$A,$A141,Tasks!$B:$B,$B141,Tasks!$C:$C,$G141,Tasks!$I:$I,"&lt;="&amp;INDEX(Weeks!$D:$D,MATCH($C141,Weeks!$A:$A,0)),Tasks!$I:$I,"&lt;&gt;")/COUNTIFS(Tasks!$A:$A,$A141,Tasks!$B:$B,$B141,Tasks!$C:$C,$G141)*100,0),"")</f>
        <v>0</v>
      </c>
    </row>
    <row r="142" spans="1:8" ht="15" hidden="1" customHeight="1">
      <c r="A142" t="s">
        <v>93</v>
      </c>
      <c r="B142" t="s">
        <v>94</v>
      </c>
      <c r="C142">
        <v>37</v>
      </c>
      <c r="D142">
        <v>9</v>
      </c>
      <c r="E142">
        <v>2</v>
      </c>
      <c r="F142">
        <v>3</v>
      </c>
      <c r="G142" t="s">
        <v>117</v>
      </c>
      <c r="H142">
        <f>IFERROR(ROUND(COUNTIFS(Tasks!$A:$A,$A142,Tasks!$B:$B,$B142,Tasks!$C:$C,$G142,Tasks!$I:$I,"&lt;="&amp;INDEX(Weeks!$D:$D,MATCH($C142,Weeks!$A:$A,0)),Tasks!$I:$I,"&lt;&gt;")/COUNTIFS(Tasks!$A:$A,$A142,Tasks!$B:$B,$B142,Tasks!$C:$C,$G142)*100,0),"")</f>
        <v>0</v>
      </c>
    </row>
    <row r="143" spans="1:8" ht="15" hidden="1" customHeight="1">
      <c r="A143" t="s">
        <v>93</v>
      </c>
      <c r="B143" t="s">
        <v>94</v>
      </c>
      <c r="C143">
        <v>38</v>
      </c>
      <c r="D143">
        <v>9</v>
      </c>
      <c r="E143">
        <v>3</v>
      </c>
      <c r="F143">
        <v>3</v>
      </c>
      <c r="G143" t="s">
        <v>117</v>
      </c>
      <c r="H143">
        <f>IFERROR(ROUND(COUNTIFS(Tasks!$A:$A,$A143,Tasks!$B:$B,$B143,Tasks!$C:$C,$G143,Tasks!$I:$I,"&lt;="&amp;INDEX(Weeks!$D:$D,MATCH($C143,Weeks!$A:$A,0)),Tasks!$I:$I,"&lt;&gt;")/COUNTIFS(Tasks!$A:$A,$A143,Tasks!$B:$B,$B143,Tasks!$C:$C,$G143)*100,0),"")</f>
        <v>0</v>
      </c>
    </row>
    <row r="144" spans="1:8" ht="15" hidden="1" customHeight="1">
      <c r="A144" t="s">
        <v>93</v>
      </c>
      <c r="B144" t="s">
        <v>94</v>
      </c>
      <c r="C144">
        <v>39</v>
      </c>
      <c r="D144">
        <v>9</v>
      </c>
      <c r="E144">
        <v>4</v>
      </c>
      <c r="F144">
        <v>3</v>
      </c>
      <c r="G144" t="s">
        <v>117</v>
      </c>
      <c r="H144">
        <f>IFERROR(ROUND(COUNTIFS(Tasks!$A:$A,$A144,Tasks!$B:$B,$B144,Tasks!$C:$C,$G144,Tasks!$I:$I,"&lt;="&amp;INDEX(Weeks!$D:$D,MATCH($C144,Weeks!$A:$A,0)),Tasks!$I:$I,"&lt;&gt;")/COUNTIFS(Tasks!$A:$A,$A144,Tasks!$B:$B,$B144,Tasks!$C:$C,$G144)*100,0),"")</f>
        <v>0</v>
      </c>
    </row>
    <row r="145" spans="1:8" ht="15" hidden="1" customHeight="1">
      <c r="A145" t="s">
        <v>93</v>
      </c>
      <c r="B145" t="s">
        <v>94</v>
      </c>
      <c r="C145">
        <v>40</v>
      </c>
      <c r="D145">
        <v>10</v>
      </c>
      <c r="E145">
        <v>1</v>
      </c>
      <c r="F145">
        <v>3</v>
      </c>
      <c r="G145" t="s">
        <v>117</v>
      </c>
      <c r="H145">
        <f>IFERROR(ROUND(COUNTIFS(Tasks!$A:$A,$A145,Tasks!$B:$B,$B145,Tasks!$C:$C,$G145,Tasks!$I:$I,"&lt;="&amp;INDEX(Weeks!$D:$D,MATCH($C145,Weeks!$A:$A,0)),Tasks!$I:$I,"&lt;&gt;")/COUNTIFS(Tasks!$A:$A,$A145,Tasks!$B:$B,$B145,Tasks!$C:$C,$G145)*100,0),"")</f>
        <v>0</v>
      </c>
    </row>
    <row r="146" spans="1:8" ht="15" hidden="1" customHeight="1">
      <c r="A146" t="s">
        <v>93</v>
      </c>
      <c r="B146" t="s">
        <v>94</v>
      </c>
      <c r="C146">
        <v>41</v>
      </c>
      <c r="D146">
        <v>10</v>
      </c>
      <c r="E146">
        <v>2</v>
      </c>
      <c r="F146">
        <v>3</v>
      </c>
      <c r="G146" t="s">
        <v>117</v>
      </c>
      <c r="H146">
        <f>IFERROR(ROUND(COUNTIFS(Tasks!$A:$A,$A146,Tasks!$B:$B,$B146,Tasks!$C:$C,$G146,Tasks!$I:$I,"&lt;="&amp;INDEX(Weeks!$D:$D,MATCH($C146,Weeks!$A:$A,0)),Tasks!$I:$I,"&lt;&gt;")/COUNTIFS(Tasks!$A:$A,$A146,Tasks!$B:$B,$B146,Tasks!$C:$C,$G146)*100,0),"")</f>
        <v>0</v>
      </c>
    </row>
    <row r="147" spans="1:8" ht="15" hidden="1" customHeight="1">
      <c r="A147" t="s">
        <v>93</v>
      </c>
      <c r="B147" t="s">
        <v>94</v>
      </c>
      <c r="C147">
        <v>42</v>
      </c>
      <c r="D147">
        <v>10</v>
      </c>
      <c r="E147">
        <v>3</v>
      </c>
      <c r="F147">
        <v>3</v>
      </c>
      <c r="G147" t="s">
        <v>117</v>
      </c>
      <c r="H147">
        <f>IFERROR(ROUND(COUNTIFS(Tasks!$A:$A,$A147,Tasks!$B:$B,$B147,Tasks!$C:$C,$G147,Tasks!$I:$I,"&lt;="&amp;INDEX(Weeks!$D:$D,MATCH($C147,Weeks!$A:$A,0)),Tasks!$I:$I,"&lt;&gt;")/COUNTIFS(Tasks!$A:$A,$A147,Tasks!$B:$B,$B147,Tasks!$C:$C,$G147)*100,0),"")</f>
        <v>0</v>
      </c>
    </row>
    <row r="148" spans="1:8" ht="15" hidden="1" customHeight="1">
      <c r="A148" t="s">
        <v>93</v>
      </c>
      <c r="B148" t="s">
        <v>94</v>
      </c>
      <c r="C148">
        <v>43</v>
      </c>
      <c r="D148">
        <v>10</v>
      </c>
      <c r="E148">
        <v>4</v>
      </c>
      <c r="F148">
        <v>3</v>
      </c>
      <c r="G148" t="s">
        <v>117</v>
      </c>
      <c r="H148">
        <f>IFERROR(ROUND(COUNTIFS(Tasks!$A:$A,$A148,Tasks!$B:$B,$B148,Tasks!$C:$C,$G148,Tasks!$I:$I,"&lt;="&amp;INDEX(Weeks!$D:$D,MATCH($C148,Weeks!$A:$A,0)),Tasks!$I:$I,"&lt;&gt;")/COUNTIFS(Tasks!$A:$A,$A148,Tasks!$B:$B,$B148,Tasks!$C:$C,$G148)*100,0),"")</f>
        <v>0</v>
      </c>
    </row>
    <row r="149" spans="1:8" ht="15" hidden="1" customHeight="1">
      <c r="A149" t="s">
        <v>93</v>
      </c>
      <c r="B149" t="s">
        <v>94</v>
      </c>
      <c r="C149">
        <v>44</v>
      </c>
      <c r="D149">
        <v>10</v>
      </c>
      <c r="E149">
        <v>5</v>
      </c>
      <c r="F149">
        <v>3</v>
      </c>
      <c r="G149" t="s">
        <v>117</v>
      </c>
      <c r="H149">
        <f>IFERROR(ROUND(COUNTIFS(Tasks!$A:$A,$A149,Tasks!$B:$B,$B149,Tasks!$C:$C,$G149,Tasks!$I:$I,"&lt;="&amp;INDEX(Weeks!$D:$D,MATCH($C149,Weeks!$A:$A,0)),Tasks!$I:$I,"&lt;&gt;")/COUNTIFS(Tasks!$A:$A,$A149,Tasks!$B:$B,$B149,Tasks!$C:$C,$G149)*100,0),"")</f>
        <v>0</v>
      </c>
    </row>
    <row r="150" spans="1:8" ht="15" hidden="1" customHeight="1">
      <c r="A150" t="s">
        <v>93</v>
      </c>
      <c r="B150" t="s">
        <v>94</v>
      </c>
      <c r="C150">
        <v>45</v>
      </c>
      <c r="D150">
        <v>11</v>
      </c>
      <c r="E150">
        <v>1</v>
      </c>
      <c r="F150">
        <v>3</v>
      </c>
      <c r="G150" t="s">
        <v>117</v>
      </c>
      <c r="H150">
        <f>IFERROR(ROUND(COUNTIFS(Tasks!$A:$A,$A150,Tasks!$B:$B,$B150,Tasks!$C:$C,$G150,Tasks!$I:$I,"&lt;="&amp;INDEX(Weeks!$D:$D,MATCH($C150,Weeks!$A:$A,0)),Tasks!$I:$I,"&lt;&gt;")/COUNTIFS(Tasks!$A:$A,$A150,Tasks!$B:$B,$B150,Tasks!$C:$C,$G150)*100,0),"")</f>
        <v>0</v>
      </c>
    </row>
    <row r="151" spans="1:8" ht="15" hidden="1" customHeight="1">
      <c r="A151" t="s">
        <v>93</v>
      </c>
      <c r="B151" t="s">
        <v>94</v>
      </c>
      <c r="C151">
        <v>46</v>
      </c>
      <c r="D151">
        <v>11</v>
      </c>
      <c r="E151">
        <v>2</v>
      </c>
      <c r="F151">
        <v>3</v>
      </c>
      <c r="G151" t="s">
        <v>117</v>
      </c>
      <c r="H151">
        <f>IFERROR(ROUND(COUNTIFS(Tasks!$A:$A,$A151,Tasks!$B:$B,$B151,Tasks!$C:$C,$G151,Tasks!$I:$I,"&lt;="&amp;INDEX(Weeks!$D:$D,MATCH($C151,Weeks!$A:$A,0)),Tasks!$I:$I,"&lt;&gt;")/COUNTIFS(Tasks!$A:$A,$A151,Tasks!$B:$B,$B151,Tasks!$C:$C,$G151)*100,0),"")</f>
        <v>0</v>
      </c>
    </row>
    <row r="152" spans="1:8" ht="15" hidden="1" customHeight="1">
      <c r="A152" t="s">
        <v>93</v>
      </c>
      <c r="B152" t="s">
        <v>94</v>
      </c>
      <c r="C152">
        <v>47</v>
      </c>
      <c r="D152">
        <v>11</v>
      </c>
      <c r="E152">
        <v>3</v>
      </c>
      <c r="F152">
        <v>3</v>
      </c>
      <c r="G152" t="s">
        <v>117</v>
      </c>
      <c r="H152">
        <f>IFERROR(ROUND(COUNTIFS(Tasks!$A:$A,$A152,Tasks!$B:$B,$B152,Tasks!$C:$C,$G152,Tasks!$I:$I,"&lt;="&amp;INDEX(Weeks!$D:$D,MATCH($C152,Weeks!$A:$A,0)),Tasks!$I:$I,"&lt;&gt;")/COUNTIFS(Tasks!$A:$A,$A152,Tasks!$B:$B,$B152,Tasks!$C:$C,$G152)*100,0),"")</f>
        <v>0</v>
      </c>
    </row>
    <row r="153" spans="1:8" ht="15" hidden="1" customHeight="1">
      <c r="A153" t="s">
        <v>93</v>
      </c>
      <c r="B153" t="s">
        <v>94</v>
      </c>
      <c r="C153">
        <v>48</v>
      </c>
      <c r="D153">
        <v>11</v>
      </c>
      <c r="E153">
        <v>4</v>
      </c>
      <c r="F153">
        <v>3</v>
      </c>
      <c r="G153" t="s">
        <v>117</v>
      </c>
      <c r="H153">
        <f>IFERROR(ROUND(COUNTIFS(Tasks!$A:$A,$A153,Tasks!$B:$B,$B153,Tasks!$C:$C,$G153,Tasks!$I:$I,"&lt;="&amp;INDEX(Weeks!$D:$D,MATCH($C153,Weeks!$A:$A,0)),Tasks!$I:$I,"&lt;&gt;")/COUNTIFS(Tasks!$A:$A,$A153,Tasks!$B:$B,$B153,Tasks!$C:$C,$G153)*100,0),"")</f>
        <v>0</v>
      </c>
    </row>
    <row r="154" spans="1:8" ht="15" hidden="1" customHeight="1">
      <c r="A154" t="s">
        <v>93</v>
      </c>
      <c r="B154" t="s">
        <v>94</v>
      </c>
      <c r="C154">
        <v>49</v>
      </c>
      <c r="D154">
        <v>12</v>
      </c>
      <c r="E154">
        <v>1</v>
      </c>
      <c r="F154">
        <v>3</v>
      </c>
      <c r="G154" t="s">
        <v>117</v>
      </c>
      <c r="H154">
        <f>IFERROR(ROUND(COUNTIFS(Tasks!$A:$A,$A154,Tasks!$B:$B,$B154,Tasks!$C:$C,$G154,Tasks!$I:$I,"&lt;="&amp;INDEX(Weeks!$D:$D,MATCH($C154,Weeks!$A:$A,0)),Tasks!$I:$I,"&lt;&gt;")/COUNTIFS(Tasks!$A:$A,$A154,Tasks!$B:$B,$B154,Tasks!$C:$C,$G154)*100,0),"")</f>
        <v>0</v>
      </c>
    </row>
    <row r="155" spans="1:8" ht="15" hidden="1" customHeight="1">
      <c r="A155" t="s">
        <v>93</v>
      </c>
      <c r="B155" t="s">
        <v>94</v>
      </c>
      <c r="C155">
        <v>50</v>
      </c>
      <c r="D155">
        <v>12</v>
      </c>
      <c r="E155">
        <v>2</v>
      </c>
      <c r="F155">
        <v>3</v>
      </c>
      <c r="G155" t="s">
        <v>117</v>
      </c>
      <c r="H155">
        <f>IFERROR(ROUND(COUNTIFS(Tasks!$A:$A,$A155,Tasks!$B:$B,$B155,Tasks!$C:$C,$G155,Tasks!$I:$I,"&lt;="&amp;INDEX(Weeks!$D:$D,MATCH($C155,Weeks!$A:$A,0)),Tasks!$I:$I,"&lt;&gt;")/COUNTIFS(Tasks!$A:$A,$A155,Tasks!$B:$B,$B155,Tasks!$C:$C,$G155)*100,0),"")</f>
        <v>0</v>
      </c>
    </row>
    <row r="156" spans="1:8" ht="15" hidden="1" customHeight="1">
      <c r="A156" t="s">
        <v>93</v>
      </c>
      <c r="B156" t="s">
        <v>94</v>
      </c>
      <c r="C156">
        <v>51</v>
      </c>
      <c r="D156">
        <v>12</v>
      </c>
      <c r="E156">
        <v>3</v>
      </c>
      <c r="F156">
        <v>3</v>
      </c>
      <c r="G156" t="s">
        <v>117</v>
      </c>
      <c r="H156">
        <f>IFERROR(ROUND(COUNTIFS(Tasks!$A:$A,$A156,Tasks!$B:$B,$B156,Tasks!$C:$C,$G156,Tasks!$I:$I,"&lt;="&amp;INDEX(Weeks!$D:$D,MATCH($C156,Weeks!$A:$A,0)),Tasks!$I:$I,"&lt;&gt;")/COUNTIFS(Tasks!$A:$A,$A156,Tasks!$B:$B,$B156,Tasks!$C:$C,$G156)*100,0),"")</f>
        <v>0</v>
      </c>
    </row>
    <row r="157" spans="1:8" ht="15" hidden="1" customHeight="1">
      <c r="A157" t="s">
        <v>93</v>
      </c>
      <c r="B157" t="s">
        <v>94</v>
      </c>
      <c r="C157">
        <v>52</v>
      </c>
      <c r="D157">
        <v>12</v>
      </c>
      <c r="E157">
        <v>4</v>
      </c>
      <c r="F157">
        <v>3</v>
      </c>
      <c r="G157" t="s">
        <v>117</v>
      </c>
      <c r="H157">
        <f>IFERROR(ROUND(COUNTIFS(Tasks!$A:$A,$A157,Tasks!$B:$B,$B157,Tasks!$C:$C,$G157,Tasks!$I:$I,"&lt;="&amp;INDEX(Weeks!$D:$D,MATCH($C157,Weeks!$A:$A,0)),Tasks!$I:$I,"&lt;&gt;")/COUNTIFS(Tasks!$A:$A,$A157,Tasks!$B:$B,$B157,Tasks!$C:$C,$G157)*100,0),"")</f>
        <v>0</v>
      </c>
    </row>
    <row r="158" spans="1:8" ht="15" hidden="1" customHeight="1">
      <c r="A158" t="s">
        <v>93</v>
      </c>
      <c r="B158" t="s">
        <v>94</v>
      </c>
      <c r="C158">
        <v>1</v>
      </c>
      <c r="D158">
        <v>1</v>
      </c>
      <c r="E158">
        <v>1</v>
      </c>
      <c r="F158">
        <v>4</v>
      </c>
      <c r="G158" t="s">
        <v>118</v>
      </c>
      <c r="H158">
        <f>IFERROR(ROUND(COUNTIFS(Tasks!$A:$A,$A158,Tasks!$B:$B,$B158,Tasks!$C:$C,$G158,Tasks!$I:$I,"&lt;="&amp;INDEX(Weeks!$D:$D,MATCH($C158,Weeks!$A:$A,0)),Tasks!$I:$I,"&lt;&gt;")/COUNTIFS(Tasks!$A:$A,$A158,Tasks!$B:$B,$B158,Tasks!$C:$C,$G158)*100,0),"")</f>
        <v>0</v>
      </c>
    </row>
    <row r="159" spans="1:8" ht="15" hidden="1" customHeight="1">
      <c r="A159" t="s">
        <v>93</v>
      </c>
      <c r="B159" t="s">
        <v>94</v>
      </c>
      <c r="C159">
        <v>2</v>
      </c>
      <c r="D159">
        <v>1</v>
      </c>
      <c r="E159">
        <v>2</v>
      </c>
      <c r="F159">
        <v>4</v>
      </c>
      <c r="G159" t="s">
        <v>118</v>
      </c>
      <c r="H159">
        <f>IFERROR(ROUND(COUNTIFS(Tasks!$A:$A,$A159,Tasks!$B:$B,$B159,Tasks!$C:$C,$G159,Tasks!$I:$I,"&lt;="&amp;INDEX(Weeks!$D:$D,MATCH($C159,Weeks!$A:$A,0)),Tasks!$I:$I,"&lt;&gt;")/COUNTIFS(Tasks!$A:$A,$A159,Tasks!$B:$B,$B159,Tasks!$C:$C,$G159)*100,0),"")</f>
        <v>0</v>
      </c>
    </row>
    <row r="160" spans="1:8" ht="15" hidden="1" customHeight="1">
      <c r="A160" t="s">
        <v>93</v>
      </c>
      <c r="B160" t="s">
        <v>94</v>
      </c>
      <c r="C160">
        <v>3</v>
      </c>
      <c r="D160">
        <v>1</v>
      </c>
      <c r="E160">
        <v>3</v>
      </c>
      <c r="F160">
        <v>4</v>
      </c>
      <c r="G160" t="s">
        <v>118</v>
      </c>
      <c r="H160">
        <f>IFERROR(ROUND(COUNTIFS(Tasks!$A:$A,$A160,Tasks!$B:$B,$B160,Tasks!$C:$C,$G160,Tasks!$I:$I,"&lt;="&amp;INDEX(Weeks!$D:$D,MATCH($C160,Weeks!$A:$A,0)),Tasks!$I:$I,"&lt;&gt;")/COUNTIFS(Tasks!$A:$A,$A160,Tasks!$B:$B,$B160,Tasks!$C:$C,$G160)*100,0),"")</f>
        <v>0</v>
      </c>
    </row>
    <row r="161" spans="1:8" ht="15" hidden="1" customHeight="1">
      <c r="A161" t="s">
        <v>93</v>
      </c>
      <c r="B161" t="s">
        <v>94</v>
      </c>
      <c r="C161">
        <v>4</v>
      </c>
      <c r="D161">
        <v>1</v>
      </c>
      <c r="E161">
        <v>4</v>
      </c>
      <c r="F161">
        <v>4</v>
      </c>
      <c r="G161" t="s">
        <v>118</v>
      </c>
      <c r="H161">
        <f>IFERROR(ROUND(COUNTIFS(Tasks!$A:$A,$A161,Tasks!$B:$B,$B161,Tasks!$C:$C,$G161,Tasks!$I:$I,"&lt;="&amp;INDEX(Weeks!$D:$D,MATCH($C161,Weeks!$A:$A,0)),Tasks!$I:$I,"&lt;&gt;")/COUNTIFS(Tasks!$A:$A,$A161,Tasks!$B:$B,$B161,Tasks!$C:$C,$G161)*100,0),"")</f>
        <v>0</v>
      </c>
    </row>
    <row r="162" spans="1:8" ht="15" hidden="1" customHeight="1">
      <c r="A162" t="s">
        <v>93</v>
      </c>
      <c r="B162" t="s">
        <v>94</v>
      </c>
      <c r="C162">
        <v>5</v>
      </c>
      <c r="D162">
        <v>1</v>
      </c>
      <c r="E162">
        <v>5</v>
      </c>
      <c r="F162">
        <v>4</v>
      </c>
      <c r="G162" t="s">
        <v>118</v>
      </c>
      <c r="H162">
        <f>IFERROR(ROUND(COUNTIFS(Tasks!$A:$A,$A162,Tasks!$B:$B,$B162,Tasks!$C:$C,$G162,Tasks!$I:$I,"&lt;="&amp;INDEX(Weeks!$D:$D,MATCH($C162,Weeks!$A:$A,0)),Tasks!$I:$I,"&lt;&gt;")/COUNTIFS(Tasks!$A:$A,$A162,Tasks!$B:$B,$B162,Tasks!$C:$C,$G162)*100,0),"")</f>
        <v>0</v>
      </c>
    </row>
    <row r="163" spans="1:8" ht="15" hidden="1" customHeight="1">
      <c r="A163" t="s">
        <v>93</v>
      </c>
      <c r="B163" t="s">
        <v>94</v>
      </c>
      <c r="C163">
        <v>6</v>
      </c>
      <c r="D163">
        <v>2</v>
      </c>
      <c r="E163">
        <v>1</v>
      </c>
      <c r="F163">
        <v>4</v>
      </c>
      <c r="G163" t="s">
        <v>118</v>
      </c>
      <c r="H163">
        <f>IFERROR(ROUND(COUNTIFS(Tasks!$A:$A,$A163,Tasks!$B:$B,$B163,Tasks!$C:$C,$G163,Tasks!$I:$I,"&lt;="&amp;INDEX(Weeks!$D:$D,MATCH($C163,Weeks!$A:$A,0)),Tasks!$I:$I,"&lt;&gt;")/COUNTIFS(Tasks!$A:$A,$A163,Tasks!$B:$B,$B163,Tasks!$C:$C,$G163)*100,0),"")</f>
        <v>0</v>
      </c>
    </row>
    <row r="164" spans="1:8" ht="15" hidden="1" customHeight="1">
      <c r="A164" t="s">
        <v>93</v>
      </c>
      <c r="B164" t="s">
        <v>94</v>
      </c>
      <c r="C164">
        <v>7</v>
      </c>
      <c r="D164">
        <v>2</v>
      </c>
      <c r="E164">
        <v>2</v>
      </c>
      <c r="F164">
        <v>4</v>
      </c>
      <c r="G164" t="s">
        <v>118</v>
      </c>
      <c r="H164">
        <f>IFERROR(ROUND(COUNTIFS(Tasks!$A:$A,$A164,Tasks!$B:$B,$B164,Tasks!$C:$C,$G164,Tasks!$I:$I,"&lt;="&amp;INDEX(Weeks!$D:$D,MATCH($C164,Weeks!$A:$A,0)),Tasks!$I:$I,"&lt;&gt;")/COUNTIFS(Tasks!$A:$A,$A164,Tasks!$B:$B,$B164,Tasks!$C:$C,$G164)*100,0),"")</f>
        <v>0</v>
      </c>
    </row>
    <row r="165" spans="1:8" ht="15" hidden="1" customHeight="1">
      <c r="A165" t="s">
        <v>93</v>
      </c>
      <c r="B165" t="s">
        <v>94</v>
      </c>
      <c r="C165">
        <v>8</v>
      </c>
      <c r="D165">
        <v>2</v>
      </c>
      <c r="E165">
        <v>3</v>
      </c>
      <c r="F165">
        <v>4</v>
      </c>
      <c r="G165" t="s">
        <v>118</v>
      </c>
      <c r="H165">
        <f>IFERROR(ROUND(COUNTIFS(Tasks!$A:$A,$A165,Tasks!$B:$B,$B165,Tasks!$C:$C,$G165,Tasks!$I:$I,"&lt;="&amp;INDEX(Weeks!$D:$D,MATCH($C165,Weeks!$A:$A,0)),Tasks!$I:$I,"&lt;&gt;")/COUNTIFS(Tasks!$A:$A,$A165,Tasks!$B:$B,$B165,Tasks!$C:$C,$G165)*100,0),"")</f>
        <v>0</v>
      </c>
    </row>
    <row r="166" spans="1:8" ht="15" hidden="1" customHeight="1">
      <c r="A166" t="s">
        <v>93</v>
      </c>
      <c r="B166" t="s">
        <v>94</v>
      </c>
      <c r="C166">
        <v>9</v>
      </c>
      <c r="D166">
        <v>2</v>
      </c>
      <c r="E166">
        <v>4</v>
      </c>
      <c r="F166">
        <v>4</v>
      </c>
      <c r="G166" t="s">
        <v>118</v>
      </c>
      <c r="H166">
        <f>IFERROR(ROUND(COUNTIFS(Tasks!$A:$A,$A166,Tasks!$B:$B,$B166,Tasks!$C:$C,$G166,Tasks!$I:$I,"&lt;="&amp;INDEX(Weeks!$D:$D,MATCH($C166,Weeks!$A:$A,0)),Tasks!$I:$I,"&lt;&gt;")/COUNTIFS(Tasks!$A:$A,$A166,Tasks!$B:$B,$B166,Tasks!$C:$C,$G166)*100,0),"")</f>
        <v>0</v>
      </c>
    </row>
    <row r="167" spans="1:8" ht="15" hidden="1" customHeight="1">
      <c r="A167" t="s">
        <v>93</v>
      </c>
      <c r="B167" t="s">
        <v>94</v>
      </c>
      <c r="C167">
        <v>10</v>
      </c>
      <c r="D167">
        <v>3</v>
      </c>
      <c r="E167">
        <v>1</v>
      </c>
      <c r="F167">
        <v>4</v>
      </c>
      <c r="G167" t="s">
        <v>118</v>
      </c>
      <c r="H167">
        <f>IFERROR(ROUND(COUNTIFS(Tasks!$A:$A,$A167,Tasks!$B:$B,$B167,Tasks!$C:$C,$G167,Tasks!$I:$I,"&lt;="&amp;INDEX(Weeks!$D:$D,MATCH($C167,Weeks!$A:$A,0)),Tasks!$I:$I,"&lt;&gt;")/COUNTIFS(Tasks!$A:$A,$A167,Tasks!$B:$B,$B167,Tasks!$C:$C,$G167)*100,0),"")</f>
        <v>0</v>
      </c>
    </row>
    <row r="168" spans="1:8" ht="15" hidden="1" customHeight="1">
      <c r="A168" t="s">
        <v>93</v>
      </c>
      <c r="B168" t="s">
        <v>94</v>
      </c>
      <c r="C168">
        <v>11</v>
      </c>
      <c r="D168">
        <v>3</v>
      </c>
      <c r="E168">
        <v>2</v>
      </c>
      <c r="F168">
        <v>4</v>
      </c>
      <c r="G168" t="s">
        <v>118</v>
      </c>
      <c r="H168">
        <f>IFERROR(ROUND(COUNTIFS(Tasks!$A:$A,$A168,Tasks!$B:$B,$B168,Tasks!$C:$C,$G168,Tasks!$I:$I,"&lt;="&amp;INDEX(Weeks!$D:$D,MATCH($C168,Weeks!$A:$A,0)),Tasks!$I:$I,"&lt;&gt;")/COUNTIFS(Tasks!$A:$A,$A168,Tasks!$B:$B,$B168,Tasks!$C:$C,$G168)*100,0),"")</f>
        <v>0</v>
      </c>
    </row>
    <row r="169" spans="1:8" ht="15" hidden="1" customHeight="1">
      <c r="A169" t="s">
        <v>93</v>
      </c>
      <c r="B169" t="s">
        <v>94</v>
      </c>
      <c r="C169">
        <v>12</v>
      </c>
      <c r="D169">
        <v>3</v>
      </c>
      <c r="E169">
        <v>3</v>
      </c>
      <c r="F169">
        <v>4</v>
      </c>
      <c r="G169" t="s">
        <v>118</v>
      </c>
      <c r="H169">
        <f>IFERROR(ROUND(COUNTIFS(Tasks!$A:$A,$A169,Tasks!$B:$B,$B169,Tasks!$C:$C,$G169,Tasks!$I:$I,"&lt;="&amp;INDEX(Weeks!$D:$D,MATCH($C169,Weeks!$A:$A,0)),Tasks!$I:$I,"&lt;&gt;")/COUNTIFS(Tasks!$A:$A,$A169,Tasks!$B:$B,$B169,Tasks!$C:$C,$G169)*100,0),"")</f>
        <v>0</v>
      </c>
    </row>
    <row r="170" spans="1:8" ht="15" hidden="1" customHeight="1">
      <c r="A170" t="s">
        <v>93</v>
      </c>
      <c r="B170" t="s">
        <v>94</v>
      </c>
      <c r="C170">
        <v>13</v>
      </c>
      <c r="D170">
        <v>3</v>
      </c>
      <c r="E170">
        <v>4</v>
      </c>
      <c r="F170">
        <v>4</v>
      </c>
      <c r="G170" t="s">
        <v>118</v>
      </c>
      <c r="H170">
        <f>IFERROR(ROUND(COUNTIFS(Tasks!$A:$A,$A170,Tasks!$B:$B,$B170,Tasks!$C:$C,$G170,Tasks!$I:$I,"&lt;="&amp;INDEX(Weeks!$D:$D,MATCH($C170,Weeks!$A:$A,0)),Tasks!$I:$I,"&lt;&gt;")/COUNTIFS(Tasks!$A:$A,$A170,Tasks!$B:$B,$B170,Tasks!$C:$C,$G170)*100,0),"")</f>
        <v>0</v>
      </c>
    </row>
    <row r="171" spans="1:8" ht="15" hidden="1" customHeight="1">
      <c r="A171" t="s">
        <v>93</v>
      </c>
      <c r="B171" t="s">
        <v>94</v>
      </c>
      <c r="C171">
        <v>14</v>
      </c>
      <c r="D171">
        <v>4</v>
      </c>
      <c r="E171">
        <v>1</v>
      </c>
      <c r="F171">
        <v>4</v>
      </c>
      <c r="G171" t="s">
        <v>118</v>
      </c>
      <c r="H171">
        <f>IFERROR(ROUND(COUNTIFS(Tasks!$A:$A,$A171,Tasks!$B:$B,$B171,Tasks!$C:$C,$G171,Tasks!$I:$I,"&lt;="&amp;INDEX(Weeks!$D:$D,MATCH($C171,Weeks!$A:$A,0)),Tasks!$I:$I,"&lt;&gt;")/COUNTIFS(Tasks!$A:$A,$A171,Tasks!$B:$B,$B171,Tasks!$C:$C,$G171)*100,0),"")</f>
        <v>0</v>
      </c>
    </row>
    <row r="172" spans="1:8" ht="15" hidden="1" customHeight="1">
      <c r="A172" t="s">
        <v>93</v>
      </c>
      <c r="B172" t="s">
        <v>94</v>
      </c>
      <c r="C172">
        <v>15</v>
      </c>
      <c r="D172">
        <v>4</v>
      </c>
      <c r="E172">
        <v>2</v>
      </c>
      <c r="F172">
        <v>4</v>
      </c>
      <c r="G172" t="s">
        <v>118</v>
      </c>
      <c r="H172">
        <f>IFERROR(ROUND(COUNTIFS(Tasks!$A:$A,$A172,Tasks!$B:$B,$B172,Tasks!$C:$C,$G172,Tasks!$I:$I,"&lt;="&amp;INDEX(Weeks!$D:$D,MATCH($C172,Weeks!$A:$A,0)),Tasks!$I:$I,"&lt;&gt;")/COUNTIFS(Tasks!$A:$A,$A172,Tasks!$B:$B,$B172,Tasks!$C:$C,$G172)*100,0),"")</f>
        <v>0</v>
      </c>
    </row>
    <row r="173" spans="1:8" ht="15" hidden="1" customHeight="1">
      <c r="A173" t="s">
        <v>93</v>
      </c>
      <c r="B173" t="s">
        <v>94</v>
      </c>
      <c r="C173">
        <v>16</v>
      </c>
      <c r="D173">
        <v>4</v>
      </c>
      <c r="E173">
        <v>3</v>
      </c>
      <c r="F173">
        <v>4</v>
      </c>
      <c r="G173" t="s">
        <v>118</v>
      </c>
      <c r="H173">
        <f>IFERROR(ROUND(COUNTIFS(Tasks!$A:$A,$A173,Tasks!$B:$B,$B173,Tasks!$C:$C,$G173,Tasks!$I:$I,"&lt;="&amp;INDEX(Weeks!$D:$D,MATCH($C173,Weeks!$A:$A,0)),Tasks!$I:$I,"&lt;&gt;")/COUNTIFS(Tasks!$A:$A,$A173,Tasks!$B:$B,$B173,Tasks!$C:$C,$G173)*100,0),"")</f>
        <v>0</v>
      </c>
    </row>
    <row r="174" spans="1:8" ht="15" hidden="1" customHeight="1">
      <c r="A174" t="s">
        <v>93</v>
      </c>
      <c r="B174" t="s">
        <v>94</v>
      </c>
      <c r="C174">
        <v>17</v>
      </c>
      <c r="D174">
        <v>4</v>
      </c>
      <c r="E174">
        <v>4</v>
      </c>
      <c r="F174">
        <v>4</v>
      </c>
      <c r="G174" t="s">
        <v>118</v>
      </c>
      <c r="H174">
        <f>IFERROR(ROUND(COUNTIFS(Tasks!$A:$A,$A174,Tasks!$B:$B,$B174,Tasks!$C:$C,$G174,Tasks!$I:$I,"&lt;="&amp;INDEX(Weeks!$D:$D,MATCH($C174,Weeks!$A:$A,0)),Tasks!$I:$I,"&lt;&gt;")/COUNTIFS(Tasks!$A:$A,$A174,Tasks!$B:$B,$B174,Tasks!$C:$C,$G174)*100,0),"")</f>
        <v>0</v>
      </c>
    </row>
    <row r="175" spans="1:8" ht="15" hidden="1" customHeight="1">
      <c r="A175" t="s">
        <v>93</v>
      </c>
      <c r="B175" t="s">
        <v>94</v>
      </c>
      <c r="C175">
        <v>18</v>
      </c>
      <c r="D175">
        <v>5</v>
      </c>
      <c r="E175">
        <v>1</v>
      </c>
      <c r="F175">
        <v>4</v>
      </c>
      <c r="G175" t="s">
        <v>118</v>
      </c>
      <c r="H175">
        <f>IFERROR(ROUND(COUNTIFS(Tasks!$A:$A,$A175,Tasks!$B:$B,$B175,Tasks!$C:$C,$G175,Tasks!$I:$I,"&lt;="&amp;INDEX(Weeks!$D:$D,MATCH($C175,Weeks!$A:$A,0)),Tasks!$I:$I,"&lt;&gt;")/COUNTIFS(Tasks!$A:$A,$A175,Tasks!$B:$B,$B175,Tasks!$C:$C,$G175)*100,0),"")</f>
        <v>0</v>
      </c>
    </row>
    <row r="176" spans="1:8" ht="15" hidden="1" customHeight="1">
      <c r="A176" t="s">
        <v>93</v>
      </c>
      <c r="B176" t="s">
        <v>94</v>
      </c>
      <c r="C176">
        <v>19</v>
      </c>
      <c r="D176">
        <v>5</v>
      </c>
      <c r="E176">
        <v>2</v>
      </c>
      <c r="F176">
        <v>4</v>
      </c>
      <c r="G176" t="s">
        <v>118</v>
      </c>
      <c r="H176">
        <f>IFERROR(ROUND(COUNTIFS(Tasks!$A:$A,$A176,Tasks!$B:$B,$B176,Tasks!$C:$C,$G176,Tasks!$I:$I,"&lt;="&amp;INDEX(Weeks!$D:$D,MATCH($C176,Weeks!$A:$A,0)),Tasks!$I:$I,"&lt;&gt;")/COUNTIFS(Tasks!$A:$A,$A176,Tasks!$B:$B,$B176,Tasks!$C:$C,$G176)*100,0),"")</f>
        <v>0</v>
      </c>
    </row>
    <row r="177" spans="1:8" ht="15" hidden="1" customHeight="1">
      <c r="A177" t="s">
        <v>93</v>
      </c>
      <c r="B177" t="s">
        <v>94</v>
      </c>
      <c r="C177">
        <v>20</v>
      </c>
      <c r="D177">
        <v>5</v>
      </c>
      <c r="E177">
        <v>3</v>
      </c>
      <c r="F177">
        <v>4</v>
      </c>
      <c r="G177" t="s">
        <v>118</v>
      </c>
      <c r="H177">
        <f>IFERROR(ROUND(COUNTIFS(Tasks!$A:$A,$A177,Tasks!$B:$B,$B177,Tasks!$C:$C,$G177,Tasks!$I:$I,"&lt;="&amp;INDEX(Weeks!$D:$D,MATCH($C177,Weeks!$A:$A,0)),Tasks!$I:$I,"&lt;&gt;")/COUNTIFS(Tasks!$A:$A,$A177,Tasks!$B:$B,$B177,Tasks!$C:$C,$G177)*100,0),"")</f>
        <v>0</v>
      </c>
    </row>
    <row r="178" spans="1:8" ht="15" hidden="1" customHeight="1">
      <c r="A178" t="s">
        <v>93</v>
      </c>
      <c r="B178" t="s">
        <v>94</v>
      </c>
      <c r="C178">
        <v>21</v>
      </c>
      <c r="D178">
        <v>5</v>
      </c>
      <c r="E178">
        <v>4</v>
      </c>
      <c r="F178">
        <v>4</v>
      </c>
      <c r="G178" t="s">
        <v>118</v>
      </c>
      <c r="H178">
        <f>IFERROR(ROUND(COUNTIFS(Tasks!$A:$A,$A178,Tasks!$B:$B,$B178,Tasks!$C:$C,$G178,Tasks!$I:$I,"&lt;="&amp;INDEX(Weeks!$D:$D,MATCH($C178,Weeks!$A:$A,0)),Tasks!$I:$I,"&lt;&gt;")/COUNTIFS(Tasks!$A:$A,$A178,Tasks!$B:$B,$B178,Tasks!$C:$C,$G178)*100,0),"")</f>
        <v>0</v>
      </c>
    </row>
    <row r="179" spans="1:8" ht="15" hidden="1" customHeight="1">
      <c r="A179" t="s">
        <v>93</v>
      </c>
      <c r="B179" t="s">
        <v>94</v>
      </c>
      <c r="C179">
        <v>22</v>
      </c>
      <c r="D179">
        <v>5</v>
      </c>
      <c r="E179">
        <v>5</v>
      </c>
      <c r="F179">
        <v>4</v>
      </c>
      <c r="G179" t="s">
        <v>118</v>
      </c>
      <c r="H179">
        <f>IFERROR(ROUND(COUNTIFS(Tasks!$A:$A,$A179,Tasks!$B:$B,$B179,Tasks!$C:$C,$G179,Tasks!$I:$I,"&lt;="&amp;INDEX(Weeks!$D:$D,MATCH($C179,Weeks!$A:$A,0)),Tasks!$I:$I,"&lt;&gt;")/COUNTIFS(Tasks!$A:$A,$A179,Tasks!$B:$B,$B179,Tasks!$C:$C,$G179)*100,0),"")</f>
        <v>0</v>
      </c>
    </row>
    <row r="180" spans="1:8" ht="15" hidden="1" customHeight="1">
      <c r="A180" t="s">
        <v>93</v>
      </c>
      <c r="B180" t="s">
        <v>94</v>
      </c>
      <c r="C180">
        <v>23</v>
      </c>
      <c r="D180">
        <v>6</v>
      </c>
      <c r="E180">
        <v>1</v>
      </c>
      <c r="F180">
        <v>4</v>
      </c>
      <c r="G180" t="s">
        <v>118</v>
      </c>
      <c r="H180">
        <f>IFERROR(ROUND(COUNTIFS(Tasks!$A:$A,$A180,Tasks!$B:$B,$B180,Tasks!$C:$C,$G180,Tasks!$I:$I,"&lt;="&amp;INDEX(Weeks!$D:$D,MATCH($C180,Weeks!$A:$A,0)),Tasks!$I:$I,"&lt;&gt;")/COUNTIFS(Tasks!$A:$A,$A180,Tasks!$B:$B,$B180,Tasks!$C:$C,$G180)*100,0),"")</f>
        <v>0</v>
      </c>
    </row>
    <row r="181" spans="1:8" ht="15" hidden="1" customHeight="1">
      <c r="A181" t="s">
        <v>93</v>
      </c>
      <c r="B181" t="s">
        <v>94</v>
      </c>
      <c r="C181">
        <v>24</v>
      </c>
      <c r="D181">
        <v>6</v>
      </c>
      <c r="E181">
        <v>2</v>
      </c>
      <c r="F181">
        <v>4</v>
      </c>
      <c r="G181" t="s">
        <v>118</v>
      </c>
      <c r="H181">
        <f>IFERROR(ROUND(COUNTIFS(Tasks!$A:$A,$A181,Tasks!$B:$B,$B181,Tasks!$C:$C,$G181,Tasks!$I:$I,"&lt;="&amp;INDEX(Weeks!$D:$D,MATCH($C181,Weeks!$A:$A,0)),Tasks!$I:$I,"&lt;&gt;")/COUNTIFS(Tasks!$A:$A,$A181,Tasks!$B:$B,$B181,Tasks!$C:$C,$G181)*100,0),"")</f>
        <v>0</v>
      </c>
    </row>
    <row r="182" spans="1:8" ht="15" hidden="1" customHeight="1">
      <c r="A182" t="s">
        <v>93</v>
      </c>
      <c r="B182" t="s">
        <v>94</v>
      </c>
      <c r="C182">
        <v>25</v>
      </c>
      <c r="D182">
        <v>6</v>
      </c>
      <c r="E182">
        <v>3</v>
      </c>
      <c r="F182">
        <v>4</v>
      </c>
      <c r="G182" t="s">
        <v>118</v>
      </c>
      <c r="H182">
        <f>IFERROR(ROUND(COUNTIFS(Tasks!$A:$A,$A182,Tasks!$B:$B,$B182,Tasks!$C:$C,$G182,Tasks!$I:$I,"&lt;="&amp;INDEX(Weeks!$D:$D,MATCH($C182,Weeks!$A:$A,0)),Tasks!$I:$I,"&lt;&gt;")/COUNTIFS(Tasks!$A:$A,$A182,Tasks!$B:$B,$B182,Tasks!$C:$C,$G182)*100,0),"")</f>
        <v>0</v>
      </c>
    </row>
    <row r="183" spans="1:8" ht="15" hidden="1" customHeight="1">
      <c r="A183" t="s">
        <v>93</v>
      </c>
      <c r="B183" t="s">
        <v>94</v>
      </c>
      <c r="C183">
        <v>26</v>
      </c>
      <c r="D183">
        <v>6</v>
      </c>
      <c r="E183">
        <v>4</v>
      </c>
      <c r="F183">
        <v>4</v>
      </c>
      <c r="G183" t="s">
        <v>118</v>
      </c>
      <c r="H183">
        <f>IFERROR(ROUND(COUNTIFS(Tasks!$A:$A,$A183,Tasks!$B:$B,$B183,Tasks!$C:$C,$G183,Tasks!$I:$I,"&lt;="&amp;INDEX(Weeks!$D:$D,MATCH($C183,Weeks!$A:$A,0)),Tasks!$I:$I,"&lt;&gt;")/COUNTIFS(Tasks!$A:$A,$A183,Tasks!$B:$B,$B183,Tasks!$C:$C,$G183)*100,0),"")</f>
        <v>0</v>
      </c>
    </row>
    <row r="184" spans="1:8" ht="15" hidden="1" customHeight="1">
      <c r="A184" t="s">
        <v>93</v>
      </c>
      <c r="B184" t="s">
        <v>94</v>
      </c>
      <c r="C184">
        <v>27</v>
      </c>
      <c r="D184">
        <v>7</v>
      </c>
      <c r="E184">
        <v>1</v>
      </c>
      <c r="F184">
        <v>4</v>
      </c>
      <c r="G184" t="s">
        <v>118</v>
      </c>
      <c r="H184">
        <f>IFERROR(ROUND(COUNTIFS(Tasks!$A:$A,$A184,Tasks!$B:$B,$B184,Tasks!$C:$C,$G184,Tasks!$I:$I,"&lt;="&amp;INDEX(Weeks!$D:$D,MATCH($C184,Weeks!$A:$A,0)),Tasks!$I:$I,"&lt;&gt;")/COUNTIFS(Tasks!$A:$A,$A184,Tasks!$B:$B,$B184,Tasks!$C:$C,$G184)*100,0),"")</f>
        <v>0</v>
      </c>
    </row>
    <row r="185" spans="1:8" ht="15" hidden="1" customHeight="1">
      <c r="A185" t="s">
        <v>93</v>
      </c>
      <c r="B185" t="s">
        <v>94</v>
      </c>
      <c r="C185">
        <v>28</v>
      </c>
      <c r="D185">
        <v>7</v>
      </c>
      <c r="E185">
        <v>2</v>
      </c>
      <c r="F185">
        <v>4</v>
      </c>
      <c r="G185" t="s">
        <v>118</v>
      </c>
      <c r="H185">
        <f>IFERROR(ROUND(COUNTIFS(Tasks!$A:$A,$A185,Tasks!$B:$B,$B185,Tasks!$C:$C,$G185,Tasks!$I:$I,"&lt;="&amp;INDEX(Weeks!$D:$D,MATCH($C185,Weeks!$A:$A,0)),Tasks!$I:$I,"&lt;&gt;")/COUNTIFS(Tasks!$A:$A,$A185,Tasks!$B:$B,$B185,Tasks!$C:$C,$G185)*100,0),"")</f>
        <v>0</v>
      </c>
    </row>
    <row r="186" spans="1:8" ht="15" hidden="1" customHeight="1">
      <c r="A186" t="s">
        <v>93</v>
      </c>
      <c r="B186" t="s">
        <v>94</v>
      </c>
      <c r="C186">
        <v>29</v>
      </c>
      <c r="D186">
        <v>7</v>
      </c>
      <c r="E186">
        <v>3</v>
      </c>
      <c r="F186">
        <v>4</v>
      </c>
      <c r="G186" t="s">
        <v>118</v>
      </c>
      <c r="H186">
        <f>IFERROR(ROUND(COUNTIFS(Tasks!$A:$A,$A186,Tasks!$B:$B,$B186,Tasks!$C:$C,$G186,Tasks!$I:$I,"&lt;="&amp;INDEX(Weeks!$D:$D,MATCH($C186,Weeks!$A:$A,0)),Tasks!$I:$I,"&lt;&gt;")/COUNTIFS(Tasks!$A:$A,$A186,Tasks!$B:$B,$B186,Tasks!$C:$C,$G186)*100,0),"")</f>
        <v>0</v>
      </c>
    </row>
    <row r="187" spans="1:8" ht="15" hidden="1" customHeight="1">
      <c r="A187" t="s">
        <v>93</v>
      </c>
      <c r="B187" t="s">
        <v>94</v>
      </c>
      <c r="C187">
        <v>30</v>
      </c>
      <c r="D187">
        <v>7</v>
      </c>
      <c r="E187">
        <v>4</v>
      </c>
      <c r="F187">
        <v>4</v>
      </c>
      <c r="G187" t="s">
        <v>118</v>
      </c>
      <c r="H187">
        <f>IFERROR(ROUND(COUNTIFS(Tasks!$A:$A,$A187,Tasks!$B:$B,$B187,Tasks!$C:$C,$G187,Tasks!$I:$I,"&lt;="&amp;INDEX(Weeks!$D:$D,MATCH($C187,Weeks!$A:$A,0)),Tasks!$I:$I,"&lt;&gt;")/COUNTIFS(Tasks!$A:$A,$A187,Tasks!$B:$B,$B187,Tasks!$C:$C,$G187)*100,0),"")</f>
        <v>0</v>
      </c>
    </row>
    <row r="188" spans="1:8" ht="15" hidden="1" customHeight="1">
      <c r="A188" t="s">
        <v>93</v>
      </c>
      <c r="B188" t="s">
        <v>94</v>
      </c>
      <c r="C188">
        <v>31</v>
      </c>
      <c r="D188">
        <v>8</v>
      </c>
      <c r="E188">
        <v>1</v>
      </c>
      <c r="F188">
        <v>4</v>
      </c>
      <c r="G188" t="s">
        <v>118</v>
      </c>
      <c r="H188">
        <f>IFERROR(ROUND(COUNTIFS(Tasks!$A:$A,$A188,Tasks!$B:$B,$B188,Tasks!$C:$C,$G188,Tasks!$I:$I,"&lt;="&amp;INDEX(Weeks!$D:$D,MATCH($C188,Weeks!$A:$A,0)),Tasks!$I:$I,"&lt;&gt;")/COUNTIFS(Tasks!$A:$A,$A188,Tasks!$B:$B,$B188,Tasks!$C:$C,$G188)*100,0),"")</f>
        <v>0</v>
      </c>
    </row>
    <row r="189" spans="1:8" ht="15" hidden="1" customHeight="1">
      <c r="A189" t="s">
        <v>93</v>
      </c>
      <c r="B189" t="s">
        <v>94</v>
      </c>
      <c r="C189">
        <v>32</v>
      </c>
      <c r="D189">
        <v>8</v>
      </c>
      <c r="E189">
        <v>2</v>
      </c>
      <c r="F189">
        <v>4</v>
      </c>
      <c r="G189" t="s">
        <v>118</v>
      </c>
      <c r="H189">
        <f>IFERROR(ROUND(COUNTIFS(Tasks!$A:$A,$A189,Tasks!$B:$B,$B189,Tasks!$C:$C,$G189,Tasks!$I:$I,"&lt;="&amp;INDEX(Weeks!$D:$D,MATCH($C189,Weeks!$A:$A,0)),Tasks!$I:$I,"&lt;&gt;")/COUNTIFS(Tasks!$A:$A,$A189,Tasks!$B:$B,$B189,Tasks!$C:$C,$G189)*100,0),"")</f>
        <v>0</v>
      </c>
    </row>
    <row r="190" spans="1:8" ht="15" hidden="1" customHeight="1">
      <c r="A190" t="s">
        <v>93</v>
      </c>
      <c r="B190" t="s">
        <v>94</v>
      </c>
      <c r="C190">
        <v>33</v>
      </c>
      <c r="D190">
        <v>8</v>
      </c>
      <c r="E190">
        <v>3</v>
      </c>
      <c r="F190">
        <v>4</v>
      </c>
      <c r="G190" t="s">
        <v>118</v>
      </c>
      <c r="H190">
        <f>IFERROR(ROUND(COUNTIFS(Tasks!$A:$A,$A190,Tasks!$B:$B,$B190,Tasks!$C:$C,$G190,Tasks!$I:$I,"&lt;="&amp;INDEX(Weeks!$D:$D,MATCH($C190,Weeks!$A:$A,0)),Tasks!$I:$I,"&lt;&gt;")/COUNTIFS(Tasks!$A:$A,$A190,Tasks!$B:$B,$B190,Tasks!$C:$C,$G190)*100,0),"")</f>
        <v>0</v>
      </c>
    </row>
    <row r="191" spans="1:8" ht="15" hidden="1" customHeight="1">
      <c r="A191" t="s">
        <v>93</v>
      </c>
      <c r="B191" t="s">
        <v>94</v>
      </c>
      <c r="C191">
        <v>34</v>
      </c>
      <c r="D191">
        <v>8</v>
      </c>
      <c r="E191">
        <v>4</v>
      </c>
      <c r="F191">
        <v>4</v>
      </c>
      <c r="G191" t="s">
        <v>118</v>
      </c>
      <c r="H191">
        <f>IFERROR(ROUND(COUNTIFS(Tasks!$A:$A,$A191,Tasks!$B:$B,$B191,Tasks!$C:$C,$G191,Tasks!$I:$I,"&lt;="&amp;INDEX(Weeks!$D:$D,MATCH($C191,Weeks!$A:$A,0)),Tasks!$I:$I,"&lt;&gt;")/COUNTIFS(Tasks!$A:$A,$A191,Tasks!$B:$B,$B191,Tasks!$C:$C,$G191)*100,0),"")</f>
        <v>0</v>
      </c>
    </row>
    <row r="192" spans="1:8" ht="15" hidden="1" customHeight="1">
      <c r="A192" t="s">
        <v>93</v>
      </c>
      <c r="B192" t="s">
        <v>94</v>
      </c>
      <c r="C192">
        <v>35</v>
      </c>
      <c r="D192">
        <v>8</v>
      </c>
      <c r="E192">
        <v>5</v>
      </c>
      <c r="F192">
        <v>4</v>
      </c>
      <c r="G192" t="s">
        <v>118</v>
      </c>
      <c r="H192">
        <f>IFERROR(ROUND(COUNTIFS(Tasks!$A:$A,$A192,Tasks!$B:$B,$B192,Tasks!$C:$C,$G192,Tasks!$I:$I,"&lt;="&amp;INDEX(Weeks!$D:$D,MATCH($C192,Weeks!$A:$A,0)),Tasks!$I:$I,"&lt;&gt;")/COUNTIFS(Tasks!$A:$A,$A192,Tasks!$B:$B,$B192,Tasks!$C:$C,$G192)*100,0),"")</f>
        <v>0</v>
      </c>
    </row>
    <row r="193" spans="1:8" ht="15" hidden="1" customHeight="1">
      <c r="A193" t="s">
        <v>93</v>
      </c>
      <c r="B193" t="s">
        <v>94</v>
      </c>
      <c r="C193">
        <v>36</v>
      </c>
      <c r="D193">
        <v>9</v>
      </c>
      <c r="E193">
        <v>1</v>
      </c>
      <c r="F193">
        <v>4</v>
      </c>
      <c r="G193" t="s">
        <v>118</v>
      </c>
      <c r="H193">
        <f>IFERROR(ROUND(COUNTIFS(Tasks!$A:$A,$A193,Tasks!$B:$B,$B193,Tasks!$C:$C,$G193,Tasks!$I:$I,"&lt;="&amp;INDEX(Weeks!$D:$D,MATCH($C193,Weeks!$A:$A,0)),Tasks!$I:$I,"&lt;&gt;")/COUNTIFS(Tasks!$A:$A,$A193,Tasks!$B:$B,$B193,Tasks!$C:$C,$G193)*100,0),"")</f>
        <v>0</v>
      </c>
    </row>
    <row r="194" spans="1:8" ht="15" hidden="1" customHeight="1">
      <c r="A194" t="s">
        <v>93</v>
      </c>
      <c r="B194" t="s">
        <v>94</v>
      </c>
      <c r="C194">
        <v>37</v>
      </c>
      <c r="D194">
        <v>9</v>
      </c>
      <c r="E194">
        <v>2</v>
      </c>
      <c r="F194">
        <v>4</v>
      </c>
      <c r="G194" t="s">
        <v>118</v>
      </c>
      <c r="H194">
        <f>IFERROR(ROUND(COUNTIFS(Tasks!$A:$A,$A194,Tasks!$B:$B,$B194,Tasks!$C:$C,$G194,Tasks!$I:$I,"&lt;="&amp;INDEX(Weeks!$D:$D,MATCH($C194,Weeks!$A:$A,0)),Tasks!$I:$I,"&lt;&gt;")/COUNTIFS(Tasks!$A:$A,$A194,Tasks!$B:$B,$B194,Tasks!$C:$C,$G194)*100,0),"")</f>
        <v>0</v>
      </c>
    </row>
    <row r="195" spans="1:8" ht="15" hidden="1" customHeight="1">
      <c r="A195" t="s">
        <v>93</v>
      </c>
      <c r="B195" t="s">
        <v>94</v>
      </c>
      <c r="C195">
        <v>38</v>
      </c>
      <c r="D195">
        <v>9</v>
      </c>
      <c r="E195">
        <v>3</v>
      </c>
      <c r="F195">
        <v>4</v>
      </c>
      <c r="G195" t="s">
        <v>118</v>
      </c>
      <c r="H195">
        <f>IFERROR(ROUND(COUNTIFS(Tasks!$A:$A,$A195,Tasks!$B:$B,$B195,Tasks!$C:$C,$G195,Tasks!$I:$I,"&lt;="&amp;INDEX(Weeks!$D:$D,MATCH($C195,Weeks!$A:$A,0)),Tasks!$I:$I,"&lt;&gt;")/COUNTIFS(Tasks!$A:$A,$A195,Tasks!$B:$B,$B195,Tasks!$C:$C,$G195)*100,0),"")</f>
        <v>0</v>
      </c>
    </row>
    <row r="196" spans="1:8" ht="15" hidden="1" customHeight="1">
      <c r="A196" t="s">
        <v>93</v>
      </c>
      <c r="B196" t="s">
        <v>94</v>
      </c>
      <c r="C196">
        <v>39</v>
      </c>
      <c r="D196">
        <v>9</v>
      </c>
      <c r="E196">
        <v>4</v>
      </c>
      <c r="F196">
        <v>4</v>
      </c>
      <c r="G196" t="s">
        <v>118</v>
      </c>
      <c r="H196">
        <f>IFERROR(ROUND(COUNTIFS(Tasks!$A:$A,$A196,Tasks!$B:$B,$B196,Tasks!$C:$C,$G196,Tasks!$I:$I,"&lt;="&amp;INDEX(Weeks!$D:$D,MATCH($C196,Weeks!$A:$A,0)),Tasks!$I:$I,"&lt;&gt;")/COUNTIFS(Tasks!$A:$A,$A196,Tasks!$B:$B,$B196,Tasks!$C:$C,$G196)*100,0),"")</f>
        <v>0</v>
      </c>
    </row>
    <row r="197" spans="1:8" ht="15" hidden="1" customHeight="1">
      <c r="A197" t="s">
        <v>93</v>
      </c>
      <c r="B197" t="s">
        <v>94</v>
      </c>
      <c r="C197">
        <v>40</v>
      </c>
      <c r="D197">
        <v>10</v>
      </c>
      <c r="E197">
        <v>1</v>
      </c>
      <c r="F197">
        <v>4</v>
      </c>
      <c r="G197" t="s">
        <v>118</v>
      </c>
      <c r="H197">
        <f>IFERROR(ROUND(COUNTIFS(Tasks!$A:$A,$A197,Tasks!$B:$B,$B197,Tasks!$C:$C,$G197,Tasks!$I:$I,"&lt;="&amp;INDEX(Weeks!$D:$D,MATCH($C197,Weeks!$A:$A,0)),Tasks!$I:$I,"&lt;&gt;")/COUNTIFS(Tasks!$A:$A,$A197,Tasks!$B:$B,$B197,Tasks!$C:$C,$G197)*100,0),"")</f>
        <v>0</v>
      </c>
    </row>
    <row r="198" spans="1:8" ht="15" hidden="1" customHeight="1">
      <c r="A198" t="s">
        <v>93</v>
      </c>
      <c r="B198" t="s">
        <v>94</v>
      </c>
      <c r="C198">
        <v>41</v>
      </c>
      <c r="D198">
        <v>10</v>
      </c>
      <c r="E198">
        <v>2</v>
      </c>
      <c r="F198">
        <v>4</v>
      </c>
      <c r="G198" t="s">
        <v>118</v>
      </c>
      <c r="H198">
        <f>IFERROR(ROUND(COUNTIFS(Tasks!$A:$A,$A198,Tasks!$B:$B,$B198,Tasks!$C:$C,$G198,Tasks!$I:$I,"&lt;="&amp;INDEX(Weeks!$D:$D,MATCH($C198,Weeks!$A:$A,0)),Tasks!$I:$I,"&lt;&gt;")/COUNTIFS(Tasks!$A:$A,$A198,Tasks!$B:$B,$B198,Tasks!$C:$C,$G198)*100,0),"")</f>
        <v>0</v>
      </c>
    </row>
    <row r="199" spans="1:8" ht="15" hidden="1" customHeight="1">
      <c r="A199" t="s">
        <v>93</v>
      </c>
      <c r="B199" t="s">
        <v>94</v>
      </c>
      <c r="C199">
        <v>42</v>
      </c>
      <c r="D199">
        <v>10</v>
      </c>
      <c r="E199">
        <v>3</v>
      </c>
      <c r="F199">
        <v>4</v>
      </c>
      <c r="G199" t="s">
        <v>118</v>
      </c>
      <c r="H199">
        <f>IFERROR(ROUND(COUNTIFS(Tasks!$A:$A,$A199,Tasks!$B:$B,$B199,Tasks!$C:$C,$G199,Tasks!$I:$I,"&lt;="&amp;INDEX(Weeks!$D:$D,MATCH($C199,Weeks!$A:$A,0)),Tasks!$I:$I,"&lt;&gt;")/COUNTIFS(Tasks!$A:$A,$A199,Tasks!$B:$B,$B199,Tasks!$C:$C,$G199)*100,0),"")</f>
        <v>0</v>
      </c>
    </row>
    <row r="200" spans="1:8" ht="15" hidden="1" customHeight="1">
      <c r="A200" t="s">
        <v>93</v>
      </c>
      <c r="B200" t="s">
        <v>94</v>
      </c>
      <c r="C200">
        <v>43</v>
      </c>
      <c r="D200">
        <v>10</v>
      </c>
      <c r="E200">
        <v>4</v>
      </c>
      <c r="F200">
        <v>4</v>
      </c>
      <c r="G200" t="s">
        <v>118</v>
      </c>
      <c r="H200">
        <f>IFERROR(ROUND(COUNTIFS(Tasks!$A:$A,$A200,Tasks!$B:$B,$B200,Tasks!$C:$C,$G200,Tasks!$I:$I,"&lt;="&amp;INDEX(Weeks!$D:$D,MATCH($C200,Weeks!$A:$A,0)),Tasks!$I:$I,"&lt;&gt;")/COUNTIFS(Tasks!$A:$A,$A200,Tasks!$B:$B,$B200,Tasks!$C:$C,$G200)*100,0),"")</f>
        <v>0</v>
      </c>
    </row>
    <row r="201" spans="1:8" ht="15" hidden="1" customHeight="1">
      <c r="A201" t="s">
        <v>93</v>
      </c>
      <c r="B201" t="s">
        <v>94</v>
      </c>
      <c r="C201">
        <v>44</v>
      </c>
      <c r="D201">
        <v>10</v>
      </c>
      <c r="E201">
        <v>5</v>
      </c>
      <c r="F201">
        <v>4</v>
      </c>
      <c r="G201" t="s">
        <v>118</v>
      </c>
      <c r="H201">
        <f>IFERROR(ROUND(COUNTIFS(Tasks!$A:$A,$A201,Tasks!$B:$B,$B201,Tasks!$C:$C,$G201,Tasks!$I:$I,"&lt;="&amp;INDEX(Weeks!$D:$D,MATCH($C201,Weeks!$A:$A,0)),Tasks!$I:$I,"&lt;&gt;")/COUNTIFS(Tasks!$A:$A,$A201,Tasks!$B:$B,$B201,Tasks!$C:$C,$G201)*100,0),"")</f>
        <v>0</v>
      </c>
    </row>
    <row r="202" spans="1:8" ht="15" hidden="1" customHeight="1">
      <c r="A202" t="s">
        <v>93</v>
      </c>
      <c r="B202" t="s">
        <v>94</v>
      </c>
      <c r="C202">
        <v>45</v>
      </c>
      <c r="D202">
        <v>11</v>
      </c>
      <c r="E202">
        <v>1</v>
      </c>
      <c r="F202">
        <v>4</v>
      </c>
      <c r="G202" t="s">
        <v>118</v>
      </c>
      <c r="H202">
        <f>IFERROR(ROUND(COUNTIFS(Tasks!$A:$A,$A202,Tasks!$B:$B,$B202,Tasks!$C:$C,$G202,Tasks!$I:$I,"&lt;="&amp;INDEX(Weeks!$D:$D,MATCH($C202,Weeks!$A:$A,0)),Tasks!$I:$I,"&lt;&gt;")/COUNTIFS(Tasks!$A:$A,$A202,Tasks!$B:$B,$B202,Tasks!$C:$C,$G202)*100,0),"")</f>
        <v>0</v>
      </c>
    </row>
    <row r="203" spans="1:8" ht="15" hidden="1" customHeight="1">
      <c r="A203" t="s">
        <v>93</v>
      </c>
      <c r="B203" t="s">
        <v>94</v>
      </c>
      <c r="C203">
        <v>46</v>
      </c>
      <c r="D203">
        <v>11</v>
      </c>
      <c r="E203">
        <v>2</v>
      </c>
      <c r="F203">
        <v>4</v>
      </c>
      <c r="G203" t="s">
        <v>118</v>
      </c>
      <c r="H203">
        <f>IFERROR(ROUND(COUNTIFS(Tasks!$A:$A,$A203,Tasks!$B:$B,$B203,Tasks!$C:$C,$G203,Tasks!$I:$I,"&lt;="&amp;INDEX(Weeks!$D:$D,MATCH($C203,Weeks!$A:$A,0)),Tasks!$I:$I,"&lt;&gt;")/COUNTIFS(Tasks!$A:$A,$A203,Tasks!$B:$B,$B203,Tasks!$C:$C,$G203)*100,0),"")</f>
        <v>0</v>
      </c>
    </row>
    <row r="204" spans="1:8" ht="15" hidden="1" customHeight="1">
      <c r="A204" t="s">
        <v>93</v>
      </c>
      <c r="B204" t="s">
        <v>94</v>
      </c>
      <c r="C204">
        <v>47</v>
      </c>
      <c r="D204">
        <v>11</v>
      </c>
      <c r="E204">
        <v>3</v>
      </c>
      <c r="F204">
        <v>4</v>
      </c>
      <c r="G204" t="s">
        <v>118</v>
      </c>
      <c r="H204">
        <f>IFERROR(ROUND(COUNTIFS(Tasks!$A:$A,$A204,Tasks!$B:$B,$B204,Tasks!$C:$C,$G204,Tasks!$I:$I,"&lt;="&amp;INDEX(Weeks!$D:$D,MATCH($C204,Weeks!$A:$A,0)),Tasks!$I:$I,"&lt;&gt;")/COUNTIFS(Tasks!$A:$A,$A204,Tasks!$B:$B,$B204,Tasks!$C:$C,$G204)*100,0),"")</f>
        <v>0</v>
      </c>
    </row>
    <row r="205" spans="1:8" ht="15" hidden="1" customHeight="1">
      <c r="A205" t="s">
        <v>93</v>
      </c>
      <c r="B205" t="s">
        <v>94</v>
      </c>
      <c r="C205">
        <v>48</v>
      </c>
      <c r="D205">
        <v>11</v>
      </c>
      <c r="E205">
        <v>4</v>
      </c>
      <c r="F205">
        <v>4</v>
      </c>
      <c r="G205" t="s">
        <v>118</v>
      </c>
      <c r="H205">
        <f>IFERROR(ROUND(COUNTIFS(Tasks!$A:$A,$A205,Tasks!$B:$B,$B205,Tasks!$C:$C,$G205,Tasks!$I:$I,"&lt;="&amp;INDEX(Weeks!$D:$D,MATCH($C205,Weeks!$A:$A,0)),Tasks!$I:$I,"&lt;&gt;")/COUNTIFS(Tasks!$A:$A,$A205,Tasks!$B:$B,$B205,Tasks!$C:$C,$G205)*100,0),"")</f>
        <v>0</v>
      </c>
    </row>
    <row r="206" spans="1:8" ht="15" hidden="1" customHeight="1">
      <c r="A206" t="s">
        <v>93</v>
      </c>
      <c r="B206" t="s">
        <v>94</v>
      </c>
      <c r="C206">
        <v>49</v>
      </c>
      <c r="D206">
        <v>12</v>
      </c>
      <c r="E206">
        <v>1</v>
      </c>
      <c r="F206">
        <v>4</v>
      </c>
      <c r="G206" t="s">
        <v>118</v>
      </c>
      <c r="H206">
        <f>IFERROR(ROUND(COUNTIFS(Tasks!$A:$A,$A206,Tasks!$B:$B,$B206,Tasks!$C:$C,$G206,Tasks!$I:$I,"&lt;="&amp;INDEX(Weeks!$D:$D,MATCH($C206,Weeks!$A:$A,0)),Tasks!$I:$I,"&lt;&gt;")/COUNTIFS(Tasks!$A:$A,$A206,Tasks!$B:$B,$B206,Tasks!$C:$C,$G206)*100,0),"")</f>
        <v>0</v>
      </c>
    </row>
    <row r="207" spans="1:8" ht="15" hidden="1" customHeight="1">
      <c r="A207" t="s">
        <v>93</v>
      </c>
      <c r="B207" t="s">
        <v>94</v>
      </c>
      <c r="C207">
        <v>50</v>
      </c>
      <c r="D207">
        <v>12</v>
      </c>
      <c r="E207">
        <v>2</v>
      </c>
      <c r="F207">
        <v>4</v>
      </c>
      <c r="G207" t="s">
        <v>118</v>
      </c>
      <c r="H207">
        <f>IFERROR(ROUND(COUNTIFS(Tasks!$A:$A,$A207,Tasks!$B:$B,$B207,Tasks!$C:$C,$G207,Tasks!$I:$I,"&lt;="&amp;INDEX(Weeks!$D:$D,MATCH($C207,Weeks!$A:$A,0)),Tasks!$I:$I,"&lt;&gt;")/COUNTIFS(Tasks!$A:$A,$A207,Tasks!$B:$B,$B207,Tasks!$C:$C,$G207)*100,0),"")</f>
        <v>0</v>
      </c>
    </row>
    <row r="208" spans="1:8" ht="15" hidden="1" customHeight="1">
      <c r="A208" t="s">
        <v>93</v>
      </c>
      <c r="B208" t="s">
        <v>94</v>
      </c>
      <c r="C208">
        <v>51</v>
      </c>
      <c r="D208">
        <v>12</v>
      </c>
      <c r="E208">
        <v>3</v>
      </c>
      <c r="F208">
        <v>4</v>
      </c>
      <c r="G208" t="s">
        <v>118</v>
      </c>
      <c r="H208">
        <f>IFERROR(ROUND(COUNTIFS(Tasks!$A:$A,$A208,Tasks!$B:$B,$B208,Tasks!$C:$C,$G208,Tasks!$I:$I,"&lt;="&amp;INDEX(Weeks!$D:$D,MATCH($C208,Weeks!$A:$A,0)),Tasks!$I:$I,"&lt;&gt;")/COUNTIFS(Tasks!$A:$A,$A208,Tasks!$B:$B,$B208,Tasks!$C:$C,$G208)*100,0),"")</f>
        <v>0</v>
      </c>
    </row>
    <row r="209" spans="1:8" ht="15" hidden="1" customHeight="1">
      <c r="A209" t="s">
        <v>93</v>
      </c>
      <c r="B209" t="s">
        <v>94</v>
      </c>
      <c r="C209">
        <v>52</v>
      </c>
      <c r="D209">
        <v>12</v>
      </c>
      <c r="E209">
        <v>4</v>
      </c>
      <c r="F209">
        <v>4</v>
      </c>
      <c r="G209" t="s">
        <v>118</v>
      </c>
      <c r="H209">
        <f>IFERROR(ROUND(COUNTIFS(Tasks!$A:$A,$A209,Tasks!$B:$B,$B209,Tasks!$C:$C,$G209,Tasks!$I:$I,"&lt;="&amp;INDEX(Weeks!$D:$D,MATCH($C209,Weeks!$A:$A,0)),Tasks!$I:$I,"&lt;&gt;")/COUNTIFS(Tasks!$A:$A,$A209,Tasks!$B:$B,$B209,Tasks!$C:$C,$G209)*100,0),"")</f>
        <v>0</v>
      </c>
    </row>
    <row r="210" spans="1:8" ht="15" hidden="1" customHeight="1">
      <c r="A210" t="s">
        <v>93</v>
      </c>
      <c r="B210" t="s">
        <v>94</v>
      </c>
      <c r="C210">
        <v>1</v>
      </c>
      <c r="D210">
        <v>1</v>
      </c>
      <c r="E210">
        <v>1</v>
      </c>
      <c r="F210">
        <v>5</v>
      </c>
      <c r="G210" t="s">
        <v>119</v>
      </c>
      <c r="H210">
        <f>IFERROR(ROUND(COUNTIFS(Tasks!$A:$A,$A210,Tasks!$B:$B,$B210,Tasks!$C:$C,$G210,Tasks!$I:$I,"&lt;="&amp;INDEX(Weeks!$D:$D,MATCH($C210,Weeks!$A:$A,0)),Tasks!$I:$I,"&lt;&gt;")/COUNTIFS(Tasks!$A:$A,$A210,Tasks!$B:$B,$B210,Tasks!$C:$C,$G210)*100,0),"")</f>
        <v>0</v>
      </c>
    </row>
    <row r="211" spans="1:8" ht="15" hidden="1" customHeight="1">
      <c r="A211" t="s">
        <v>93</v>
      </c>
      <c r="B211" t="s">
        <v>94</v>
      </c>
      <c r="C211">
        <v>2</v>
      </c>
      <c r="D211">
        <v>1</v>
      </c>
      <c r="E211">
        <v>2</v>
      </c>
      <c r="F211">
        <v>5</v>
      </c>
      <c r="G211" t="s">
        <v>119</v>
      </c>
      <c r="H211">
        <f>IFERROR(ROUND(COUNTIFS(Tasks!$A:$A,$A211,Tasks!$B:$B,$B211,Tasks!$C:$C,$G211,Tasks!$I:$I,"&lt;="&amp;INDEX(Weeks!$D:$D,MATCH($C211,Weeks!$A:$A,0)),Tasks!$I:$I,"&lt;&gt;")/COUNTIFS(Tasks!$A:$A,$A211,Tasks!$B:$B,$B211,Tasks!$C:$C,$G211)*100,0),"")</f>
        <v>0</v>
      </c>
    </row>
    <row r="212" spans="1:8" ht="15" hidden="1" customHeight="1">
      <c r="A212" t="s">
        <v>93</v>
      </c>
      <c r="B212" t="s">
        <v>94</v>
      </c>
      <c r="C212">
        <v>3</v>
      </c>
      <c r="D212">
        <v>1</v>
      </c>
      <c r="E212">
        <v>3</v>
      </c>
      <c r="F212">
        <v>5</v>
      </c>
      <c r="G212" t="s">
        <v>119</v>
      </c>
      <c r="H212">
        <f>IFERROR(ROUND(COUNTIFS(Tasks!$A:$A,$A212,Tasks!$B:$B,$B212,Tasks!$C:$C,$G212,Tasks!$I:$I,"&lt;="&amp;INDEX(Weeks!$D:$D,MATCH($C212,Weeks!$A:$A,0)),Tasks!$I:$I,"&lt;&gt;")/COUNTIFS(Tasks!$A:$A,$A212,Tasks!$B:$B,$B212,Tasks!$C:$C,$G212)*100,0),"")</f>
        <v>0</v>
      </c>
    </row>
    <row r="213" spans="1:8" ht="15" hidden="1" customHeight="1">
      <c r="A213" t="s">
        <v>93</v>
      </c>
      <c r="B213" t="s">
        <v>94</v>
      </c>
      <c r="C213">
        <v>4</v>
      </c>
      <c r="D213">
        <v>1</v>
      </c>
      <c r="E213">
        <v>4</v>
      </c>
      <c r="F213">
        <v>5</v>
      </c>
      <c r="G213" t="s">
        <v>119</v>
      </c>
      <c r="H213">
        <f>IFERROR(ROUND(COUNTIFS(Tasks!$A:$A,$A213,Tasks!$B:$B,$B213,Tasks!$C:$C,$G213,Tasks!$I:$I,"&lt;="&amp;INDEX(Weeks!$D:$D,MATCH($C213,Weeks!$A:$A,0)),Tasks!$I:$I,"&lt;&gt;")/COUNTIFS(Tasks!$A:$A,$A213,Tasks!$B:$B,$B213,Tasks!$C:$C,$G213)*100,0),"")</f>
        <v>0</v>
      </c>
    </row>
    <row r="214" spans="1:8" ht="15" hidden="1" customHeight="1">
      <c r="A214" t="s">
        <v>93</v>
      </c>
      <c r="B214" t="s">
        <v>94</v>
      </c>
      <c r="C214">
        <v>5</v>
      </c>
      <c r="D214">
        <v>1</v>
      </c>
      <c r="E214">
        <v>5</v>
      </c>
      <c r="F214">
        <v>5</v>
      </c>
      <c r="G214" t="s">
        <v>119</v>
      </c>
      <c r="H214">
        <f>IFERROR(ROUND(COUNTIFS(Tasks!$A:$A,$A214,Tasks!$B:$B,$B214,Tasks!$C:$C,$G214,Tasks!$I:$I,"&lt;="&amp;INDEX(Weeks!$D:$D,MATCH($C214,Weeks!$A:$A,0)),Tasks!$I:$I,"&lt;&gt;")/COUNTIFS(Tasks!$A:$A,$A214,Tasks!$B:$B,$B214,Tasks!$C:$C,$G214)*100,0),"")</f>
        <v>0</v>
      </c>
    </row>
    <row r="215" spans="1:8" ht="15" hidden="1" customHeight="1">
      <c r="A215" t="s">
        <v>93</v>
      </c>
      <c r="B215" t="s">
        <v>94</v>
      </c>
      <c r="C215">
        <v>6</v>
      </c>
      <c r="D215">
        <v>2</v>
      </c>
      <c r="E215">
        <v>1</v>
      </c>
      <c r="F215">
        <v>5</v>
      </c>
      <c r="G215" t="s">
        <v>119</v>
      </c>
      <c r="H215">
        <f>IFERROR(ROUND(COUNTIFS(Tasks!$A:$A,$A215,Tasks!$B:$B,$B215,Tasks!$C:$C,$G215,Tasks!$I:$I,"&lt;="&amp;INDEX(Weeks!$D:$D,MATCH($C215,Weeks!$A:$A,0)),Tasks!$I:$I,"&lt;&gt;")/COUNTIFS(Tasks!$A:$A,$A215,Tasks!$B:$B,$B215,Tasks!$C:$C,$G215)*100,0),"")</f>
        <v>0</v>
      </c>
    </row>
    <row r="216" spans="1:8" ht="15" hidden="1" customHeight="1">
      <c r="A216" t="s">
        <v>93</v>
      </c>
      <c r="B216" t="s">
        <v>94</v>
      </c>
      <c r="C216">
        <v>7</v>
      </c>
      <c r="D216">
        <v>2</v>
      </c>
      <c r="E216">
        <v>2</v>
      </c>
      <c r="F216">
        <v>5</v>
      </c>
      <c r="G216" t="s">
        <v>119</v>
      </c>
      <c r="H216">
        <f>IFERROR(ROUND(COUNTIFS(Tasks!$A:$A,$A216,Tasks!$B:$B,$B216,Tasks!$C:$C,$G216,Tasks!$I:$I,"&lt;="&amp;INDEX(Weeks!$D:$D,MATCH($C216,Weeks!$A:$A,0)),Tasks!$I:$I,"&lt;&gt;")/COUNTIFS(Tasks!$A:$A,$A216,Tasks!$B:$B,$B216,Tasks!$C:$C,$G216)*100,0),"")</f>
        <v>0</v>
      </c>
    </row>
    <row r="217" spans="1:8" ht="15" hidden="1" customHeight="1">
      <c r="A217" t="s">
        <v>93</v>
      </c>
      <c r="B217" t="s">
        <v>94</v>
      </c>
      <c r="C217">
        <v>8</v>
      </c>
      <c r="D217">
        <v>2</v>
      </c>
      <c r="E217">
        <v>3</v>
      </c>
      <c r="F217">
        <v>5</v>
      </c>
      <c r="G217" t="s">
        <v>119</v>
      </c>
      <c r="H217">
        <f>IFERROR(ROUND(COUNTIFS(Tasks!$A:$A,$A217,Tasks!$B:$B,$B217,Tasks!$C:$C,$G217,Tasks!$I:$I,"&lt;="&amp;INDEX(Weeks!$D:$D,MATCH($C217,Weeks!$A:$A,0)),Tasks!$I:$I,"&lt;&gt;")/COUNTIFS(Tasks!$A:$A,$A217,Tasks!$B:$B,$B217,Tasks!$C:$C,$G217)*100,0),"")</f>
        <v>0</v>
      </c>
    </row>
    <row r="218" spans="1:8" ht="15" hidden="1" customHeight="1">
      <c r="A218" t="s">
        <v>93</v>
      </c>
      <c r="B218" t="s">
        <v>94</v>
      </c>
      <c r="C218">
        <v>9</v>
      </c>
      <c r="D218">
        <v>2</v>
      </c>
      <c r="E218">
        <v>4</v>
      </c>
      <c r="F218">
        <v>5</v>
      </c>
      <c r="G218" t="s">
        <v>119</v>
      </c>
      <c r="H218">
        <f>IFERROR(ROUND(COUNTIFS(Tasks!$A:$A,$A218,Tasks!$B:$B,$B218,Tasks!$C:$C,$G218,Tasks!$I:$I,"&lt;="&amp;INDEX(Weeks!$D:$D,MATCH($C218,Weeks!$A:$A,0)),Tasks!$I:$I,"&lt;&gt;")/COUNTIFS(Tasks!$A:$A,$A218,Tasks!$B:$B,$B218,Tasks!$C:$C,$G218)*100,0),"")</f>
        <v>0</v>
      </c>
    </row>
    <row r="219" spans="1:8" ht="15" hidden="1" customHeight="1">
      <c r="A219" t="s">
        <v>93</v>
      </c>
      <c r="B219" t="s">
        <v>94</v>
      </c>
      <c r="C219">
        <v>10</v>
      </c>
      <c r="D219">
        <v>3</v>
      </c>
      <c r="E219">
        <v>1</v>
      </c>
      <c r="F219">
        <v>5</v>
      </c>
      <c r="G219" t="s">
        <v>119</v>
      </c>
      <c r="H219">
        <f>IFERROR(ROUND(COUNTIFS(Tasks!$A:$A,$A219,Tasks!$B:$B,$B219,Tasks!$C:$C,$G219,Tasks!$I:$I,"&lt;="&amp;INDEX(Weeks!$D:$D,MATCH($C219,Weeks!$A:$A,0)),Tasks!$I:$I,"&lt;&gt;")/COUNTIFS(Tasks!$A:$A,$A219,Tasks!$B:$B,$B219,Tasks!$C:$C,$G219)*100,0),"")</f>
        <v>0</v>
      </c>
    </row>
    <row r="220" spans="1:8" ht="15" hidden="1" customHeight="1">
      <c r="A220" t="s">
        <v>93</v>
      </c>
      <c r="B220" t="s">
        <v>94</v>
      </c>
      <c r="C220">
        <v>11</v>
      </c>
      <c r="D220">
        <v>3</v>
      </c>
      <c r="E220">
        <v>2</v>
      </c>
      <c r="F220">
        <v>5</v>
      </c>
      <c r="G220" t="s">
        <v>119</v>
      </c>
      <c r="H220">
        <f>IFERROR(ROUND(COUNTIFS(Tasks!$A:$A,$A220,Tasks!$B:$B,$B220,Tasks!$C:$C,$G220,Tasks!$I:$I,"&lt;="&amp;INDEX(Weeks!$D:$D,MATCH($C220,Weeks!$A:$A,0)),Tasks!$I:$I,"&lt;&gt;")/COUNTIFS(Tasks!$A:$A,$A220,Tasks!$B:$B,$B220,Tasks!$C:$C,$G220)*100,0),"")</f>
        <v>0</v>
      </c>
    </row>
    <row r="221" spans="1:8" ht="15" hidden="1" customHeight="1">
      <c r="A221" t="s">
        <v>93</v>
      </c>
      <c r="B221" t="s">
        <v>94</v>
      </c>
      <c r="C221">
        <v>12</v>
      </c>
      <c r="D221">
        <v>3</v>
      </c>
      <c r="E221">
        <v>3</v>
      </c>
      <c r="F221">
        <v>5</v>
      </c>
      <c r="G221" t="s">
        <v>119</v>
      </c>
      <c r="H221">
        <f>IFERROR(ROUND(COUNTIFS(Tasks!$A:$A,$A221,Tasks!$B:$B,$B221,Tasks!$C:$C,$G221,Tasks!$I:$I,"&lt;="&amp;INDEX(Weeks!$D:$D,MATCH($C221,Weeks!$A:$A,0)),Tasks!$I:$I,"&lt;&gt;")/COUNTIFS(Tasks!$A:$A,$A221,Tasks!$B:$B,$B221,Tasks!$C:$C,$G221)*100,0),"")</f>
        <v>0</v>
      </c>
    </row>
    <row r="222" spans="1:8" ht="15" hidden="1" customHeight="1">
      <c r="A222" t="s">
        <v>93</v>
      </c>
      <c r="B222" t="s">
        <v>94</v>
      </c>
      <c r="C222">
        <v>13</v>
      </c>
      <c r="D222">
        <v>3</v>
      </c>
      <c r="E222">
        <v>4</v>
      </c>
      <c r="F222">
        <v>5</v>
      </c>
      <c r="G222" t="s">
        <v>119</v>
      </c>
      <c r="H222">
        <f>IFERROR(ROUND(COUNTIFS(Tasks!$A:$A,$A222,Tasks!$B:$B,$B222,Tasks!$C:$C,$G222,Tasks!$I:$I,"&lt;="&amp;INDEX(Weeks!$D:$D,MATCH($C222,Weeks!$A:$A,0)),Tasks!$I:$I,"&lt;&gt;")/COUNTIFS(Tasks!$A:$A,$A222,Tasks!$B:$B,$B222,Tasks!$C:$C,$G222)*100,0),"")</f>
        <v>0</v>
      </c>
    </row>
    <row r="223" spans="1:8" ht="15" hidden="1" customHeight="1">
      <c r="A223" t="s">
        <v>93</v>
      </c>
      <c r="B223" t="s">
        <v>94</v>
      </c>
      <c r="C223">
        <v>14</v>
      </c>
      <c r="D223">
        <v>4</v>
      </c>
      <c r="E223">
        <v>1</v>
      </c>
      <c r="F223">
        <v>5</v>
      </c>
      <c r="G223" t="s">
        <v>119</v>
      </c>
      <c r="H223">
        <f>IFERROR(ROUND(COUNTIFS(Tasks!$A:$A,$A223,Tasks!$B:$B,$B223,Tasks!$C:$C,$G223,Tasks!$I:$I,"&lt;="&amp;INDEX(Weeks!$D:$D,MATCH($C223,Weeks!$A:$A,0)),Tasks!$I:$I,"&lt;&gt;")/COUNTIFS(Tasks!$A:$A,$A223,Tasks!$B:$B,$B223,Tasks!$C:$C,$G223)*100,0),"")</f>
        <v>0</v>
      </c>
    </row>
    <row r="224" spans="1:8" ht="15" hidden="1" customHeight="1">
      <c r="A224" t="s">
        <v>93</v>
      </c>
      <c r="B224" t="s">
        <v>94</v>
      </c>
      <c r="C224">
        <v>15</v>
      </c>
      <c r="D224">
        <v>4</v>
      </c>
      <c r="E224">
        <v>2</v>
      </c>
      <c r="F224">
        <v>5</v>
      </c>
      <c r="G224" t="s">
        <v>119</v>
      </c>
      <c r="H224">
        <f>IFERROR(ROUND(COUNTIFS(Tasks!$A:$A,$A224,Tasks!$B:$B,$B224,Tasks!$C:$C,$G224,Tasks!$I:$I,"&lt;="&amp;INDEX(Weeks!$D:$D,MATCH($C224,Weeks!$A:$A,0)),Tasks!$I:$I,"&lt;&gt;")/COUNTIFS(Tasks!$A:$A,$A224,Tasks!$B:$B,$B224,Tasks!$C:$C,$G224)*100,0),"")</f>
        <v>0</v>
      </c>
    </row>
    <row r="225" spans="1:8" ht="15" hidden="1" customHeight="1">
      <c r="A225" t="s">
        <v>93</v>
      </c>
      <c r="B225" t="s">
        <v>94</v>
      </c>
      <c r="C225">
        <v>16</v>
      </c>
      <c r="D225">
        <v>4</v>
      </c>
      <c r="E225">
        <v>3</v>
      </c>
      <c r="F225">
        <v>5</v>
      </c>
      <c r="G225" t="s">
        <v>119</v>
      </c>
      <c r="H225">
        <f>IFERROR(ROUND(COUNTIFS(Tasks!$A:$A,$A225,Tasks!$B:$B,$B225,Tasks!$C:$C,$G225,Tasks!$I:$I,"&lt;="&amp;INDEX(Weeks!$D:$D,MATCH($C225,Weeks!$A:$A,0)),Tasks!$I:$I,"&lt;&gt;")/COUNTIFS(Tasks!$A:$A,$A225,Tasks!$B:$B,$B225,Tasks!$C:$C,$G225)*100,0),"")</f>
        <v>0</v>
      </c>
    </row>
    <row r="226" spans="1:8" ht="15" hidden="1" customHeight="1">
      <c r="A226" t="s">
        <v>93</v>
      </c>
      <c r="B226" t="s">
        <v>94</v>
      </c>
      <c r="C226">
        <v>17</v>
      </c>
      <c r="D226">
        <v>4</v>
      </c>
      <c r="E226">
        <v>4</v>
      </c>
      <c r="F226">
        <v>5</v>
      </c>
      <c r="G226" t="s">
        <v>119</v>
      </c>
      <c r="H226">
        <f>IFERROR(ROUND(COUNTIFS(Tasks!$A:$A,$A226,Tasks!$B:$B,$B226,Tasks!$C:$C,$G226,Tasks!$I:$I,"&lt;="&amp;INDEX(Weeks!$D:$D,MATCH($C226,Weeks!$A:$A,0)),Tasks!$I:$I,"&lt;&gt;")/COUNTIFS(Tasks!$A:$A,$A226,Tasks!$B:$B,$B226,Tasks!$C:$C,$G226)*100,0),"")</f>
        <v>0</v>
      </c>
    </row>
    <row r="227" spans="1:8" ht="15" hidden="1" customHeight="1">
      <c r="A227" t="s">
        <v>93</v>
      </c>
      <c r="B227" t="s">
        <v>94</v>
      </c>
      <c r="C227">
        <v>18</v>
      </c>
      <c r="D227">
        <v>5</v>
      </c>
      <c r="E227">
        <v>1</v>
      </c>
      <c r="F227">
        <v>5</v>
      </c>
      <c r="G227" t="s">
        <v>119</v>
      </c>
      <c r="H227">
        <f>IFERROR(ROUND(COUNTIFS(Tasks!$A:$A,$A227,Tasks!$B:$B,$B227,Tasks!$C:$C,$G227,Tasks!$I:$I,"&lt;="&amp;INDEX(Weeks!$D:$D,MATCH($C227,Weeks!$A:$A,0)),Tasks!$I:$I,"&lt;&gt;")/COUNTIFS(Tasks!$A:$A,$A227,Tasks!$B:$B,$B227,Tasks!$C:$C,$G227)*100,0),"")</f>
        <v>0</v>
      </c>
    </row>
    <row r="228" spans="1:8" ht="15" hidden="1" customHeight="1">
      <c r="A228" t="s">
        <v>93</v>
      </c>
      <c r="B228" t="s">
        <v>94</v>
      </c>
      <c r="C228">
        <v>19</v>
      </c>
      <c r="D228">
        <v>5</v>
      </c>
      <c r="E228">
        <v>2</v>
      </c>
      <c r="F228">
        <v>5</v>
      </c>
      <c r="G228" t="s">
        <v>119</v>
      </c>
      <c r="H228">
        <f>IFERROR(ROUND(COUNTIFS(Tasks!$A:$A,$A228,Tasks!$B:$B,$B228,Tasks!$C:$C,$G228,Tasks!$I:$I,"&lt;="&amp;INDEX(Weeks!$D:$D,MATCH($C228,Weeks!$A:$A,0)),Tasks!$I:$I,"&lt;&gt;")/COUNTIFS(Tasks!$A:$A,$A228,Tasks!$B:$B,$B228,Tasks!$C:$C,$G228)*100,0),"")</f>
        <v>0</v>
      </c>
    </row>
    <row r="229" spans="1:8" ht="15" hidden="1" customHeight="1">
      <c r="A229" t="s">
        <v>93</v>
      </c>
      <c r="B229" t="s">
        <v>94</v>
      </c>
      <c r="C229">
        <v>20</v>
      </c>
      <c r="D229">
        <v>5</v>
      </c>
      <c r="E229">
        <v>3</v>
      </c>
      <c r="F229">
        <v>5</v>
      </c>
      <c r="G229" t="s">
        <v>119</v>
      </c>
      <c r="H229">
        <f>IFERROR(ROUND(COUNTIFS(Tasks!$A:$A,$A229,Tasks!$B:$B,$B229,Tasks!$C:$C,$G229,Tasks!$I:$I,"&lt;="&amp;INDEX(Weeks!$D:$D,MATCH($C229,Weeks!$A:$A,0)),Tasks!$I:$I,"&lt;&gt;")/COUNTIFS(Tasks!$A:$A,$A229,Tasks!$B:$B,$B229,Tasks!$C:$C,$G229)*100,0),"")</f>
        <v>0</v>
      </c>
    </row>
    <row r="230" spans="1:8" ht="15" hidden="1" customHeight="1">
      <c r="A230" t="s">
        <v>93</v>
      </c>
      <c r="B230" t="s">
        <v>94</v>
      </c>
      <c r="C230">
        <v>21</v>
      </c>
      <c r="D230">
        <v>5</v>
      </c>
      <c r="E230">
        <v>4</v>
      </c>
      <c r="F230">
        <v>5</v>
      </c>
      <c r="G230" t="s">
        <v>119</v>
      </c>
      <c r="H230">
        <f>IFERROR(ROUND(COUNTIFS(Tasks!$A:$A,$A230,Tasks!$B:$B,$B230,Tasks!$C:$C,$G230,Tasks!$I:$I,"&lt;="&amp;INDEX(Weeks!$D:$D,MATCH($C230,Weeks!$A:$A,0)),Tasks!$I:$I,"&lt;&gt;")/COUNTIFS(Tasks!$A:$A,$A230,Tasks!$B:$B,$B230,Tasks!$C:$C,$G230)*100,0),"")</f>
        <v>0</v>
      </c>
    </row>
    <row r="231" spans="1:8" ht="15" hidden="1" customHeight="1">
      <c r="A231" t="s">
        <v>93</v>
      </c>
      <c r="B231" t="s">
        <v>94</v>
      </c>
      <c r="C231">
        <v>22</v>
      </c>
      <c r="D231">
        <v>5</v>
      </c>
      <c r="E231">
        <v>5</v>
      </c>
      <c r="F231">
        <v>5</v>
      </c>
      <c r="G231" t="s">
        <v>119</v>
      </c>
      <c r="H231">
        <f>IFERROR(ROUND(COUNTIFS(Tasks!$A:$A,$A231,Tasks!$B:$B,$B231,Tasks!$C:$C,$G231,Tasks!$I:$I,"&lt;="&amp;INDEX(Weeks!$D:$D,MATCH($C231,Weeks!$A:$A,0)),Tasks!$I:$I,"&lt;&gt;")/COUNTIFS(Tasks!$A:$A,$A231,Tasks!$B:$B,$B231,Tasks!$C:$C,$G231)*100,0),"")</f>
        <v>0</v>
      </c>
    </row>
    <row r="232" spans="1:8" ht="15" hidden="1" customHeight="1">
      <c r="A232" t="s">
        <v>93</v>
      </c>
      <c r="B232" t="s">
        <v>94</v>
      </c>
      <c r="C232">
        <v>23</v>
      </c>
      <c r="D232">
        <v>6</v>
      </c>
      <c r="E232">
        <v>1</v>
      </c>
      <c r="F232">
        <v>5</v>
      </c>
      <c r="G232" t="s">
        <v>119</v>
      </c>
      <c r="H232">
        <f>IFERROR(ROUND(COUNTIFS(Tasks!$A:$A,$A232,Tasks!$B:$B,$B232,Tasks!$C:$C,$G232,Tasks!$I:$I,"&lt;="&amp;INDEX(Weeks!$D:$D,MATCH($C232,Weeks!$A:$A,0)),Tasks!$I:$I,"&lt;&gt;")/COUNTIFS(Tasks!$A:$A,$A232,Tasks!$B:$B,$B232,Tasks!$C:$C,$G232)*100,0),"")</f>
        <v>0</v>
      </c>
    </row>
    <row r="233" spans="1:8" ht="15" hidden="1" customHeight="1">
      <c r="A233" t="s">
        <v>93</v>
      </c>
      <c r="B233" t="s">
        <v>94</v>
      </c>
      <c r="C233">
        <v>24</v>
      </c>
      <c r="D233">
        <v>6</v>
      </c>
      <c r="E233">
        <v>2</v>
      </c>
      <c r="F233">
        <v>5</v>
      </c>
      <c r="G233" t="s">
        <v>119</v>
      </c>
      <c r="H233">
        <f>IFERROR(ROUND(COUNTIFS(Tasks!$A:$A,$A233,Tasks!$B:$B,$B233,Tasks!$C:$C,$G233,Tasks!$I:$I,"&lt;="&amp;INDEX(Weeks!$D:$D,MATCH($C233,Weeks!$A:$A,0)),Tasks!$I:$I,"&lt;&gt;")/COUNTIFS(Tasks!$A:$A,$A233,Tasks!$B:$B,$B233,Tasks!$C:$C,$G233)*100,0),"")</f>
        <v>50</v>
      </c>
    </row>
    <row r="234" spans="1:8" ht="15" hidden="1" customHeight="1">
      <c r="A234" t="s">
        <v>93</v>
      </c>
      <c r="B234" t="s">
        <v>94</v>
      </c>
      <c r="C234">
        <v>25</v>
      </c>
      <c r="D234">
        <v>6</v>
      </c>
      <c r="E234">
        <v>3</v>
      </c>
      <c r="F234">
        <v>5</v>
      </c>
      <c r="G234" t="s">
        <v>119</v>
      </c>
      <c r="H234">
        <f>IFERROR(ROUND(COUNTIFS(Tasks!$A:$A,$A234,Tasks!$B:$B,$B234,Tasks!$C:$C,$G234,Tasks!$I:$I,"&lt;="&amp;INDEX(Weeks!$D:$D,MATCH($C234,Weeks!$A:$A,0)),Tasks!$I:$I,"&lt;&gt;")/COUNTIFS(Tasks!$A:$A,$A234,Tasks!$B:$B,$B234,Tasks!$C:$C,$G234)*100,0),"")</f>
        <v>50</v>
      </c>
    </row>
    <row r="235" spans="1:8" ht="15" hidden="1" customHeight="1">
      <c r="A235" t="s">
        <v>93</v>
      </c>
      <c r="B235" t="s">
        <v>94</v>
      </c>
      <c r="C235">
        <v>26</v>
      </c>
      <c r="D235">
        <v>6</v>
      </c>
      <c r="E235">
        <v>4</v>
      </c>
      <c r="F235">
        <v>5</v>
      </c>
      <c r="G235" t="s">
        <v>119</v>
      </c>
      <c r="H235">
        <f>IFERROR(ROUND(COUNTIFS(Tasks!$A:$A,$A235,Tasks!$B:$B,$B235,Tasks!$C:$C,$G235,Tasks!$I:$I,"&lt;="&amp;INDEX(Weeks!$D:$D,MATCH($C235,Weeks!$A:$A,0)),Tasks!$I:$I,"&lt;&gt;")/COUNTIFS(Tasks!$A:$A,$A235,Tasks!$B:$B,$B235,Tasks!$C:$C,$G235)*100,0),"")</f>
        <v>50</v>
      </c>
    </row>
    <row r="236" spans="1:8" ht="15" hidden="1" customHeight="1">
      <c r="A236" t="s">
        <v>93</v>
      </c>
      <c r="B236" t="s">
        <v>94</v>
      </c>
      <c r="C236">
        <v>27</v>
      </c>
      <c r="D236">
        <v>7</v>
      </c>
      <c r="E236">
        <v>1</v>
      </c>
      <c r="F236">
        <v>5</v>
      </c>
      <c r="G236" t="s">
        <v>119</v>
      </c>
      <c r="H236">
        <f>IFERROR(ROUND(COUNTIFS(Tasks!$A:$A,$A236,Tasks!$B:$B,$B236,Tasks!$C:$C,$G236,Tasks!$I:$I,"&lt;="&amp;INDEX(Weeks!$D:$D,MATCH($C236,Weeks!$A:$A,0)),Tasks!$I:$I,"&lt;&gt;")/COUNTIFS(Tasks!$A:$A,$A236,Tasks!$B:$B,$B236,Tasks!$C:$C,$G236)*100,0),"")</f>
        <v>50</v>
      </c>
    </row>
    <row r="237" spans="1:8" ht="15" hidden="1" customHeight="1">
      <c r="A237" t="s">
        <v>93</v>
      </c>
      <c r="B237" t="s">
        <v>94</v>
      </c>
      <c r="C237">
        <v>28</v>
      </c>
      <c r="D237">
        <v>7</v>
      </c>
      <c r="E237">
        <v>2</v>
      </c>
      <c r="F237">
        <v>5</v>
      </c>
      <c r="G237" t="s">
        <v>119</v>
      </c>
      <c r="H237">
        <f>IFERROR(ROUND(COUNTIFS(Tasks!$A:$A,$A237,Tasks!$B:$B,$B237,Tasks!$C:$C,$G237,Tasks!$I:$I,"&lt;="&amp;INDEX(Weeks!$D:$D,MATCH($C237,Weeks!$A:$A,0)),Tasks!$I:$I,"&lt;&gt;")/COUNTIFS(Tasks!$A:$A,$A237,Tasks!$B:$B,$B237,Tasks!$C:$C,$G237)*100,0),"")</f>
        <v>50</v>
      </c>
    </row>
    <row r="238" spans="1:8" ht="15" hidden="1" customHeight="1">
      <c r="A238" t="s">
        <v>93</v>
      </c>
      <c r="B238" t="s">
        <v>94</v>
      </c>
      <c r="C238">
        <v>29</v>
      </c>
      <c r="D238">
        <v>7</v>
      </c>
      <c r="E238">
        <v>3</v>
      </c>
      <c r="F238">
        <v>5</v>
      </c>
      <c r="G238" t="s">
        <v>119</v>
      </c>
      <c r="H238">
        <f>IFERROR(ROUND(COUNTIFS(Tasks!$A:$A,$A238,Tasks!$B:$B,$B238,Tasks!$C:$C,$G238,Tasks!$I:$I,"&lt;="&amp;INDEX(Weeks!$D:$D,MATCH($C238,Weeks!$A:$A,0)),Tasks!$I:$I,"&lt;&gt;")/COUNTIFS(Tasks!$A:$A,$A238,Tasks!$B:$B,$B238,Tasks!$C:$C,$G238)*100,0),"")</f>
        <v>50</v>
      </c>
    </row>
    <row r="239" spans="1:8" ht="15" hidden="1" customHeight="1">
      <c r="A239" t="s">
        <v>93</v>
      </c>
      <c r="B239" t="s">
        <v>94</v>
      </c>
      <c r="C239">
        <v>30</v>
      </c>
      <c r="D239">
        <v>7</v>
      </c>
      <c r="E239">
        <v>4</v>
      </c>
      <c r="F239">
        <v>5</v>
      </c>
      <c r="G239" t="s">
        <v>119</v>
      </c>
      <c r="H239">
        <f>IFERROR(ROUND(COUNTIFS(Tasks!$A:$A,$A239,Tasks!$B:$B,$B239,Tasks!$C:$C,$G239,Tasks!$I:$I,"&lt;="&amp;INDEX(Weeks!$D:$D,MATCH($C239,Weeks!$A:$A,0)),Tasks!$I:$I,"&lt;&gt;")/COUNTIFS(Tasks!$A:$A,$A239,Tasks!$B:$B,$B239,Tasks!$C:$C,$G239)*100,0),"")</f>
        <v>50</v>
      </c>
    </row>
    <row r="240" spans="1:8" ht="15" hidden="1" customHeight="1">
      <c r="A240" t="s">
        <v>93</v>
      </c>
      <c r="B240" t="s">
        <v>94</v>
      </c>
      <c r="C240">
        <v>31</v>
      </c>
      <c r="D240">
        <v>8</v>
      </c>
      <c r="E240">
        <v>1</v>
      </c>
      <c r="F240">
        <v>5</v>
      </c>
      <c r="G240" t="s">
        <v>119</v>
      </c>
      <c r="H240">
        <f>IFERROR(ROUND(COUNTIFS(Tasks!$A:$A,$A240,Tasks!$B:$B,$B240,Tasks!$C:$C,$G240,Tasks!$I:$I,"&lt;="&amp;INDEX(Weeks!$D:$D,MATCH($C240,Weeks!$A:$A,0)),Tasks!$I:$I,"&lt;&gt;")/COUNTIFS(Tasks!$A:$A,$A240,Tasks!$B:$B,$B240,Tasks!$C:$C,$G240)*100,0),"")</f>
        <v>50</v>
      </c>
    </row>
    <row r="241" spans="1:8" ht="15" hidden="1" customHeight="1">
      <c r="A241" t="s">
        <v>93</v>
      </c>
      <c r="B241" t="s">
        <v>94</v>
      </c>
      <c r="C241">
        <v>32</v>
      </c>
      <c r="D241">
        <v>8</v>
      </c>
      <c r="E241">
        <v>2</v>
      </c>
      <c r="F241">
        <v>5</v>
      </c>
      <c r="G241" t="s">
        <v>119</v>
      </c>
      <c r="H241">
        <f>IFERROR(ROUND(COUNTIFS(Tasks!$A:$A,$A241,Tasks!$B:$B,$B241,Tasks!$C:$C,$G241,Tasks!$I:$I,"&lt;="&amp;INDEX(Weeks!$D:$D,MATCH($C241,Weeks!$A:$A,0)),Tasks!$I:$I,"&lt;&gt;")/COUNTIFS(Tasks!$A:$A,$A241,Tasks!$B:$B,$B241,Tasks!$C:$C,$G241)*100,0),"")</f>
        <v>50</v>
      </c>
    </row>
    <row r="242" spans="1:8" ht="15" hidden="1" customHeight="1">
      <c r="A242" t="s">
        <v>93</v>
      </c>
      <c r="B242" t="s">
        <v>94</v>
      </c>
      <c r="C242">
        <v>33</v>
      </c>
      <c r="D242">
        <v>8</v>
      </c>
      <c r="E242">
        <v>3</v>
      </c>
      <c r="F242">
        <v>5</v>
      </c>
      <c r="G242" t="s">
        <v>119</v>
      </c>
      <c r="H242">
        <f>IFERROR(ROUND(COUNTIFS(Tasks!$A:$A,$A242,Tasks!$B:$B,$B242,Tasks!$C:$C,$G242,Tasks!$I:$I,"&lt;="&amp;INDEX(Weeks!$D:$D,MATCH($C242,Weeks!$A:$A,0)),Tasks!$I:$I,"&lt;&gt;")/COUNTIFS(Tasks!$A:$A,$A242,Tasks!$B:$B,$B242,Tasks!$C:$C,$G242)*100,0),"")</f>
        <v>50</v>
      </c>
    </row>
    <row r="243" spans="1:8" ht="15" hidden="1" customHeight="1">
      <c r="A243" t="s">
        <v>93</v>
      </c>
      <c r="B243" t="s">
        <v>94</v>
      </c>
      <c r="C243">
        <v>34</v>
      </c>
      <c r="D243">
        <v>8</v>
      </c>
      <c r="E243">
        <v>4</v>
      </c>
      <c r="F243">
        <v>5</v>
      </c>
      <c r="G243" t="s">
        <v>119</v>
      </c>
      <c r="H243">
        <f>IFERROR(ROUND(COUNTIFS(Tasks!$A:$A,$A243,Tasks!$B:$B,$B243,Tasks!$C:$C,$G243,Tasks!$I:$I,"&lt;="&amp;INDEX(Weeks!$D:$D,MATCH($C243,Weeks!$A:$A,0)),Tasks!$I:$I,"&lt;&gt;")/COUNTIFS(Tasks!$A:$A,$A243,Tasks!$B:$B,$B243,Tasks!$C:$C,$G243)*100,0),"")</f>
        <v>50</v>
      </c>
    </row>
    <row r="244" spans="1:8" ht="15" hidden="1" customHeight="1">
      <c r="A244" t="s">
        <v>93</v>
      </c>
      <c r="B244" t="s">
        <v>94</v>
      </c>
      <c r="C244">
        <v>35</v>
      </c>
      <c r="D244">
        <v>8</v>
      </c>
      <c r="E244">
        <v>5</v>
      </c>
      <c r="F244">
        <v>5</v>
      </c>
      <c r="G244" t="s">
        <v>119</v>
      </c>
      <c r="H244">
        <f>IFERROR(ROUND(COUNTIFS(Tasks!$A:$A,$A244,Tasks!$B:$B,$B244,Tasks!$C:$C,$G244,Tasks!$I:$I,"&lt;="&amp;INDEX(Weeks!$D:$D,MATCH($C244,Weeks!$A:$A,0)),Tasks!$I:$I,"&lt;&gt;")/COUNTIFS(Tasks!$A:$A,$A244,Tasks!$B:$B,$B244,Tasks!$C:$C,$G244)*100,0),"")</f>
        <v>50</v>
      </c>
    </row>
    <row r="245" spans="1:8" ht="15" hidden="1" customHeight="1">
      <c r="A245" t="s">
        <v>93</v>
      </c>
      <c r="B245" t="s">
        <v>94</v>
      </c>
      <c r="C245">
        <v>36</v>
      </c>
      <c r="D245">
        <v>9</v>
      </c>
      <c r="E245">
        <v>1</v>
      </c>
      <c r="F245">
        <v>5</v>
      </c>
      <c r="G245" t="s">
        <v>119</v>
      </c>
      <c r="H245">
        <f>IFERROR(ROUND(COUNTIFS(Tasks!$A:$A,$A245,Tasks!$B:$B,$B245,Tasks!$C:$C,$G245,Tasks!$I:$I,"&lt;="&amp;INDEX(Weeks!$D:$D,MATCH($C245,Weeks!$A:$A,0)),Tasks!$I:$I,"&lt;&gt;")/COUNTIFS(Tasks!$A:$A,$A245,Tasks!$B:$B,$B245,Tasks!$C:$C,$G245)*100,0),"")</f>
        <v>50</v>
      </c>
    </row>
    <row r="246" spans="1:8" ht="15" hidden="1" customHeight="1">
      <c r="A246" t="s">
        <v>93</v>
      </c>
      <c r="B246" t="s">
        <v>94</v>
      </c>
      <c r="C246">
        <v>37</v>
      </c>
      <c r="D246">
        <v>9</v>
      </c>
      <c r="E246">
        <v>2</v>
      </c>
      <c r="F246">
        <v>5</v>
      </c>
      <c r="G246" t="s">
        <v>119</v>
      </c>
      <c r="H246">
        <f>IFERROR(ROUND(COUNTIFS(Tasks!$A:$A,$A246,Tasks!$B:$B,$B246,Tasks!$C:$C,$G246,Tasks!$I:$I,"&lt;="&amp;INDEX(Weeks!$D:$D,MATCH($C246,Weeks!$A:$A,0)),Tasks!$I:$I,"&lt;&gt;")/COUNTIFS(Tasks!$A:$A,$A246,Tasks!$B:$B,$B246,Tasks!$C:$C,$G246)*100,0),"")</f>
        <v>50</v>
      </c>
    </row>
    <row r="247" spans="1:8" ht="15" hidden="1" customHeight="1">
      <c r="A247" t="s">
        <v>93</v>
      </c>
      <c r="B247" t="s">
        <v>94</v>
      </c>
      <c r="C247">
        <v>38</v>
      </c>
      <c r="D247">
        <v>9</v>
      </c>
      <c r="E247">
        <v>3</v>
      </c>
      <c r="F247">
        <v>5</v>
      </c>
      <c r="G247" t="s">
        <v>119</v>
      </c>
      <c r="H247">
        <f>IFERROR(ROUND(COUNTIFS(Tasks!$A:$A,$A247,Tasks!$B:$B,$B247,Tasks!$C:$C,$G247,Tasks!$I:$I,"&lt;="&amp;INDEX(Weeks!$D:$D,MATCH($C247,Weeks!$A:$A,0)),Tasks!$I:$I,"&lt;&gt;")/COUNTIFS(Tasks!$A:$A,$A247,Tasks!$B:$B,$B247,Tasks!$C:$C,$G247)*100,0),"")</f>
        <v>50</v>
      </c>
    </row>
    <row r="248" spans="1:8" ht="15" hidden="1" customHeight="1">
      <c r="A248" t="s">
        <v>93</v>
      </c>
      <c r="B248" t="s">
        <v>94</v>
      </c>
      <c r="C248">
        <v>39</v>
      </c>
      <c r="D248">
        <v>9</v>
      </c>
      <c r="E248">
        <v>4</v>
      </c>
      <c r="F248">
        <v>5</v>
      </c>
      <c r="G248" t="s">
        <v>119</v>
      </c>
      <c r="H248">
        <f>IFERROR(ROUND(COUNTIFS(Tasks!$A:$A,$A248,Tasks!$B:$B,$B248,Tasks!$C:$C,$G248,Tasks!$I:$I,"&lt;="&amp;INDEX(Weeks!$D:$D,MATCH($C248,Weeks!$A:$A,0)),Tasks!$I:$I,"&lt;&gt;")/COUNTIFS(Tasks!$A:$A,$A248,Tasks!$B:$B,$B248,Tasks!$C:$C,$G248)*100,0),"")</f>
        <v>50</v>
      </c>
    </row>
    <row r="249" spans="1:8" ht="15" hidden="1" customHeight="1">
      <c r="A249" t="s">
        <v>93</v>
      </c>
      <c r="B249" t="s">
        <v>94</v>
      </c>
      <c r="C249">
        <v>40</v>
      </c>
      <c r="D249">
        <v>10</v>
      </c>
      <c r="E249">
        <v>1</v>
      </c>
      <c r="F249">
        <v>5</v>
      </c>
      <c r="G249" t="s">
        <v>119</v>
      </c>
      <c r="H249">
        <f>IFERROR(ROUND(COUNTIFS(Tasks!$A:$A,$A249,Tasks!$B:$B,$B249,Tasks!$C:$C,$G249,Tasks!$I:$I,"&lt;="&amp;INDEX(Weeks!$D:$D,MATCH($C249,Weeks!$A:$A,0)),Tasks!$I:$I,"&lt;&gt;")/COUNTIFS(Tasks!$A:$A,$A249,Tasks!$B:$B,$B249,Tasks!$C:$C,$G249)*100,0),"")</f>
        <v>50</v>
      </c>
    </row>
    <row r="250" spans="1:8" ht="15" hidden="1" customHeight="1">
      <c r="A250" t="s">
        <v>93</v>
      </c>
      <c r="B250" t="s">
        <v>94</v>
      </c>
      <c r="C250">
        <v>41</v>
      </c>
      <c r="D250">
        <v>10</v>
      </c>
      <c r="E250">
        <v>2</v>
      </c>
      <c r="F250">
        <v>5</v>
      </c>
      <c r="G250" t="s">
        <v>119</v>
      </c>
      <c r="H250">
        <f>IFERROR(ROUND(COUNTIFS(Tasks!$A:$A,$A250,Tasks!$B:$B,$B250,Tasks!$C:$C,$G250,Tasks!$I:$I,"&lt;="&amp;INDEX(Weeks!$D:$D,MATCH($C250,Weeks!$A:$A,0)),Tasks!$I:$I,"&lt;&gt;")/COUNTIFS(Tasks!$A:$A,$A250,Tasks!$B:$B,$B250,Tasks!$C:$C,$G250)*100,0),"")</f>
        <v>50</v>
      </c>
    </row>
    <row r="251" spans="1:8" ht="15" hidden="1" customHeight="1">
      <c r="A251" t="s">
        <v>93</v>
      </c>
      <c r="B251" t="s">
        <v>94</v>
      </c>
      <c r="C251">
        <v>42</v>
      </c>
      <c r="D251">
        <v>10</v>
      </c>
      <c r="E251">
        <v>3</v>
      </c>
      <c r="F251">
        <v>5</v>
      </c>
      <c r="G251" t="s">
        <v>119</v>
      </c>
      <c r="H251">
        <f>IFERROR(ROUND(COUNTIFS(Tasks!$A:$A,$A251,Tasks!$B:$B,$B251,Tasks!$C:$C,$G251,Tasks!$I:$I,"&lt;="&amp;INDEX(Weeks!$D:$D,MATCH($C251,Weeks!$A:$A,0)),Tasks!$I:$I,"&lt;&gt;")/COUNTIFS(Tasks!$A:$A,$A251,Tasks!$B:$B,$B251,Tasks!$C:$C,$G251)*100,0),"")</f>
        <v>50</v>
      </c>
    </row>
    <row r="252" spans="1:8" ht="15" hidden="1" customHeight="1">
      <c r="A252" t="s">
        <v>93</v>
      </c>
      <c r="B252" t="s">
        <v>94</v>
      </c>
      <c r="C252">
        <v>43</v>
      </c>
      <c r="D252">
        <v>10</v>
      </c>
      <c r="E252">
        <v>4</v>
      </c>
      <c r="F252">
        <v>5</v>
      </c>
      <c r="G252" t="s">
        <v>119</v>
      </c>
      <c r="H252">
        <f>IFERROR(ROUND(COUNTIFS(Tasks!$A:$A,$A252,Tasks!$B:$B,$B252,Tasks!$C:$C,$G252,Tasks!$I:$I,"&lt;="&amp;INDEX(Weeks!$D:$D,MATCH($C252,Weeks!$A:$A,0)),Tasks!$I:$I,"&lt;&gt;")/COUNTIFS(Tasks!$A:$A,$A252,Tasks!$B:$B,$B252,Tasks!$C:$C,$G252)*100,0),"")</f>
        <v>50</v>
      </c>
    </row>
    <row r="253" spans="1:8" ht="15" hidden="1" customHeight="1">
      <c r="A253" t="s">
        <v>93</v>
      </c>
      <c r="B253" t="s">
        <v>94</v>
      </c>
      <c r="C253">
        <v>44</v>
      </c>
      <c r="D253">
        <v>10</v>
      </c>
      <c r="E253">
        <v>5</v>
      </c>
      <c r="F253">
        <v>5</v>
      </c>
      <c r="G253" t="s">
        <v>119</v>
      </c>
      <c r="H253">
        <f>IFERROR(ROUND(COUNTIFS(Tasks!$A:$A,$A253,Tasks!$B:$B,$B253,Tasks!$C:$C,$G253,Tasks!$I:$I,"&lt;="&amp;INDEX(Weeks!$D:$D,MATCH($C253,Weeks!$A:$A,0)),Tasks!$I:$I,"&lt;&gt;")/COUNTIFS(Tasks!$A:$A,$A253,Tasks!$B:$B,$B253,Tasks!$C:$C,$G253)*100,0),"")</f>
        <v>50</v>
      </c>
    </row>
    <row r="254" spans="1:8" ht="15" hidden="1" customHeight="1">
      <c r="A254" t="s">
        <v>93</v>
      </c>
      <c r="B254" t="s">
        <v>94</v>
      </c>
      <c r="C254">
        <v>45</v>
      </c>
      <c r="D254">
        <v>11</v>
      </c>
      <c r="E254">
        <v>1</v>
      </c>
      <c r="F254">
        <v>5</v>
      </c>
      <c r="G254" t="s">
        <v>119</v>
      </c>
      <c r="H254">
        <f>IFERROR(ROUND(COUNTIFS(Tasks!$A:$A,$A254,Tasks!$B:$B,$B254,Tasks!$C:$C,$G254,Tasks!$I:$I,"&lt;="&amp;INDEX(Weeks!$D:$D,MATCH($C254,Weeks!$A:$A,0)),Tasks!$I:$I,"&lt;&gt;")/COUNTIFS(Tasks!$A:$A,$A254,Tasks!$B:$B,$B254,Tasks!$C:$C,$G254)*100,0),"")</f>
        <v>50</v>
      </c>
    </row>
    <row r="255" spans="1:8" ht="15" hidden="1" customHeight="1">
      <c r="A255" t="s">
        <v>93</v>
      </c>
      <c r="B255" t="s">
        <v>94</v>
      </c>
      <c r="C255">
        <v>46</v>
      </c>
      <c r="D255">
        <v>11</v>
      </c>
      <c r="E255">
        <v>2</v>
      </c>
      <c r="F255">
        <v>5</v>
      </c>
      <c r="G255" t="s">
        <v>119</v>
      </c>
      <c r="H255">
        <f>IFERROR(ROUND(COUNTIFS(Tasks!$A:$A,$A255,Tasks!$B:$B,$B255,Tasks!$C:$C,$G255,Tasks!$I:$I,"&lt;="&amp;INDEX(Weeks!$D:$D,MATCH($C255,Weeks!$A:$A,0)),Tasks!$I:$I,"&lt;&gt;")/COUNTIFS(Tasks!$A:$A,$A255,Tasks!$B:$B,$B255,Tasks!$C:$C,$G255)*100,0),"")</f>
        <v>50</v>
      </c>
    </row>
    <row r="256" spans="1:8" ht="15" hidden="1" customHeight="1">
      <c r="A256" t="s">
        <v>93</v>
      </c>
      <c r="B256" t="s">
        <v>94</v>
      </c>
      <c r="C256">
        <v>47</v>
      </c>
      <c r="D256">
        <v>11</v>
      </c>
      <c r="E256">
        <v>3</v>
      </c>
      <c r="F256">
        <v>5</v>
      </c>
      <c r="G256" t="s">
        <v>119</v>
      </c>
      <c r="H256">
        <f>IFERROR(ROUND(COUNTIFS(Tasks!$A:$A,$A256,Tasks!$B:$B,$B256,Tasks!$C:$C,$G256,Tasks!$I:$I,"&lt;="&amp;INDEX(Weeks!$D:$D,MATCH($C256,Weeks!$A:$A,0)),Tasks!$I:$I,"&lt;&gt;")/COUNTIFS(Tasks!$A:$A,$A256,Tasks!$B:$B,$B256,Tasks!$C:$C,$G256)*100,0),"")</f>
        <v>50</v>
      </c>
    </row>
    <row r="257" spans="1:8" ht="15" hidden="1" customHeight="1">
      <c r="A257" t="s">
        <v>93</v>
      </c>
      <c r="B257" t="s">
        <v>94</v>
      </c>
      <c r="C257">
        <v>48</v>
      </c>
      <c r="D257">
        <v>11</v>
      </c>
      <c r="E257">
        <v>4</v>
      </c>
      <c r="F257">
        <v>5</v>
      </c>
      <c r="G257" t="s">
        <v>119</v>
      </c>
      <c r="H257">
        <f>IFERROR(ROUND(COUNTIFS(Tasks!$A:$A,$A257,Tasks!$B:$B,$B257,Tasks!$C:$C,$G257,Tasks!$I:$I,"&lt;="&amp;INDEX(Weeks!$D:$D,MATCH($C257,Weeks!$A:$A,0)),Tasks!$I:$I,"&lt;&gt;")/COUNTIFS(Tasks!$A:$A,$A257,Tasks!$B:$B,$B257,Tasks!$C:$C,$G257)*100,0),"")</f>
        <v>50</v>
      </c>
    </row>
    <row r="258" spans="1:8" ht="15" hidden="1" customHeight="1">
      <c r="A258" t="s">
        <v>93</v>
      </c>
      <c r="B258" t="s">
        <v>94</v>
      </c>
      <c r="C258">
        <v>49</v>
      </c>
      <c r="D258">
        <v>12</v>
      </c>
      <c r="E258">
        <v>1</v>
      </c>
      <c r="F258">
        <v>5</v>
      </c>
      <c r="G258" t="s">
        <v>119</v>
      </c>
      <c r="H258">
        <f>IFERROR(ROUND(COUNTIFS(Tasks!$A:$A,$A258,Tasks!$B:$B,$B258,Tasks!$C:$C,$G258,Tasks!$I:$I,"&lt;="&amp;INDEX(Weeks!$D:$D,MATCH($C258,Weeks!$A:$A,0)),Tasks!$I:$I,"&lt;&gt;")/COUNTIFS(Tasks!$A:$A,$A258,Tasks!$B:$B,$B258,Tasks!$C:$C,$G258)*100,0),"")</f>
        <v>50</v>
      </c>
    </row>
    <row r="259" spans="1:8" ht="15" hidden="1" customHeight="1">
      <c r="A259" t="s">
        <v>93</v>
      </c>
      <c r="B259" t="s">
        <v>94</v>
      </c>
      <c r="C259">
        <v>50</v>
      </c>
      <c r="D259">
        <v>12</v>
      </c>
      <c r="E259">
        <v>2</v>
      </c>
      <c r="F259">
        <v>5</v>
      </c>
      <c r="G259" t="s">
        <v>119</v>
      </c>
      <c r="H259">
        <f>IFERROR(ROUND(COUNTIFS(Tasks!$A:$A,$A259,Tasks!$B:$B,$B259,Tasks!$C:$C,$G259,Tasks!$I:$I,"&lt;="&amp;INDEX(Weeks!$D:$D,MATCH($C259,Weeks!$A:$A,0)),Tasks!$I:$I,"&lt;&gt;")/COUNTIFS(Tasks!$A:$A,$A259,Tasks!$B:$B,$B259,Tasks!$C:$C,$G259)*100,0),"")</f>
        <v>50</v>
      </c>
    </row>
    <row r="260" spans="1:8" ht="15" hidden="1" customHeight="1">
      <c r="A260" t="s">
        <v>93</v>
      </c>
      <c r="B260" t="s">
        <v>94</v>
      </c>
      <c r="C260">
        <v>51</v>
      </c>
      <c r="D260">
        <v>12</v>
      </c>
      <c r="E260">
        <v>3</v>
      </c>
      <c r="F260">
        <v>5</v>
      </c>
      <c r="G260" t="s">
        <v>119</v>
      </c>
      <c r="H260">
        <f>IFERROR(ROUND(COUNTIFS(Tasks!$A:$A,$A260,Tasks!$B:$B,$B260,Tasks!$C:$C,$G260,Tasks!$I:$I,"&lt;="&amp;INDEX(Weeks!$D:$D,MATCH($C260,Weeks!$A:$A,0)),Tasks!$I:$I,"&lt;&gt;")/COUNTIFS(Tasks!$A:$A,$A260,Tasks!$B:$B,$B260,Tasks!$C:$C,$G260)*100,0),"")</f>
        <v>50</v>
      </c>
    </row>
    <row r="261" spans="1:8" ht="15" hidden="1" customHeight="1">
      <c r="A261" t="s">
        <v>93</v>
      </c>
      <c r="B261" t="s">
        <v>94</v>
      </c>
      <c r="C261">
        <v>52</v>
      </c>
      <c r="D261">
        <v>12</v>
      </c>
      <c r="E261">
        <v>4</v>
      </c>
      <c r="F261">
        <v>5</v>
      </c>
      <c r="G261" t="s">
        <v>119</v>
      </c>
      <c r="H261">
        <f>IFERROR(ROUND(COUNTIFS(Tasks!$A:$A,$A261,Tasks!$B:$B,$B261,Tasks!$C:$C,$G261,Tasks!$I:$I,"&lt;="&amp;INDEX(Weeks!$D:$D,MATCH($C261,Weeks!$A:$A,0)),Tasks!$I:$I,"&lt;&gt;")/COUNTIFS(Tasks!$A:$A,$A261,Tasks!$B:$B,$B261,Tasks!$C:$C,$G261)*100,0),"")</f>
        <v>50</v>
      </c>
    </row>
    <row r="262" spans="1:8" ht="15" hidden="1" customHeight="1">
      <c r="A262" t="s">
        <v>93</v>
      </c>
      <c r="B262" t="s">
        <v>95</v>
      </c>
      <c r="C262">
        <v>1</v>
      </c>
      <c r="D262">
        <v>1</v>
      </c>
      <c r="E262">
        <v>1</v>
      </c>
      <c r="F262">
        <v>1</v>
      </c>
      <c r="G262" t="s">
        <v>115</v>
      </c>
      <c r="H262" t="str">
        <f>IFERROR(ROUND(COUNTIFS(Tasks!$A:$A,$A262,Tasks!$B:$B,$B262,Tasks!$C:$C,$G262,Tasks!$I:$I,"&lt;="&amp;INDEX(Weeks!$D:$D,MATCH($C262,Weeks!$A:$A,0)),Tasks!$I:$I,"&lt;&gt;")/COUNTIFS(Tasks!$A:$A,$A262,Tasks!$B:$B,$B262,Tasks!$C:$C,$G262)*100,0),"")</f>
        <v/>
      </c>
    </row>
    <row r="263" spans="1:8" ht="15" hidden="1" customHeight="1">
      <c r="A263" t="s">
        <v>93</v>
      </c>
      <c r="B263" t="s">
        <v>95</v>
      </c>
      <c r="C263">
        <v>2</v>
      </c>
      <c r="D263">
        <v>1</v>
      </c>
      <c r="E263">
        <v>2</v>
      </c>
      <c r="F263">
        <v>1</v>
      </c>
      <c r="G263" t="s">
        <v>115</v>
      </c>
      <c r="H263" t="str">
        <f>IFERROR(ROUND(COUNTIFS(Tasks!$A:$A,$A263,Tasks!$B:$B,$B263,Tasks!$C:$C,$G263,Tasks!$I:$I,"&lt;="&amp;INDEX(Weeks!$D:$D,MATCH($C263,Weeks!$A:$A,0)),Tasks!$I:$I,"&lt;&gt;")/COUNTIFS(Tasks!$A:$A,$A263,Tasks!$B:$B,$B263,Tasks!$C:$C,$G263)*100,0),"")</f>
        <v/>
      </c>
    </row>
    <row r="264" spans="1:8" ht="15" hidden="1" customHeight="1">
      <c r="A264" t="s">
        <v>93</v>
      </c>
      <c r="B264" t="s">
        <v>95</v>
      </c>
      <c r="C264">
        <v>3</v>
      </c>
      <c r="D264">
        <v>1</v>
      </c>
      <c r="E264">
        <v>3</v>
      </c>
      <c r="F264">
        <v>1</v>
      </c>
      <c r="G264" t="s">
        <v>115</v>
      </c>
      <c r="H264" t="str">
        <f>IFERROR(ROUND(COUNTIFS(Tasks!$A:$A,$A264,Tasks!$B:$B,$B264,Tasks!$C:$C,$G264,Tasks!$I:$I,"&lt;="&amp;INDEX(Weeks!$D:$D,MATCH($C264,Weeks!$A:$A,0)),Tasks!$I:$I,"&lt;&gt;")/COUNTIFS(Tasks!$A:$A,$A264,Tasks!$B:$B,$B264,Tasks!$C:$C,$G264)*100,0),"")</f>
        <v/>
      </c>
    </row>
    <row r="265" spans="1:8" ht="15" hidden="1" customHeight="1">
      <c r="A265" t="s">
        <v>93</v>
      </c>
      <c r="B265" t="s">
        <v>95</v>
      </c>
      <c r="C265">
        <v>4</v>
      </c>
      <c r="D265">
        <v>1</v>
      </c>
      <c r="E265">
        <v>4</v>
      </c>
      <c r="F265">
        <v>1</v>
      </c>
      <c r="G265" t="s">
        <v>115</v>
      </c>
      <c r="H265" t="str">
        <f>IFERROR(ROUND(COUNTIFS(Tasks!$A:$A,$A265,Tasks!$B:$B,$B265,Tasks!$C:$C,$G265,Tasks!$I:$I,"&lt;="&amp;INDEX(Weeks!$D:$D,MATCH($C265,Weeks!$A:$A,0)),Tasks!$I:$I,"&lt;&gt;")/COUNTIFS(Tasks!$A:$A,$A265,Tasks!$B:$B,$B265,Tasks!$C:$C,$G265)*100,0),"")</f>
        <v/>
      </c>
    </row>
    <row r="266" spans="1:8" ht="15" hidden="1" customHeight="1">
      <c r="A266" t="s">
        <v>93</v>
      </c>
      <c r="B266" t="s">
        <v>95</v>
      </c>
      <c r="C266">
        <v>5</v>
      </c>
      <c r="D266">
        <v>1</v>
      </c>
      <c r="E266">
        <v>5</v>
      </c>
      <c r="F266">
        <v>1</v>
      </c>
      <c r="G266" t="s">
        <v>115</v>
      </c>
      <c r="H266" t="str">
        <f>IFERROR(ROUND(COUNTIFS(Tasks!$A:$A,$A266,Tasks!$B:$B,$B266,Tasks!$C:$C,$G266,Tasks!$I:$I,"&lt;="&amp;INDEX(Weeks!$D:$D,MATCH($C266,Weeks!$A:$A,0)),Tasks!$I:$I,"&lt;&gt;")/COUNTIFS(Tasks!$A:$A,$A266,Tasks!$B:$B,$B266,Tasks!$C:$C,$G266)*100,0),"")</f>
        <v/>
      </c>
    </row>
    <row r="267" spans="1:8" ht="15" hidden="1" customHeight="1">
      <c r="A267" t="s">
        <v>93</v>
      </c>
      <c r="B267" t="s">
        <v>95</v>
      </c>
      <c r="C267">
        <v>6</v>
      </c>
      <c r="D267">
        <v>2</v>
      </c>
      <c r="E267">
        <v>1</v>
      </c>
      <c r="F267">
        <v>1</v>
      </c>
      <c r="G267" t="s">
        <v>115</v>
      </c>
      <c r="H267" t="str">
        <f>IFERROR(ROUND(COUNTIFS(Tasks!$A:$A,$A267,Tasks!$B:$B,$B267,Tasks!$C:$C,$G267,Tasks!$I:$I,"&lt;="&amp;INDEX(Weeks!$D:$D,MATCH($C267,Weeks!$A:$A,0)),Tasks!$I:$I,"&lt;&gt;")/COUNTIFS(Tasks!$A:$A,$A267,Tasks!$B:$B,$B267,Tasks!$C:$C,$G267)*100,0),"")</f>
        <v/>
      </c>
    </row>
    <row r="268" spans="1:8" ht="15" hidden="1" customHeight="1">
      <c r="A268" t="s">
        <v>93</v>
      </c>
      <c r="B268" t="s">
        <v>95</v>
      </c>
      <c r="C268">
        <v>7</v>
      </c>
      <c r="D268">
        <v>2</v>
      </c>
      <c r="E268">
        <v>2</v>
      </c>
      <c r="F268">
        <v>1</v>
      </c>
      <c r="G268" t="s">
        <v>115</v>
      </c>
      <c r="H268" t="str">
        <f>IFERROR(ROUND(COUNTIFS(Tasks!$A:$A,$A268,Tasks!$B:$B,$B268,Tasks!$C:$C,$G268,Tasks!$I:$I,"&lt;="&amp;INDEX(Weeks!$D:$D,MATCH($C268,Weeks!$A:$A,0)),Tasks!$I:$I,"&lt;&gt;")/COUNTIFS(Tasks!$A:$A,$A268,Tasks!$B:$B,$B268,Tasks!$C:$C,$G268)*100,0),"")</f>
        <v/>
      </c>
    </row>
    <row r="269" spans="1:8" ht="15" hidden="1" customHeight="1">
      <c r="A269" t="s">
        <v>93</v>
      </c>
      <c r="B269" t="s">
        <v>95</v>
      </c>
      <c r="C269">
        <v>8</v>
      </c>
      <c r="D269">
        <v>2</v>
      </c>
      <c r="E269">
        <v>3</v>
      </c>
      <c r="F269">
        <v>1</v>
      </c>
      <c r="G269" t="s">
        <v>115</v>
      </c>
      <c r="H269" t="str">
        <f>IFERROR(ROUND(COUNTIFS(Tasks!$A:$A,$A269,Tasks!$B:$B,$B269,Tasks!$C:$C,$G269,Tasks!$I:$I,"&lt;="&amp;INDEX(Weeks!$D:$D,MATCH($C269,Weeks!$A:$A,0)),Tasks!$I:$I,"&lt;&gt;")/COUNTIFS(Tasks!$A:$A,$A269,Tasks!$B:$B,$B269,Tasks!$C:$C,$G269)*100,0),"")</f>
        <v/>
      </c>
    </row>
    <row r="270" spans="1:8" ht="15" hidden="1" customHeight="1">
      <c r="A270" t="s">
        <v>93</v>
      </c>
      <c r="B270" t="s">
        <v>95</v>
      </c>
      <c r="C270">
        <v>9</v>
      </c>
      <c r="D270">
        <v>2</v>
      </c>
      <c r="E270">
        <v>4</v>
      </c>
      <c r="F270">
        <v>1</v>
      </c>
      <c r="G270" t="s">
        <v>115</v>
      </c>
      <c r="H270" t="str">
        <f>IFERROR(ROUND(COUNTIFS(Tasks!$A:$A,$A270,Tasks!$B:$B,$B270,Tasks!$C:$C,$G270,Tasks!$I:$I,"&lt;="&amp;INDEX(Weeks!$D:$D,MATCH($C270,Weeks!$A:$A,0)),Tasks!$I:$I,"&lt;&gt;")/COUNTIFS(Tasks!$A:$A,$A270,Tasks!$B:$B,$B270,Tasks!$C:$C,$G270)*100,0),"")</f>
        <v/>
      </c>
    </row>
    <row r="271" spans="1:8" ht="15" hidden="1" customHeight="1">
      <c r="A271" t="s">
        <v>93</v>
      </c>
      <c r="B271" t="s">
        <v>95</v>
      </c>
      <c r="C271">
        <v>10</v>
      </c>
      <c r="D271">
        <v>3</v>
      </c>
      <c r="E271">
        <v>1</v>
      </c>
      <c r="F271">
        <v>1</v>
      </c>
      <c r="G271" t="s">
        <v>115</v>
      </c>
      <c r="H271" t="str">
        <f>IFERROR(ROUND(COUNTIFS(Tasks!$A:$A,$A271,Tasks!$B:$B,$B271,Tasks!$C:$C,$G271,Tasks!$I:$I,"&lt;="&amp;INDEX(Weeks!$D:$D,MATCH($C271,Weeks!$A:$A,0)),Tasks!$I:$I,"&lt;&gt;")/COUNTIFS(Tasks!$A:$A,$A271,Tasks!$B:$B,$B271,Tasks!$C:$C,$G271)*100,0),"")</f>
        <v/>
      </c>
    </row>
    <row r="272" spans="1:8" ht="15" hidden="1" customHeight="1">
      <c r="A272" t="s">
        <v>93</v>
      </c>
      <c r="B272" t="s">
        <v>95</v>
      </c>
      <c r="C272">
        <v>11</v>
      </c>
      <c r="D272">
        <v>3</v>
      </c>
      <c r="E272">
        <v>2</v>
      </c>
      <c r="F272">
        <v>1</v>
      </c>
      <c r="G272" t="s">
        <v>115</v>
      </c>
      <c r="H272" t="str">
        <f>IFERROR(ROUND(COUNTIFS(Tasks!$A:$A,$A272,Tasks!$B:$B,$B272,Tasks!$C:$C,$G272,Tasks!$I:$I,"&lt;="&amp;INDEX(Weeks!$D:$D,MATCH($C272,Weeks!$A:$A,0)),Tasks!$I:$I,"&lt;&gt;")/COUNTIFS(Tasks!$A:$A,$A272,Tasks!$B:$B,$B272,Tasks!$C:$C,$G272)*100,0),"")</f>
        <v/>
      </c>
    </row>
    <row r="273" spans="1:8" ht="15" hidden="1" customHeight="1">
      <c r="A273" t="s">
        <v>93</v>
      </c>
      <c r="B273" t="s">
        <v>95</v>
      </c>
      <c r="C273">
        <v>12</v>
      </c>
      <c r="D273">
        <v>3</v>
      </c>
      <c r="E273">
        <v>3</v>
      </c>
      <c r="F273">
        <v>1</v>
      </c>
      <c r="G273" t="s">
        <v>115</v>
      </c>
      <c r="H273" t="str">
        <f>IFERROR(ROUND(COUNTIFS(Tasks!$A:$A,$A273,Tasks!$B:$B,$B273,Tasks!$C:$C,$G273,Tasks!$I:$I,"&lt;="&amp;INDEX(Weeks!$D:$D,MATCH($C273,Weeks!$A:$A,0)),Tasks!$I:$I,"&lt;&gt;")/COUNTIFS(Tasks!$A:$A,$A273,Tasks!$B:$B,$B273,Tasks!$C:$C,$G273)*100,0),"")</f>
        <v/>
      </c>
    </row>
    <row r="274" spans="1:8" ht="15" hidden="1" customHeight="1">
      <c r="A274" t="s">
        <v>93</v>
      </c>
      <c r="B274" t="s">
        <v>95</v>
      </c>
      <c r="C274">
        <v>13</v>
      </c>
      <c r="D274">
        <v>3</v>
      </c>
      <c r="E274">
        <v>4</v>
      </c>
      <c r="F274">
        <v>1</v>
      </c>
      <c r="G274" t="s">
        <v>115</v>
      </c>
      <c r="H274" t="str">
        <f>IFERROR(ROUND(COUNTIFS(Tasks!$A:$A,$A274,Tasks!$B:$B,$B274,Tasks!$C:$C,$G274,Tasks!$I:$I,"&lt;="&amp;INDEX(Weeks!$D:$D,MATCH($C274,Weeks!$A:$A,0)),Tasks!$I:$I,"&lt;&gt;")/COUNTIFS(Tasks!$A:$A,$A274,Tasks!$B:$B,$B274,Tasks!$C:$C,$G274)*100,0),"")</f>
        <v/>
      </c>
    </row>
    <row r="275" spans="1:8" ht="15" hidden="1" customHeight="1">
      <c r="A275" t="s">
        <v>93</v>
      </c>
      <c r="B275" t="s">
        <v>95</v>
      </c>
      <c r="C275">
        <v>14</v>
      </c>
      <c r="D275">
        <v>4</v>
      </c>
      <c r="E275">
        <v>1</v>
      </c>
      <c r="F275">
        <v>1</v>
      </c>
      <c r="G275" t="s">
        <v>115</v>
      </c>
      <c r="H275" t="str">
        <f>IFERROR(ROUND(COUNTIFS(Tasks!$A:$A,$A275,Tasks!$B:$B,$B275,Tasks!$C:$C,$G275,Tasks!$I:$I,"&lt;="&amp;INDEX(Weeks!$D:$D,MATCH($C275,Weeks!$A:$A,0)),Tasks!$I:$I,"&lt;&gt;")/COUNTIFS(Tasks!$A:$A,$A275,Tasks!$B:$B,$B275,Tasks!$C:$C,$G275)*100,0),"")</f>
        <v/>
      </c>
    </row>
    <row r="276" spans="1:8" ht="15" hidden="1" customHeight="1">
      <c r="A276" t="s">
        <v>93</v>
      </c>
      <c r="B276" t="s">
        <v>95</v>
      </c>
      <c r="C276">
        <v>15</v>
      </c>
      <c r="D276">
        <v>4</v>
      </c>
      <c r="E276">
        <v>2</v>
      </c>
      <c r="F276">
        <v>1</v>
      </c>
      <c r="G276" t="s">
        <v>115</v>
      </c>
      <c r="H276" t="str">
        <f>IFERROR(ROUND(COUNTIFS(Tasks!$A:$A,$A276,Tasks!$B:$B,$B276,Tasks!$C:$C,$G276,Tasks!$I:$I,"&lt;="&amp;INDEX(Weeks!$D:$D,MATCH($C276,Weeks!$A:$A,0)),Tasks!$I:$I,"&lt;&gt;")/COUNTIFS(Tasks!$A:$A,$A276,Tasks!$B:$B,$B276,Tasks!$C:$C,$G276)*100,0),"")</f>
        <v/>
      </c>
    </row>
    <row r="277" spans="1:8" ht="15" hidden="1" customHeight="1">
      <c r="A277" t="s">
        <v>93</v>
      </c>
      <c r="B277" t="s">
        <v>95</v>
      </c>
      <c r="C277">
        <v>16</v>
      </c>
      <c r="D277">
        <v>4</v>
      </c>
      <c r="E277">
        <v>3</v>
      </c>
      <c r="F277">
        <v>1</v>
      </c>
      <c r="G277" t="s">
        <v>115</v>
      </c>
      <c r="H277" t="str">
        <f>IFERROR(ROUND(COUNTIFS(Tasks!$A:$A,$A277,Tasks!$B:$B,$B277,Tasks!$C:$C,$G277,Tasks!$I:$I,"&lt;="&amp;INDEX(Weeks!$D:$D,MATCH($C277,Weeks!$A:$A,0)),Tasks!$I:$I,"&lt;&gt;")/COUNTIFS(Tasks!$A:$A,$A277,Tasks!$B:$B,$B277,Tasks!$C:$C,$G277)*100,0),"")</f>
        <v/>
      </c>
    </row>
    <row r="278" spans="1:8" ht="15" hidden="1" customHeight="1">
      <c r="A278" t="s">
        <v>93</v>
      </c>
      <c r="B278" t="s">
        <v>95</v>
      </c>
      <c r="C278">
        <v>17</v>
      </c>
      <c r="D278">
        <v>4</v>
      </c>
      <c r="E278">
        <v>4</v>
      </c>
      <c r="F278">
        <v>1</v>
      </c>
      <c r="G278" t="s">
        <v>115</v>
      </c>
      <c r="H278" t="str">
        <f>IFERROR(ROUND(COUNTIFS(Tasks!$A:$A,$A278,Tasks!$B:$B,$B278,Tasks!$C:$C,$G278,Tasks!$I:$I,"&lt;="&amp;INDEX(Weeks!$D:$D,MATCH($C278,Weeks!$A:$A,0)),Tasks!$I:$I,"&lt;&gt;")/COUNTIFS(Tasks!$A:$A,$A278,Tasks!$B:$B,$B278,Tasks!$C:$C,$G278)*100,0),"")</f>
        <v/>
      </c>
    </row>
    <row r="279" spans="1:8" ht="15" hidden="1" customHeight="1">
      <c r="A279" t="s">
        <v>93</v>
      </c>
      <c r="B279" t="s">
        <v>95</v>
      </c>
      <c r="C279">
        <v>18</v>
      </c>
      <c r="D279">
        <v>5</v>
      </c>
      <c r="E279">
        <v>1</v>
      </c>
      <c r="F279">
        <v>1</v>
      </c>
      <c r="G279" t="s">
        <v>115</v>
      </c>
      <c r="H279" t="str">
        <f>IFERROR(ROUND(COUNTIFS(Tasks!$A:$A,$A279,Tasks!$B:$B,$B279,Tasks!$C:$C,$G279,Tasks!$I:$I,"&lt;="&amp;INDEX(Weeks!$D:$D,MATCH($C279,Weeks!$A:$A,0)),Tasks!$I:$I,"&lt;&gt;")/COUNTIFS(Tasks!$A:$A,$A279,Tasks!$B:$B,$B279,Tasks!$C:$C,$G279)*100,0),"")</f>
        <v/>
      </c>
    </row>
    <row r="280" spans="1:8" ht="15" hidden="1" customHeight="1">
      <c r="A280" t="s">
        <v>93</v>
      </c>
      <c r="B280" t="s">
        <v>95</v>
      </c>
      <c r="C280">
        <v>19</v>
      </c>
      <c r="D280">
        <v>5</v>
      </c>
      <c r="E280">
        <v>2</v>
      </c>
      <c r="F280">
        <v>1</v>
      </c>
      <c r="G280" t="s">
        <v>115</v>
      </c>
      <c r="H280" t="str">
        <f>IFERROR(ROUND(COUNTIFS(Tasks!$A:$A,$A280,Tasks!$B:$B,$B280,Tasks!$C:$C,$G280,Tasks!$I:$I,"&lt;="&amp;INDEX(Weeks!$D:$D,MATCH($C280,Weeks!$A:$A,0)),Tasks!$I:$I,"&lt;&gt;")/COUNTIFS(Tasks!$A:$A,$A280,Tasks!$B:$B,$B280,Tasks!$C:$C,$G280)*100,0),"")</f>
        <v/>
      </c>
    </row>
    <row r="281" spans="1:8" ht="15" hidden="1" customHeight="1">
      <c r="A281" t="s">
        <v>93</v>
      </c>
      <c r="B281" t="s">
        <v>95</v>
      </c>
      <c r="C281">
        <v>20</v>
      </c>
      <c r="D281">
        <v>5</v>
      </c>
      <c r="E281">
        <v>3</v>
      </c>
      <c r="F281">
        <v>1</v>
      </c>
      <c r="G281" t="s">
        <v>115</v>
      </c>
      <c r="H281" t="str">
        <f>IFERROR(ROUND(COUNTIFS(Tasks!$A:$A,$A281,Tasks!$B:$B,$B281,Tasks!$C:$C,$G281,Tasks!$I:$I,"&lt;="&amp;INDEX(Weeks!$D:$D,MATCH($C281,Weeks!$A:$A,0)),Tasks!$I:$I,"&lt;&gt;")/COUNTIFS(Tasks!$A:$A,$A281,Tasks!$B:$B,$B281,Tasks!$C:$C,$G281)*100,0),"")</f>
        <v/>
      </c>
    </row>
    <row r="282" spans="1:8" ht="15" hidden="1" customHeight="1">
      <c r="A282" t="s">
        <v>93</v>
      </c>
      <c r="B282" t="s">
        <v>95</v>
      </c>
      <c r="C282">
        <v>21</v>
      </c>
      <c r="D282">
        <v>5</v>
      </c>
      <c r="E282">
        <v>4</v>
      </c>
      <c r="F282">
        <v>1</v>
      </c>
      <c r="G282" t="s">
        <v>115</v>
      </c>
      <c r="H282" t="str">
        <f>IFERROR(ROUND(COUNTIFS(Tasks!$A:$A,$A282,Tasks!$B:$B,$B282,Tasks!$C:$C,$G282,Tasks!$I:$I,"&lt;="&amp;INDEX(Weeks!$D:$D,MATCH($C282,Weeks!$A:$A,0)),Tasks!$I:$I,"&lt;&gt;")/COUNTIFS(Tasks!$A:$A,$A282,Tasks!$B:$B,$B282,Tasks!$C:$C,$G282)*100,0),"")</f>
        <v/>
      </c>
    </row>
    <row r="283" spans="1:8" ht="15" hidden="1" customHeight="1">
      <c r="A283" t="s">
        <v>93</v>
      </c>
      <c r="B283" t="s">
        <v>95</v>
      </c>
      <c r="C283">
        <v>22</v>
      </c>
      <c r="D283">
        <v>5</v>
      </c>
      <c r="E283">
        <v>5</v>
      </c>
      <c r="F283">
        <v>1</v>
      </c>
      <c r="G283" t="s">
        <v>115</v>
      </c>
      <c r="H283" t="str">
        <f>IFERROR(ROUND(COUNTIFS(Tasks!$A:$A,$A283,Tasks!$B:$B,$B283,Tasks!$C:$C,$G283,Tasks!$I:$I,"&lt;="&amp;INDEX(Weeks!$D:$D,MATCH($C283,Weeks!$A:$A,0)),Tasks!$I:$I,"&lt;&gt;")/COUNTIFS(Tasks!$A:$A,$A283,Tasks!$B:$B,$B283,Tasks!$C:$C,$G283)*100,0),"")</f>
        <v/>
      </c>
    </row>
    <row r="284" spans="1:8" ht="15" hidden="1" customHeight="1">
      <c r="A284" t="s">
        <v>93</v>
      </c>
      <c r="B284" t="s">
        <v>95</v>
      </c>
      <c r="C284">
        <v>23</v>
      </c>
      <c r="D284">
        <v>6</v>
      </c>
      <c r="E284">
        <v>1</v>
      </c>
      <c r="F284">
        <v>1</v>
      </c>
      <c r="G284" t="s">
        <v>115</v>
      </c>
      <c r="H284" t="str">
        <f>IFERROR(ROUND(COUNTIFS(Tasks!$A:$A,$A284,Tasks!$B:$B,$B284,Tasks!$C:$C,$G284,Tasks!$I:$I,"&lt;="&amp;INDEX(Weeks!$D:$D,MATCH($C284,Weeks!$A:$A,0)),Tasks!$I:$I,"&lt;&gt;")/COUNTIFS(Tasks!$A:$A,$A284,Tasks!$B:$B,$B284,Tasks!$C:$C,$G284)*100,0),"")</f>
        <v/>
      </c>
    </row>
    <row r="285" spans="1:8" ht="15" hidden="1" customHeight="1">
      <c r="A285" t="s">
        <v>93</v>
      </c>
      <c r="B285" t="s">
        <v>95</v>
      </c>
      <c r="C285">
        <v>24</v>
      </c>
      <c r="D285">
        <v>6</v>
      </c>
      <c r="E285">
        <v>2</v>
      </c>
      <c r="F285">
        <v>1</v>
      </c>
      <c r="G285" t="s">
        <v>115</v>
      </c>
      <c r="H285" t="str">
        <f>IFERROR(ROUND(COUNTIFS(Tasks!$A:$A,$A285,Tasks!$B:$B,$B285,Tasks!$C:$C,$G285,Tasks!$I:$I,"&lt;="&amp;INDEX(Weeks!$D:$D,MATCH($C285,Weeks!$A:$A,0)),Tasks!$I:$I,"&lt;&gt;")/COUNTIFS(Tasks!$A:$A,$A285,Tasks!$B:$B,$B285,Tasks!$C:$C,$G285)*100,0),"")</f>
        <v/>
      </c>
    </row>
    <row r="286" spans="1:8" ht="15" hidden="1" customHeight="1">
      <c r="A286" t="s">
        <v>93</v>
      </c>
      <c r="B286" t="s">
        <v>95</v>
      </c>
      <c r="C286">
        <v>25</v>
      </c>
      <c r="D286">
        <v>6</v>
      </c>
      <c r="E286">
        <v>3</v>
      </c>
      <c r="F286">
        <v>1</v>
      </c>
      <c r="G286" t="s">
        <v>115</v>
      </c>
      <c r="H286" t="str">
        <f>IFERROR(ROUND(COUNTIFS(Tasks!$A:$A,$A286,Tasks!$B:$B,$B286,Tasks!$C:$C,$G286,Tasks!$I:$I,"&lt;="&amp;INDEX(Weeks!$D:$D,MATCH($C286,Weeks!$A:$A,0)),Tasks!$I:$I,"&lt;&gt;")/COUNTIFS(Tasks!$A:$A,$A286,Tasks!$B:$B,$B286,Tasks!$C:$C,$G286)*100,0),"")</f>
        <v/>
      </c>
    </row>
    <row r="287" spans="1:8" ht="15" hidden="1" customHeight="1">
      <c r="A287" t="s">
        <v>93</v>
      </c>
      <c r="B287" t="s">
        <v>95</v>
      </c>
      <c r="C287">
        <v>26</v>
      </c>
      <c r="D287">
        <v>6</v>
      </c>
      <c r="E287">
        <v>4</v>
      </c>
      <c r="F287">
        <v>1</v>
      </c>
      <c r="G287" t="s">
        <v>115</v>
      </c>
      <c r="H287" t="str">
        <f>IFERROR(ROUND(COUNTIFS(Tasks!$A:$A,$A287,Tasks!$B:$B,$B287,Tasks!$C:$C,$G287,Tasks!$I:$I,"&lt;="&amp;INDEX(Weeks!$D:$D,MATCH($C287,Weeks!$A:$A,0)),Tasks!$I:$I,"&lt;&gt;")/COUNTIFS(Tasks!$A:$A,$A287,Tasks!$B:$B,$B287,Tasks!$C:$C,$G287)*100,0),"")</f>
        <v/>
      </c>
    </row>
    <row r="288" spans="1:8" ht="15" hidden="1" customHeight="1">
      <c r="A288" t="s">
        <v>93</v>
      </c>
      <c r="B288" t="s">
        <v>95</v>
      </c>
      <c r="C288">
        <v>27</v>
      </c>
      <c r="D288">
        <v>7</v>
      </c>
      <c r="E288">
        <v>1</v>
      </c>
      <c r="F288">
        <v>1</v>
      </c>
      <c r="G288" t="s">
        <v>115</v>
      </c>
      <c r="H288" t="str">
        <f>IFERROR(ROUND(COUNTIFS(Tasks!$A:$A,$A288,Tasks!$B:$B,$B288,Tasks!$C:$C,$G288,Tasks!$I:$I,"&lt;="&amp;INDEX(Weeks!$D:$D,MATCH($C288,Weeks!$A:$A,0)),Tasks!$I:$I,"&lt;&gt;")/COUNTIFS(Tasks!$A:$A,$A288,Tasks!$B:$B,$B288,Tasks!$C:$C,$G288)*100,0),"")</f>
        <v/>
      </c>
    </row>
    <row r="289" spans="1:8" ht="15" hidden="1" customHeight="1">
      <c r="A289" t="s">
        <v>93</v>
      </c>
      <c r="B289" t="s">
        <v>95</v>
      </c>
      <c r="C289">
        <v>28</v>
      </c>
      <c r="D289">
        <v>7</v>
      </c>
      <c r="E289">
        <v>2</v>
      </c>
      <c r="F289">
        <v>1</v>
      </c>
      <c r="G289" t="s">
        <v>115</v>
      </c>
      <c r="H289" t="str">
        <f>IFERROR(ROUND(COUNTIFS(Tasks!$A:$A,$A289,Tasks!$B:$B,$B289,Tasks!$C:$C,$G289,Tasks!$I:$I,"&lt;="&amp;INDEX(Weeks!$D:$D,MATCH($C289,Weeks!$A:$A,0)),Tasks!$I:$I,"&lt;&gt;")/COUNTIFS(Tasks!$A:$A,$A289,Tasks!$B:$B,$B289,Tasks!$C:$C,$G289)*100,0),"")</f>
        <v/>
      </c>
    </row>
    <row r="290" spans="1:8" ht="15" hidden="1" customHeight="1">
      <c r="A290" t="s">
        <v>93</v>
      </c>
      <c r="B290" t="s">
        <v>95</v>
      </c>
      <c r="C290">
        <v>29</v>
      </c>
      <c r="D290">
        <v>7</v>
      </c>
      <c r="E290">
        <v>3</v>
      </c>
      <c r="F290">
        <v>1</v>
      </c>
      <c r="G290" t="s">
        <v>115</v>
      </c>
      <c r="H290" t="str">
        <f>IFERROR(ROUND(COUNTIFS(Tasks!$A:$A,$A290,Tasks!$B:$B,$B290,Tasks!$C:$C,$G290,Tasks!$I:$I,"&lt;="&amp;INDEX(Weeks!$D:$D,MATCH($C290,Weeks!$A:$A,0)),Tasks!$I:$I,"&lt;&gt;")/COUNTIFS(Tasks!$A:$A,$A290,Tasks!$B:$B,$B290,Tasks!$C:$C,$G290)*100,0),"")</f>
        <v/>
      </c>
    </row>
    <row r="291" spans="1:8" ht="15" hidden="1" customHeight="1">
      <c r="A291" t="s">
        <v>93</v>
      </c>
      <c r="B291" t="s">
        <v>95</v>
      </c>
      <c r="C291">
        <v>30</v>
      </c>
      <c r="D291">
        <v>7</v>
      </c>
      <c r="E291">
        <v>4</v>
      </c>
      <c r="F291">
        <v>1</v>
      </c>
      <c r="G291" t="s">
        <v>115</v>
      </c>
      <c r="H291" t="str">
        <f>IFERROR(ROUND(COUNTIFS(Tasks!$A:$A,$A291,Tasks!$B:$B,$B291,Tasks!$C:$C,$G291,Tasks!$I:$I,"&lt;="&amp;INDEX(Weeks!$D:$D,MATCH($C291,Weeks!$A:$A,0)),Tasks!$I:$I,"&lt;&gt;")/COUNTIFS(Tasks!$A:$A,$A291,Tasks!$B:$B,$B291,Tasks!$C:$C,$G291)*100,0),"")</f>
        <v/>
      </c>
    </row>
    <row r="292" spans="1:8" ht="15" hidden="1" customHeight="1">
      <c r="A292" t="s">
        <v>93</v>
      </c>
      <c r="B292" t="s">
        <v>95</v>
      </c>
      <c r="C292">
        <v>31</v>
      </c>
      <c r="D292">
        <v>8</v>
      </c>
      <c r="E292">
        <v>1</v>
      </c>
      <c r="F292">
        <v>1</v>
      </c>
      <c r="G292" t="s">
        <v>115</v>
      </c>
      <c r="H292" t="str">
        <f>IFERROR(ROUND(COUNTIFS(Tasks!$A:$A,$A292,Tasks!$B:$B,$B292,Tasks!$C:$C,$G292,Tasks!$I:$I,"&lt;="&amp;INDEX(Weeks!$D:$D,MATCH($C292,Weeks!$A:$A,0)),Tasks!$I:$I,"&lt;&gt;")/COUNTIFS(Tasks!$A:$A,$A292,Tasks!$B:$B,$B292,Tasks!$C:$C,$G292)*100,0),"")</f>
        <v/>
      </c>
    </row>
    <row r="293" spans="1:8" ht="15" hidden="1" customHeight="1">
      <c r="A293" t="s">
        <v>93</v>
      </c>
      <c r="B293" t="s">
        <v>95</v>
      </c>
      <c r="C293">
        <v>32</v>
      </c>
      <c r="D293">
        <v>8</v>
      </c>
      <c r="E293">
        <v>2</v>
      </c>
      <c r="F293">
        <v>1</v>
      </c>
      <c r="G293" t="s">
        <v>115</v>
      </c>
      <c r="H293" t="str">
        <f>IFERROR(ROUND(COUNTIFS(Tasks!$A:$A,$A293,Tasks!$B:$B,$B293,Tasks!$C:$C,$G293,Tasks!$I:$I,"&lt;="&amp;INDEX(Weeks!$D:$D,MATCH($C293,Weeks!$A:$A,0)),Tasks!$I:$I,"&lt;&gt;")/COUNTIFS(Tasks!$A:$A,$A293,Tasks!$B:$B,$B293,Tasks!$C:$C,$G293)*100,0),"")</f>
        <v/>
      </c>
    </row>
    <row r="294" spans="1:8" ht="15" hidden="1" customHeight="1">
      <c r="A294" t="s">
        <v>93</v>
      </c>
      <c r="B294" t="s">
        <v>95</v>
      </c>
      <c r="C294">
        <v>33</v>
      </c>
      <c r="D294">
        <v>8</v>
      </c>
      <c r="E294">
        <v>3</v>
      </c>
      <c r="F294">
        <v>1</v>
      </c>
      <c r="G294" t="s">
        <v>115</v>
      </c>
      <c r="H294" t="str">
        <f>IFERROR(ROUND(COUNTIFS(Tasks!$A:$A,$A294,Tasks!$B:$B,$B294,Tasks!$C:$C,$G294,Tasks!$I:$I,"&lt;="&amp;INDEX(Weeks!$D:$D,MATCH($C294,Weeks!$A:$A,0)),Tasks!$I:$I,"&lt;&gt;")/COUNTIFS(Tasks!$A:$A,$A294,Tasks!$B:$B,$B294,Tasks!$C:$C,$G294)*100,0),"")</f>
        <v/>
      </c>
    </row>
    <row r="295" spans="1:8" ht="15" hidden="1" customHeight="1">
      <c r="A295" t="s">
        <v>93</v>
      </c>
      <c r="B295" t="s">
        <v>95</v>
      </c>
      <c r="C295">
        <v>34</v>
      </c>
      <c r="D295">
        <v>8</v>
      </c>
      <c r="E295">
        <v>4</v>
      </c>
      <c r="F295">
        <v>1</v>
      </c>
      <c r="G295" t="s">
        <v>115</v>
      </c>
      <c r="H295" t="str">
        <f>IFERROR(ROUND(COUNTIFS(Tasks!$A:$A,$A295,Tasks!$B:$B,$B295,Tasks!$C:$C,$G295,Tasks!$I:$I,"&lt;="&amp;INDEX(Weeks!$D:$D,MATCH($C295,Weeks!$A:$A,0)),Tasks!$I:$I,"&lt;&gt;")/COUNTIFS(Tasks!$A:$A,$A295,Tasks!$B:$B,$B295,Tasks!$C:$C,$G295)*100,0),"")</f>
        <v/>
      </c>
    </row>
    <row r="296" spans="1:8" ht="15" hidden="1" customHeight="1">
      <c r="A296" t="s">
        <v>93</v>
      </c>
      <c r="B296" t="s">
        <v>95</v>
      </c>
      <c r="C296">
        <v>35</v>
      </c>
      <c r="D296">
        <v>8</v>
      </c>
      <c r="E296">
        <v>5</v>
      </c>
      <c r="F296">
        <v>1</v>
      </c>
      <c r="G296" t="s">
        <v>115</v>
      </c>
      <c r="H296" t="str">
        <f>IFERROR(ROUND(COUNTIFS(Tasks!$A:$A,$A296,Tasks!$B:$B,$B296,Tasks!$C:$C,$G296,Tasks!$I:$I,"&lt;="&amp;INDEX(Weeks!$D:$D,MATCH($C296,Weeks!$A:$A,0)),Tasks!$I:$I,"&lt;&gt;")/COUNTIFS(Tasks!$A:$A,$A296,Tasks!$B:$B,$B296,Tasks!$C:$C,$G296)*100,0),"")</f>
        <v/>
      </c>
    </row>
    <row r="297" spans="1:8" ht="15" hidden="1" customHeight="1">
      <c r="A297" t="s">
        <v>93</v>
      </c>
      <c r="B297" t="s">
        <v>95</v>
      </c>
      <c r="C297">
        <v>36</v>
      </c>
      <c r="D297">
        <v>9</v>
      </c>
      <c r="E297">
        <v>1</v>
      </c>
      <c r="F297">
        <v>1</v>
      </c>
      <c r="G297" t="s">
        <v>115</v>
      </c>
      <c r="H297" t="str">
        <f>IFERROR(ROUND(COUNTIFS(Tasks!$A:$A,$A297,Tasks!$B:$B,$B297,Tasks!$C:$C,$G297,Tasks!$I:$I,"&lt;="&amp;INDEX(Weeks!$D:$D,MATCH($C297,Weeks!$A:$A,0)),Tasks!$I:$I,"&lt;&gt;")/COUNTIFS(Tasks!$A:$A,$A297,Tasks!$B:$B,$B297,Tasks!$C:$C,$G297)*100,0),"")</f>
        <v/>
      </c>
    </row>
    <row r="298" spans="1:8" ht="15" hidden="1" customHeight="1">
      <c r="A298" t="s">
        <v>93</v>
      </c>
      <c r="B298" t="s">
        <v>95</v>
      </c>
      <c r="C298">
        <v>37</v>
      </c>
      <c r="D298">
        <v>9</v>
      </c>
      <c r="E298">
        <v>2</v>
      </c>
      <c r="F298">
        <v>1</v>
      </c>
      <c r="G298" t="s">
        <v>115</v>
      </c>
      <c r="H298" t="str">
        <f>IFERROR(ROUND(COUNTIFS(Tasks!$A:$A,$A298,Tasks!$B:$B,$B298,Tasks!$C:$C,$G298,Tasks!$I:$I,"&lt;="&amp;INDEX(Weeks!$D:$D,MATCH($C298,Weeks!$A:$A,0)),Tasks!$I:$I,"&lt;&gt;")/COUNTIFS(Tasks!$A:$A,$A298,Tasks!$B:$B,$B298,Tasks!$C:$C,$G298)*100,0),"")</f>
        <v/>
      </c>
    </row>
    <row r="299" spans="1:8" ht="15" hidden="1" customHeight="1">
      <c r="A299" t="s">
        <v>93</v>
      </c>
      <c r="B299" t="s">
        <v>95</v>
      </c>
      <c r="C299">
        <v>38</v>
      </c>
      <c r="D299">
        <v>9</v>
      </c>
      <c r="E299">
        <v>3</v>
      </c>
      <c r="F299">
        <v>1</v>
      </c>
      <c r="G299" t="s">
        <v>115</v>
      </c>
      <c r="H299" t="str">
        <f>IFERROR(ROUND(COUNTIFS(Tasks!$A:$A,$A299,Tasks!$B:$B,$B299,Tasks!$C:$C,$G299,Tasks!$I:$I,"&lt;="&amp;INDEX(Weeks!$D:$D,MATCH($C299,Weeks!$A:$A,0)),Tasks!$I:$I,"&lt;&gt;")/COUNTIFS(Tasks!$A:$A,$A299,Tasks!$B:$B,$B299,Tasks!$C:$C,$G299)*100,0),"")</f>
        <v/>
      </c>
    </row>
    <row r="300" spans="1:8" ht="15" hidden="1" customHeight="1">
      <c r="A300" t="s">
        <v>93</v>
      </c>
      <c r="B300" t="s">
        <v>95</v>
      </c>
      <c r="C300">
        <v>39</v>
      </c>
      <c r="D300">
        <v>9</v>
      </c>
      <c r="E300">
        <v>4</v>
      </c>
      <c r="F300">
        <v>1</v>
      </c>
      <c r="G300" t="s">
        <v>115</v>
      </c>
      <c r="H300" t="str">
        <f>IFERROR(ROUND(COUNTIFS(Tasks!$A:$A,$A300,Tasks!$B:$B,$B300,Tasks!$C:$C,$G300,Tasks!$I:$I,"&lt;="&amp;INDEX(Weeks!$D:$D,MATCH($C300,Weeks!$A:$A,0)),Tasks!$I:$I,"&lt;&gt;")/COUNTIFS(Tasks!$A:$A,$A300,Tasks!$B:$B,$B300,Tasks!$C:$C,$G300)*100,0),"")</f>
        <v/>
      </c>
    </row>
    <row r="301" spans="1:8" ht="15" hidden="1" customHeight="1">
      <c r="A301" t="s">
        <v>93</v>
      </c>
      <c r="B301" t="s">
        <v>95</v>
      </c>
      <c r="C301">
        <v>40</v>
      </c>
      <c r="D301">
        <v>10</v>
      </c>
      <c r="E301">
        <v>1</v>
      </c>
      <c r="F301">
        <v>1</v>
      </c>
      <c r="G301" t="s">
        <v>115</v>
      </c>
      <c r="H301" t="str">
        <f>IFERROR(ROUND(COUNTIFS(Tasks!$A:$A,$A301,Tasks!$B:$B,$B301,Tasks!$C:$C,$G301,Tasks!$I:$I,"&lt;="&amp;INDEX(Weeks!$D:$D,MATCH($C301,Weeks!$A:$A,0)),Tasks!$I:$I,"&lt;&gt;")/COUNTIFS(Tasks!$A:$A,$A301,Tasks!$B:$B,$B301,Tasks!$C:$C,$G301)*100,0),"")</f>
        <v/>
      </c>
    </row>
    <row r="302" spans="1:8" ht="15" hidden="1" customHeight="1">
      <c r="A302" t="s">
        <v>93</v>
      </c>
      <c r="B302" t="s">
        <v>95</v>
      </c>
      <c r="C302">
        <v>41</v>
      </c>
      <c r="D302">
        <v>10</v>
      </c>
      <c r="E302">
        <v>2</v>
      </c>
      <c r="F302">
        <v>1</v>
      </c>
      <c r="G302" t="s">
        <v>115</v>
      </c>
      <c r="H302" t="str">
        <f>IFERROR(ROUND(COUNTIFS(Tasks!$A:$A,$A302,Tasks!$B:$B,$B302,Tasks!$C:$C,$G302,Tasks!$I:$I,"&lt;="&amp;INDEX(Weeks!$D:$D,MATCH($C302,Weeks!$A:$A,0)),Tasks!$I:$I,"&lt;&gt;")/COUNTIFS(Tasks!$A:$A,$A302,Tasks!$B:$B,$B302,Tasks!$C:$C,$G302)*100,0),"")</f>
        <v/>
      </c>
    </row>
    <row r="303" spans="1:8" ht="15" hidden="1" customHeight="1">
      <c r="A303" t="s">
        <v>93</v>
      </c>
      <c r="B303" t="s">
        <v>95</v>
      </c>
      <c r="C303">
        <v>42</v>
      </c>
      <c r="D303">
        <v>10</v>
      </c>
      <c r="E303">
        <v>3</v>
      </c>
      <c r="F303">
        <v>1</v>
      </c>
      <c r="G303" t="s">
        <v>115</v>
      </c>
      <c r="H303" t="str">
        <f>IFERROR(ROUND(COUNTIFS(Tasks!$A:$A,$A303,Tasks!$B:$B,$B303,Tasks!$C:$C,$G303,Tasks!$I:$I,"&lt;="&amp;INDEX(Weeks!$D:$D,MATCH($C303,Weeks!$A:$A,0)),Tasks!$I:$I,"&lt;&gt;")/COUNTIFS(Tasks!$A:$A,$A303,Tasks!$B:$B,$B303,Tasks!$C:$C,$G303)*100,0),"")</f>
        <v/>
      </c>
    </row>
    <row r="304" spans="1:8" ht="15" hidden="1" customHeight="1">
      <c r="A304" t="s">
        <v>93</v>
      </c>
      <c r="B304" t="s">
        <v>95</v>
      </c>
      <c r="C304">
        <v>43</v>
      </c>
      <c r="D304">
        <v>10</v>
      </c>
      <c r="E304">
        <v>4</v>
      </c>
      <c r="F304">
        <v>1</v>
      </c>
      <c r="G304" t="s">
        <v>115</v>
      </c>
      <c r="H304" t="str">
        <f>IFERROR(ROUND(COUNTIFS(Tasks!$A:$A,$A304,Tasks!$B:$B,$B304,Tasks!$C:$C,$G304,Tasks!$I:$I,"&lt;="&amp;INDEX(Weeks!$D:$D,MATCH($C304,Weeks!$A:$A,0)),Tasks!$I:$I,"&lt;&gt;")/COUNTIFS(Tasks!$A:$A,$A304,Tasks!$B:$B,$B304,Tasks!$C:$C,$G304)*100,0),"")</f>
        <v/>
      </c>
    </row>
    <row r="305" spans="1:8" ht="15" hidden="1" customHeight="1">
      <c r="A305" t="s">
        <v>93</v>
      </c>
      <c r="B305" t="s">
        <v>95</v>
      </c>
      <c r="C305">
        <v>44</v>
      </c>
      <c r="D305">
        <v>10</v>
      </c>
      <c r="E305">
        <v>5</v>
      </c>
      <c r="F305">
        <v>1</v>
      </c>
      <c r="G305" t="s">
        <v>115</v>
      </c>
      <c r="H305" t="str">
        <f>IFERROR(ROUND(COUNTIFS(Tasks!$A:$A,$A305,Tasks!$B:$B,$B305,Tasks!$C:$C,$G305,Tasks!$I:$I,"&lt;="&amp;INDEX(Weeks!$D:$D,MATCH($C305,Weeks!$A:$A,0)),Tasks!$I:$I,"&lt;&gt;")/COUNTIFS(Tasks!$A:$A,$A305,Tasks!$B:$B,$B305,Tasks!$C:$C,$G305)*100,0),"")</f>
        <v/>
      </c>
    </row>
    <row r="306" spans="1:8" ht="15" hidden="1" customHeight="1">
      <c r="A306" t="s">
        <v>93</v>
      </c>
      <c r="B306" t="s">
        <v>95</v>
      </c>
      <c r="C306">
        <v>45</v>
      </c>
      <c r="D306">
        <v>11</v>
      </c>
      <c r="E306">
        <v>1</v>
      </c>
      <c r="F306">
        <v>1</v>
      </c>
      <c r="G306" t="s">
        <v>115</v>
      </c>
      <c r="H306" t="str">
        <f>IFERROR(ROUND(COUNTIFS(Tasks!$A:$A,$A306,Tasks!$B:$B,$B306,Tasks!$C:$C,$G306,Tasks!$I:$I,"&lt;="&amp;INDEX(Weeks!$D:$D,MATCH($C306,Weeks!$A:$A,0)),Tasks!$I:$I,"&lt;&gt;")/COUNTIFS(Tasks!$A:$A,$A306,Tasks!$B:$B,$B306,Tasks!$C:$C,$G306)*100,0),"")</f>
        <v/>
      </c>
    </row>
    <row r="307" spans="1:8" ht="15" hidden="1" customHeight="1">
      <c r="A307" t="s">
        <v>93</v>
      </c>
      <c r="B307" t="s">
        <v>95</v>
      </c>
      <c r="C307">
        <v>46</v>
      </c>
      <c r="D307">
        <v>11</v>
      </c>
      <c r="E307">
        <v>2</v>
      </c>
      <c r="F307">
        <v>1</v>
      </c>
      <c r="G307" t="s">
        <v>115</v>
      </c>
      <c r="H307" t="str">
        <f>IFERROR(ROUND(COUNTIFS(Tasks!$A:$A,$A307,Tasks!$B:$B,$B307,Tasks!$C:$C,$G307,Tasks!$I:$I,"&lt;="&amp;INDEX(Weeks!$D:$D,MATCH($C307,Weeks!$A:$A,0)),Tasks!$I:$I,"&lt;&gt;")/COUNTIFS(Tasks!$A:$A,$A307,Tasks!$B:$B,$B307,Tasks!$C:$C,$G307)*100,0),"")</f>
        <v/>
      </c>
    </row>
    <row r="308" spans="1:8" ht="15" hidden="1" customHeight="1">
      <c r="A308" t="s">
        <v>93</v>
      </c>
      <c r="B308" t="s">
        <v>95</v>
      </c>
      <c r="C308">
        <v>47</v>
      </c>
      <c r="D308">
        <v>11</v>
      </c>
      <c r="E308">
        <v>3</v>
      </c>
      <c r="F308">
        <v>1</v>
      </c>
      <c r="G308" t="s">
        <v>115</v>
      </c>
      <c r="H308" t="str">
        <f>IFERROR(ROUND(COUNTIFS(Tasks!$A:$A,$A308,Tasks!$B:$B,$B308,Tasks!$C:$C,$G308,Tasks!$I:$I,"&lt;="&amp;INDEX(Weeks!$D:$D,MATCH($C308,Weeks!$A:$A,0)),Tasks!$I:$I,"&lt;&gt;")/COUNTIFS(Tasks!$A:$A,$A308,Tasks!$B:$B,$B308,Tasks!$C:$C,$G308)*100,0),"")</f>
        <v/>
      </c>
    </row>
    <row r="309" spans="1:8" ht="15" hidden="1" customHeight="1">
      <c r="A309" t="s">
        <v>93</v>
      </c>
      <c r="B309" t="s">
        <v>95</v>
      </c>
      <c r="C309">
        <v>48</v>
      </c>
      <c r="D309">
        <v>11</v>
      </c>
      <c r="E309">
        <v>4</v>
      </c>
      <c r="F309">
        <v>1</v>
      </c>
      <c r="G309" t="s">
        <v>115</v>
      </c>
      <c r="H309" t="str">
        <f>IFERROR(ROUND(COUNTIFS(Tasks!$A:$A,$A309,Tasks!$B:$B,$B309,Tasks!$C:$C,$G309,Tasks!$I:$I,"&lt;="&amp;INDEX(Weeks!$D:$D,MATCH($C309,Weeks!$A:$A,0)),Tasks!$I:$I,"&lt;&gt;")/COUNTIFS(Tasks!$A:$A,$A309,Tasks!$B:$B,$B309,Tasks!$C:$C,$G309)*100,0),"")</f>
        <v/>
      </c>
    </row>
    <row r="310" spans="1:8" ht="15" hidden="1" customHeight="1">
      <c r="A310" t="s">
        <v>93</v>
      </c>
      <c r="B310" t="s">
        <v>95</v>
      </c>
      <c r="C310">
        <v>49</v>
      </c>
      <c r="D310">
        <v>12</v>
      </c>
      <c r="E310">
        <v>1</v>
      </c>
      <c r="F310">
        <v>1</v>
      </c>
      <c r="G310" t="s">
        <v>115</v>
      </c>
      <c r="H310" t="str">
        <f>IFERROR(ROUND(COUNTIFS(Tasks!$A:$A,$A310,Tasks!$B:$B,$B310,Tasks!$C:$C,$G310,Tasks!$I:$I,"&lt;="&amp;INDEX(Weeks!$D:$D,MATCH($C310,Weeks!$A:$A,0)),Tasks!$I:$I,"&lt;&gt;")/COUNTIFS(Tasks!$A:$A,$A310,Tasks!$B:$B,$B310,Tasks!$C:$C,$G310)*100,0),"")</f>
        <v/>
      </c>
    </row>
    <row r="311" spans="1:8" ht="15" hidden="1" customHeight="1">
      <c r="A311" t="s">
        <v>93</v>
      </c>
      <c r="B311" t="s">
        <v>95</v>
      </c>
      <c r="C311">
        <v>50</v>
      </c>
      <c r="D311">
        <v>12</v>
      </c>
      <c r="E311">
        <v>2</v>
      </c>
      <c r="F311">
        <v>1</v>
      </c>
      <c r="G311" t="s">
        <v>115</v>
      </c>
      <c r="H311" t="str">
        <f>IFERROR(ROUND(COUNTIFS(Tasks!$A:$A,$A311,Tasks!$B:$B,$B311,Tasks!$C:$C,$G311,Tasks!$I:$I,"&lt;="&amp;INDEX(Weeks!$D:$D,MATCH($C311,Weeks!$A:$A,0)),Tasks!$I:$I,"&lt;&gt;")/COUNTIFS(Tasks!$A:$A,$A311,Tasks!$B:$B,$B311,Tasks!$C:$C,$G311)*100,0),"")</f>
        <v/>
      </c>
    </row>
    <row r="312" spans="1:8" ht="15" hidden="1" customHeight="1">
      <c r="A312" t="s">
        <v>93</v>
      </c>
      <c r="B312" t="s">
        <v>95</v>
      </c>
      <c r="C312">
        <v>51</v>
      </c>
      <c r="D312">
        <v>12</v>
      </c>
      <c r="E312">
        <v>3</v>
      </c>
      <c r="F312">
        <v>1</v>
      </c>
      <c r="G312" t="s">
        <v>115</v>
      </c>
      <c r="H312" t="str">
        <f>IFERROR(ROUND(COUNTIFS(Tasks!$A:$A,$A312,Tasks!$B:$B,$B312,Tasks!$C:$C,$G312,Tasks!$I:$I,"&lt;="&amp;INDEX(Weeks!$D:$D,MATCH($C312,Weeks!$A:$A,0)),Tasks!$I:$I,"&lt;&gt;")/COUNTIFS(Tasks!$A:$A,$A312,Tasks!$B:$B,$B312,Tasks!$C:$C,$G312)*100,0),"")</f>
        <v/>
      </c>
    </row>
    <row r="313" spans="1:8" ht="15" hidden="1" customHeight="1">
      <c r="A313" t="s">
        <v>93</v>
      </c>
      <c r="B313" t="s">
        <v>95</v>
      </c>
      <c r="C313">
        <v>52</v>
      </c>
      <c r="D313">
        <v>12</v>
      </c>
      <c r="E313">
        <v>4</v>
      </c>
      <c r="F313">
        <v>1</v>
      </c>
      <c r="G313" t="s">
        <v>115</v>
      </c>
      <c r="H313" t="str">
        <f>IFERROR(ROUND(COUNTIFS(Tasks!$A:$A,$A313,Tasks!$B:$B,$B313,Tasks!$C:$C,$G313,Tasks!$I:$I,"&lt;="&amp;INDEX(Weeks!$D:$D,MATCH($C313,Weeks!$A:$A,0)),Tasks!$I:$I,"&lt;&gt;")/COUNTIFS(Tasks!$A:$A,$A313,Tasks!$B:$B,$B313,Tasks!$C:$C,$G313)*100,0),"")</f>
        <v/>
      </c>
    </row>
    <row r="314" spans="1:8" ht="15" hidden="1" customHeight="1">
      <c r="A314" t="s">
        <v>93</v>
      </c>
      <c r="B314" t="s">
        <v>95</v>
      </c>
      <c r="C314">
        <v>1</v>
      </c>
      <c r="D314">
        <v>1</v>
      </c>
      <c r="E314">
        <v>1</v>
      </c>
      <c r="F314">
        <v>2</v>
      </c>
      <c r="G314" t="s">
        <v>116</v>
      </c>
      <c r="H314" t="str">
        <f>IFERROR(ROUND(COUNTIFS(Tasks!$A:$A,$A314,Tasks!$B:$B,$B314,Tasks!$C:$C,$G314,Tasks!$I:$I,"&lt;="&amp;INDEX(Weeks!$D:$D,MATCH($C314,Weeks!$A:$A,0)),Tasks!$I:$I,"&lt;&gt;")/COUNTIFS(Tasks!$A:$A,$A314,Tasks!$B:$B,$B314,Tasks!$C:$C,$G314)*100,0),"")</f>
        <v/>
      </c>
    </row>
    <row r="315" spans="1:8" ht="15" hidden="1" customHeight="1">
      <c r="A315" t="s">
        <v>93</v>
      </c>
      <c r="B315" t="s">
        <v>95</v>
      </c>
      <c r="C315">
        <v>2</v>
      </c>
      <c r="D315">
        <v>1</v>
      </c>
      <c r="E315">
        <v>2</v>
      </c>
      <c r="F315">
        <v>2</v>
      </c>
      <c r="G315" t="s">
        <v>116</v>
      </c>
      <c r="H315" t="str">
        <f>IFERROR(ROUND(COUNTIFS(Tasks!$A:$A,$A315,Tasks!$B:$B,$B315,Tasks!$C:$C,$G315,Tasks!$I:$I,"&lt;="&amp;INDEX(Weeks!$D:$D,MATCH($C315,Weeks!$A:$A,0)),Tasks!$I:$I,"&lt;&gt;")/COUNTIFS(Tasks!$A:$A,$A315,Tasks!$B:$B,$B315,Tasks!$C:$C,$G315)*100,0),"")</f>
        <v/>
      </c>
    </row>
    <row r="316" spans="1:8" ht="15" hidden="1" customHeight="1">
      <c r="A316" t="s">
        <v>93</v>
      </c>
      <c r="B316" t="s">
        <v>95</v>
      </c>
      <c r="C316">
        <v>3</v>
      </c>
      <c r="D316">
        <v>1</v>
      </c>
      <c r="E316">
        <v>3</v>
      </c>
      <c r="F316">
        <v>2</v>
      </c>
      <c r="G316" t="s">
        <v>116</v>
      </c>
      <c r="H316" t="str">
        <f>IFERROR(ROUND(COUNTIFS(Tasks!$A:$A,$A316,Tasks!$B:$B,$B316,Tasks!$C:$C,$G316,Tasks!$I:$I,"&lt;="&amp;INDEX(Weeks!$D:$D,MATCH($C316,Weeks!$A:$A,0)),Tasks!$I:$I,"&lt;&gt;")/COUNTIFS(Tasks!$A:$A,$A316,Tasks!$B:$B,$B316,Tasks!$C:$C,$G316)*100,0),"")</f>
        <v/>
      </c>
    </row>
    <row r="317" spans="1:8" ht="15" hidden="1" customHeight="1">
      <c r="A317" t="s">
        <v>93</v>
      </c>
      <c r="B317" t="s">
        <v>95</v>
      </c>
      <c r="C317">
        <v>4</v>
      </c>
      <c r="D317">
        <v>1</v>
      </c>
      <c r="E317">
        <v>4</v>
      </c>
      <c r="F317">
        <v>2</v>
      </c>
      <c r="G317" t="s">
        <v>116</v>
      </c>
      <c r="H317" t="str">
        <f>IFERROR(ROUND(COUNTIFS(Tasks!$A:$A,$A317,Tasks!$B:$B,$B317,Tasks!$C:$C,$G317,Tasks!$I:$I,"&lt;="&amp;INDEX(Weeks!$D:$D,MATCH($C317,Weeks!$A:$A,0)),Tasks!$I:$I,"&lt;&gt;")/COUNTIFS(Tasks!$A:$A,$A317,Tasks!$B:$B,$B317,Tasks!$C:$C,$G317)*100,0),"")</f>
        <v/>
      </c>
    </row>
    <row r="318" spans="1:8" ht="15" hidden="1" customHeight="1">
      <c r="A318" t="s">
        <v>93</v>
      </c>
      <c r="B318" t="s">
        <v>95</v>
      </c>
      <c r="C318">
        <v>5</v>
      </c>
      <c r="D318">
        <v>1</v>
      </c>
      <c r="E318">
        <v>5</v>
      </c>
      <c r="F318">
        <v>2</v>
      </c>
      <c r="G318" t="s">
        <v>116</v>
      </c>
      <c r="H318" t="str">
        <f>IFERROR(ROUND(COUNTIFS(Tasks!$A:$A,$A318,Tasks!$B:$B,$B318,Tasks!$C:$C,$G318,Tasks!$I:$I,"&lt;="&amp;INDEX(Weeks!$D:$D,MATCH($C318,Weeks!$A:$A,0)),Tasks!$I:$I,"&lt;&gt;")/COUNTIFS(Tasks!$A:$A,$A318,Tasks!$B:$B,$B318,Tasks!$C:$C,$G318)*100,0),"")</f>
        <v/>
      </c>
    </row>
    <row r="319" spans="1:8" ht="15" hidden="1" customHeight="1">
      <c r="A319" t="s">
        <v>93</v>
      </c>
      <c r="B319" t="s">
        <v>95</v>
      </c>
      <c r="C319">
        <v>6</v>
      </c>
      <c r="D319">
        <v>2</v>
      </c>
      <c r="E319">
        <v>1</v>
      </c>
      <c r="F319">
        <v>2</v>
      </c>
      <c r="G319" t="s">
        <v>116</v>
      </c>
      <c r="H319" t="str">
        <f>IFERROR(ROUND(COUNTIFS(Tasks!$A:$A,$A319,Tasks!$B:$B,$B319,Tasks!$C:$C,$G319,Tasks!$I:$I,"&lt;="&amp;INDEX(Weeks!$D:$D,MATCH($C319,Weeks!$A:$A,0)),Tasks!$I:$I,"&lt;&gt;")/COUNTIFS(Tasks!$A:$A,$A319,Tasks!$B:$B,$B319,Tasks!$C:$C,$G319)*100,0),"")</f>
        <v/>
      </c>
    </row>
    <row r="320" spans="1:8" ht="15" hidden="1" customHeight="1">
      <c r="A320" t="s">
        <v>93</v>
      </c>
      <c r="B320" t="s">
        <v>95</v>
      </c>
      <c r="C320">
        <v>7</v>
      </c>
      <c r="D320">
        <v>2</v>
      </c>
      <c r="E320">
        <v>2</v>
      </c>
      <c r="F320">
        <v>2</v>
      </c>
      <c r="G320" t="s">
        <v>116</v>
      </c>
      <c r="H320" t="str">
        <f>IFERROR(ROUND(COUNTIFS(Tasks!$A:$A,$A320,Tasks!$B:$B,$B320,Tasks!$C:$C,$G320,Tasks!$I:$I,"&lt;="&amp;INDEX(Weeks!$D:$D,MATCH($C320,Weeks!$A:$A,0)),Tasks!$I:$I,"&lt;&gt;")/COUNTIFS(Tasks!$A:$A,$A320,Tasks!$B:$B,$B320,Tasks!$C:$C,$G320)*100,0),"")</f>
        <v/>
      </c>
    </row>
    <row r="321" spans="1:8" ht="15" hidden="1" customHeight="1">
      <c r="A321" t="s">
        <v>93</v>
      </c>
      <c r="B321" t="s">
        <v>95</v>
      </c>
      <c r="C321">
        <v>8</v>
      </c>
      <c r="D321">
        <v>2</v>
      </c>
      <c r="E321">
        <v>3</v>
      </c>
      <c r="F321">
        <v>2</v>
      </c>
      <c r="G321" t="s">
        <v>116</v>
      </c>
      <c r="H321" t="str">
        <f>IFERROR(ROUND(COUNTIFS(Tasks!$A:$A,$A321,Tasks!$B:$B,$B321,Tasks!$C:$C,$G321,Tasks!$I:$I,"&lt;="&amp;INDEX(Weeks!$D:$D,MATCH($C321,Weeks!$A:$A,0)),Tasks!$I:$I,"&lt;&gt;")/COUNTIFS(Tasks!$A:$A,$A321,Tasks!$B:$B,$B321,Tasks!$C:$C,$G321)*100,0),"")</f>
        <v/>
      </c>
    </row>
    <row r="322" spans="1:8" ht="15" hidden="1" customHeight="1">
      <c r="A322" t="s">
        <v>93</v>
      </c>
      <c r="B322" t="s">
        <v>95</v>
      </c>
      <c r="C322">
        <v>9</v>
      </c>
      <c r="D322">
        <v>2</v>
      </c>
      <c r="E322">
        <v>4</v>
      </c>
      <c r="F322">
        <v>2</v>
      </c>
      <c r="G322" t="s">
        <v>116</v>
      </c>
      <c r="H322" t="str">
        <f>IFERROR(ROUND(COUNTIFS(Tasks!$A:$A,$A322,Tasks!$B:$B,$B322,Tasks!$C:$C,$G322,Tasks!$I:$I,"&lt;="&amp;INDEX(Weeks!$D:$D,MATCH($C322,Weeks!$A:$A,0)),Tasks!$I:$I,"&lt;&gt;")/COUNTIFS(Tasks!$A:$A,$A322,Tasks!$B:$B,$B322,Tasks!$C:$C,$G322)*100,0),"")</f>
        <v/>
      </c>
    </row>
    <row r="323" spans="1:8" ht="15" hidden="1" customHeight="1">
      <c r="A323" t="s">
        <v>93</v>
      </c>
      <c r="B323" t="s">
        <v>95</v>
      </c>
      <c r="C323">
        <v>10</v>
      </c>
      <c r="D323">
        <v>3</v>
      </c>
      <c r="E323">
        <v>1</v>
      </c>
      <c r="F323">
        <v>2</v>
      </c>
      <c r="G323" t="s">
        <v>116</v>
      </c>
      <c r="H323" t="str">
        <f>IFERROR(ROUND(COUNTIFS(Tasks!$A:$A,$A323,Tasks!$B:$B,$B323,Tasks!$C:$C,$G323,Tasks!$I:$I,"&lt;="&amp;INDEX(Weeks!$D:$D,MATCH($C323,Weeks!$A:$A,0)),Tasks!$I:$I,"&lt;&gt;")/COUNTIFS(Tasks!$A:$A,$A323,Tasks!$B:$B,$B323,Tasks!$C:$C,$G323)*100,0),"")</f>
        <v/>
      </c>
    </row>
    <row r="324" spans="1:8" ht="15" hidden="1" customHeight="1">
      <c r="A324" t="s">
        <v>93</v>
      </c>
      <c r="B324" t="s">
        <v>95</v>
      </c>
      <c r="C324">
        <v>11</v>
      </c>
      <c r="D324">
        <v>3</v>
      </c>
      <c r="E324">
        <v>2</v>
      </c>
      <c r="F324">
        <v>2</v>
      </c>
      <c r="G324" t="s">
        <v>116</v>
      </c>
      <c r="H324" t="str">
        <f>IFERROR(ROUND(COUNTIFS(Tasks!$A:$A,$A324,Tasks!$B:$B,$B324,Tasks!$C:$C,$G324,Tasks!$I:$I,"&lt;="&amp;INDEX(Weeks!$D:$D,MATCH($C324,Weeks!$A:$A,0)),Tasks!$I:$I,"&lt;&gt;")/COUNTIFS(Tasks!$A:$A,$A324,Tasks!$B:$B,$B324,Tasks!$C:$C,$G324)*100,0),"")</f>
        <v/>
      </c>
    </row>
    <row r="325" spans="1:8" ht="15" hidden="1" customHeight="1">
      <c r="A325" t="s">
        <v>93</v>
      </c>
      <c r="B325" t="s">
        <v>95</v>
      </c>
      <c r="C325">
        <v>12</v>
      </c>
      <c r="D325">
        <v>3</v>
      </c>
      <c r="E325">
        <v>3</v>
      </c>
      <c r="F325">
        <v>2</v>
      </c>
      <c r="G325" t="s">
        <v>116</v>
      </c>
      <c r="H325" t="str">
        <f>IFERROR(ROUND(COUNTIFS(Tasks!$A:$A,$A325,Tasks!$B:$B,$B325,Tasks!$C:$C,$G325,Tasks!$I:$I,"&lt;="&amp;INDEX(Weeks!$D:$D,MATCH($C325,Weeks!$A:$A,0)),Tasks!$I:$I,"&lt;&gt;")/COUNTIFS(Tasks!$A:$A,$A325,Tasks!$B:$B,$B325,Tasks!$C:$C,$G325)*100,0),"")</f>
        <v/>
      </c>
    </row>
    <row r="326" spans="1:8" ht="15" hidden="1" customHeight="1">
      <c r="A326" t="s">
        <v>93</v>
      </c>
      <c r="B326" t="s">
        <v>95</v>
      </c>
      <c r="C326">
        <v>13</v>
      </c>
      <c r="D326">
        <v>3</v>
      </c>
      <c r="E326">
        <v>4</v>
      </c>
      <c r="F326">
        <v>2</v>
      </c>
      <c r="G326" t="s">
        <v>116</v>
      </c>
      <c r="H326" t="str">
        <f>IFERROR(ROUND(COUNTIFS(Tasks!$A:$A,$A326,Tasks!$B:$B,$B326,Tasks!$C:$C,$G326,Tasks!$I:$I,"&lt;="&amp;INDEX(Weeks!$D:$D,MATCH($C326,Weeks!$A:$A,0)),Tasks!$I:$I,"&lt;&gt;")/COUNTIFS(Tasks!$A:$A,$A326,Tasks!$B:$B,$B326,Tasks!$C:$C,$G326)*100,0),"")</f>
        <v/>
      </c>
    </row>
    <row r="327" spans="1:8" ht="15" hidden="1" customHeight="1">
      <c r="A327" t="s">
        <v>93</v>
      </c>
      <c r="B327" t="s">
        <v>95</v>
      </c>
      <c r="C327">
        <v>14</v>
      </c>
      <c r="D327">
        <v>4</v>
      </c>
      <c r="E327">
        <v>1</v>
      </c>
      <c r="F327">
        <v>2</v>
      </c>
      <c r="G327" t="s">
        <v>116</v>
      </c>
      <c r="H327" t="str">
        <f>IFERROR(ROUND(COUNTIFS(Tasks!$A:$A,$A327,Tasks!$B:$B,$B327,Tasks!$C:$C,$G327,Tasks!$I:$I,"&lt;="&amp;INDEX(Weeks!$D:$D,MATCH($C327,Weeks!$A:$A,0)),Tasks!$I:$I,"&lt;&gt;")/COUNTIFS(Tasks!$A:$A,$A327,Tasks!$B:$B,$B327,Tasks!$C:$C,$G327)*100,0),"")</f>
        <v/>
      </c>
    </row>
    <row r="328" spans="1:8" ht="15" hidden="1" customHeight="1">
      <c r="A328" t="s">
        <v>93</v>
      </c>
      <c r="B328" t="s">
        <v>95</v>
      </c>
      <c r="C328">
        <v>15</v>
      </c>
      <c r="D328">
        <v>4</v>
      </c>
      <c r="E328">
        <v>2</v>
      </c>
      <c r="F328">
        <v>2</v>
      </c>
      <c r="G328" t="s">
        <v>116</v>
      </c>
      <c r="H328" t="str">
        <f>IFERROR(ROUND(COUNTIFS(Tasks!$A:$A,$A328,Tasks!$B:$B,$B328,Tasks!$C:$C,$G328,Tasks!$I:$I,"&lt;="&amp;INDEX(Weeks!$D:$D,MATCH($C328,Weeks!$A:$A,0)),Tasks!$I:$I,"&lt;&gt;")/COUNTIFS(Tasks!$A:$A,$A328,Tasks!$B:$B,$B328,Tasks!$C:$C,$G328)*100,0),"")</f>
        <v/>
      </c>
    </row>
    <row r="329" spans="1:8" ht="15" hidden="1" customHeight="1">
      <c r="A329" t="s">
        <v>93</v>
      </c>
      <c r="B329" t="s">
        <v>95</v>
      </c>
      <c r="C329">
        <v>16</v>
      </c>
      <c r="D329">
        <v>4</v>
      </c>
      <c r="E329">
        <v>3</v>
      </c>
      <c r="F329">
        <v>2</v>
      </c>
      <c r="G329" t="s">
        <v>116</v>
      </c>
      <c r="H329" t="str">
        <f>IFERROR(ROUND(COUNTIFS(Tasks!$A:$A,$A329,Tasks!$B:$B,$B329,Tasks!$C:$C,$G329,Tasks!$I:$I,"&lt;="&amp;INDEX(Weeks!$D:$D,MATCH($C329,Weeks!$A:$A,0)),Tasks!$I:$I,"&lt;&gt;")/COUNTIFS(Tasks!$A:$A,$A329,Tasks!$B:$B,$B329,Tasks!$C:$C,$G329)*100,0),"")</f>
        <v/>
      </c>
    </row>
    <row r="330" spans="1:8" ht="15" hidden="1" customHeight="1">
      <c r="A330" t="s">
        <v>93</v>
      </c>
      <c r="B330" t="s">
        <v>95</v>
      </c>
      <c r="C330">
        <v>17</v>
      </c>
      <c r="D330">
        <v>4</v>
      </c>
      <c r="E330">
        <v>4</v>
      </c>
      <c r="F330">
        <v>2</v>
      </c>
      <c r="G330" t="s">
        <v>116</v>
      </c>
      <c r="H330" t="str">
        <f>IFERROR(ROUND(COUNTIFS(Tasks!$A:$A,$A330,Tasks!$B:$B,$B330,Tasks!$C:$C,$G330,Tasks!$I:$I,"&lt;="&amp;INDEX(Weeks!$D:$D,MATCH($C330,Weeks!$A:$A,0)),Tasks!$I:$I,"&lt;&gt;")/COUNTIFS(Tasks!$A:$A,$A330,Tasks!$B:$B,$B330,Tasks!$C:$C,$G330)*100,0),"")</f>
        <v/>
      </c>
    </row>
    <row r="331" spans="1:8" ht="15" hidden="1" customHeight="1">
      <c r="A331" t="s">
        <v>93</v>
      </c>
      <c r="B331" t="s">
        <v>95</v>
      </c>
      <c r="C331">
        <v>18</v>
      </c>
      <c r="D331">
        <v>5</v>
      </c>
      <c r="E331">
        <v>1</v>
      </c>
      <c r="F331">
        <v>2</v>
      </c>
      <c r="G331" t="s">
        <v>116</v>
      </c>
      <c r="H331" t="str">
        <f>IFERROR(ROUND(COUNTIFS(Tasks!$A:$A,$A331,Tasks!$B:$B,$B331,Tasks!$C:$C,$G331,Tasks!$I:$I,"&lt;="&amp;INDEX(Weeks!$D:$D,MATCH($C331,Weeks!$A:$A,0)),Tasks!$I:$I,"&lt;&gt;")/COUNTIFS(Tasks!$A:$A,$A331,Tasks!$B:$B,$B331,Tasks!$C:$C,$G331)*100,0),"")</f>
        <v/>
      </c>
    </row>
    <row r="332" spans="1:8" ht="15" hidden="1" customHeight="1">
      <c r="A332" t="s">
        <v>93</v>
      </c>
      <c r="B332" t="s">
        <v>95</v>
      </c>
      <c r="C332">
        <v>19</v>
      </c>
      <c r="D332">
        <v>5</v>
      </c>
      <c r="E332">
        <v>2</v>
      </c>
      <c r="F332">
        <v>2</v>
      </c>
      <c r="G332" t="s">
        <v>116</v>
      </c>
      <c r="H332" t="str">
        <f>IFERROR(ROUND(COUNTIFS(Tasks!$A:$A,$A332,Tasks!$B:$B,$B332,Tasks!$C:$C,$G332,Tasks!$I:$I,"&lt;="&amp;INDEX(Weeks!$D:$D,MATCH($C332,Weeks!$A:$A,0)),Tasks!$I:$I,"&lt;&gt;")/COUNTIFS(Tasks!$A:$A,$A332,Tasks!$B:$B,$B332,Tasks!$C:$C,$G332)*100,0),"")</f>
        <v/>
      </c>
    </row>
    <row r="333" spans="1:8" ht="15" hidden="1" customHeight="1">
      <c r="A333" t="s">
        <v>93</v>
      </c>
      <c r="B333" t="s">
        <v>95</v>
      </c>
      <c r="C333">
        <v>20</v>
      </c>
      <c r="D333">
        <v>5</v>
      </c>
      <c r="E333">
        <v>3</v>
      </c>
      <c r="F333">
        <v>2</v>
      </c>
      <c r="G333" t="s">
        <v>116</v>
      </c>
      <c r="H333" t="str">
        <f>IFERROR(ROUND(COUNTIFS(Tasks!$A:$A,$A333,Tasks!$B:$B,$B333,Tasks!$C:$C,$G333,Tasks!$I:$I,"&lt;="&amp;INDEX(Weeks!$D:$D,MATCH($C333,Weeks!$A:$A,0)),Tasks!$I:$I,"&lt;&gt;")/COUNTIFS(Tasks!$A:$A,$A333,Tasks!$B:$B,$B333,Tasks!$C:$C,$G333)*100,0),"")</f>
        <v/>
      </c>
    </row>
    <row r="334" spans="1:8" ht="15" hidden="1" customHeight="1">
      <c r="A334" t="s">
        <v>93</v>
      </c>
      <c r="B334" t="s">
        <v>95</v>
      </c>
      <c r="C334">
        <v>21</v>
      </c>
      <c r="D334">
        <v>5</v>
      </c>
      <c r="E334">
        <v>4</v>
      </c>
      <c r="F334">
        <v>2</v>
      </c>
      <c r="G334" t="s">
        <v>116</v>
      </c>
      <c r="H334" t="str">
        <f>IFERROR(ROUND(COUNTIFS(Tasks!$A:$A,$A334,Tasks!$B:$B,$B334,Tasks!$C:$C,$G334,Tasks!$I:$I,"&lt;="&amp;INDEX(Weeks!$D:$D,MATCH($C334,Weeks!$A:$A,0)),Tasks!$I:$I,"&lt;&gt;")/COUNTIFS(Tasks!$A:$A,$A334,Tasks!$B:$B,$B334,Tasks!$C:$C,$G334)*100,0),"")</f>
        <v/>
      </c>
    </row>
    <row r="335" spans="1:8" ht="15" hidden="1" customHeight="1">
      <c r="A335" t="s">
        <v>93</v>
      </c>
      <c r="B335" t="s">
        <v>95</v>
      </c>
      <c r="C335">
        <v>22</v>
      </c>
      <c r="D335">
        <v>5</v>
      </c>
      <c r="E335">
        <v>5</v>
      </c>
      <c r="F335">
        <v>2</v>
      </c>
      <c r="G335" t="s">
        <v>116</v>
      </c>
      <c r="H335" t="str">
        <f>IFERROR(ROUND(COUNTIFS(Tasks!$A:$A,$A335,Tasks!$B:$B,$B335,Tasks!$C:$C,$G335,Tasks!$I:$I,"&lt;="&amp;INDEX(Weeks!$D:$D,MATCH($C335,Weeks!$A:$A,0)),Tasks!$I:$I,"&lt;&gt;")/COUNTIFS(Tasks!$A:$A,$A335,Tasks!$B:$B,$B335,Tasks!$C:$C,$G335)*100,0),"")</f>
        <v/>
      </c>
    </row>
    <row r="336" spans="1:8" ht="15" hidden="1" customHeight="1">
      <c r="A336" t="s">
        <v>93</v>
      </c>
      <c r="B336" t="s">
        <v>95</v>
      </c>
      <c r="C336">
        <v>23</v>
      </c>
      <c r="D336">
        <v>6</v>
      </c>
      <c r="E336">
        <v>1</v>
      </c>
      <c r="F336">
        <v>2</v>
      </c>
      <c r="G336" t="s">
        <v>116</v>
      </c>
      <c r="H336" t="str">
        <f>IFERROR(ROUND(COUNTIFS(Tasks!$A:$A,$A336,Tasks!$B:$B,$B336,Tasks!$C:$C,$G336,Tasks!$I:$I,"&lt;="&amp;INDEX(Weeks!$D:$D,MATCH($C336,Weeks!$A:$A,0)),Tasks!$I:$I,"&lt;&gt;")/COUNTIFS(Tasks!$A:$A,$A336,Tasks!$B:$B,$B336,Tasks!$C:$C,$G336)*100,0),"")</f>
        <v/>
      </c>
    </row>
    <row r="337" spans="1:8" ht="15" hidden="1" customHeight="1">
      <c r="A337" t="s">
        <v>93</v>
      </c>
      <c r="B337" t="s">
        <v>95</v>
      </c>
      <c r="C337">
        <v>24</v>
      </c>
      <c r="D337">
        <v>6</v>
      </c>
      <c r="E337">
        <v>2</v>
      </c>
      <c r="F337">
        <v>2</v>
      </c>
      <c r="G337" t="s">
        <v>116</v>
      </c>
      <c r="H337" t="str">
        <f>IFERROR(ROUND(COUNTIFS(Tasks!$A:$A,$A337,Tasks!$B:$B,$B337,Tasks!$C:$C,$G337,Tasks!$I:$I,"&lt;="&amp;INDEX(Weeks!$D:$D,MATCH($C337,Weeks!$A:$A,0)),Tasks!$I:$I,"&lt;&gt;")/COUNTIFS(Tasks!$A:$A,$A337,Tasks!$B:$B,$B337,Tasks!$C:$C,$G337)*100,0),"")</f>
        <v/>
      </c>
    </row>
    <row r="338" spans="1:8" ht="15" hidden="1" customHeight="1">
      <c r="A338" t="s">
        <v>93</v>
      </c>
      <c r="B338" t="s">
        <v>95</v>
      </c>
      <c r="C338">
        <v>25</v>
      </c>
      <c r="D338">
        <v>6</v>
      </c>
      <c r="E338">
        <v>3</v>
      </c>
      <c r="F338">
        <v>2</v>
      </c>
      <c r="G338" t="s">
        <v>116</v>
      </c>
      <c r="H338" t="str">
        <f>IFERROR(ROUND(COUNTIFS(Tasks!$A:$A,$A338,Tasks!$B:$B,$B338,Tasks!$C:$C,$G338,Tasks!$I:$I,"&lt;="&amp;INDEX(Weeks!$D:$D,MATCH($C338,Weeks!$A:$A,0)),Tasks!$I:$I,"&lt;&gt;")/COUNTIFS(Tasks!$A:$A,$A338,Tasks!$B:$B,$B338,Tasks!$C:$C,$G338)*100,0),"")</f>
        <v/>
      </c>
    </row>
    <row r="339" spans="1:8" ht="15" hidden="1" customHeight="1">
      <c r="A339" t="s">
        <v>93</v>
      </c>
      <c r="B339" t="s">
        <v>95</v>
      </c>
      <c r="C339">
        <v>26</v>
      </c>
      <c r="D339">
        <v>6</v>
      </c>
      <c r="E339">
        <v>4</v>
      </c>
      <c r="F339">
        <v>2</v>
      </c>
      <c r="G339" t="s">
        <v>116</v>
      </c>
      <c r="H339" t="str">
        <f>IFERROR(ROUND(COUNTIFS(Tasks!$A:$A,$A339,Tasks!$B:$B,$B339,Tasks!$C:$C,$G339,Tasks!$I:$I,"&lt;="&amp;INDEX(Weeks!$D:$D,MATCH($C339,Weeks!$A:$A,0)),Tasks!$I:$I,"&lt;&gt;")/COUNTIFS(Tasks!$A:$A,$A339,Tasks!$B:$B,$B339,Tasks!$C:$C,$G339)*100,0),"")</f>
        <v/>
      </c>
    </row>
    <row r="340" spans="1:8" ht="15" hidden="1" customHeight="1">
      <c r="A340" t="s">
        <v>93</v>
      </c>
      <c r="B340" t="s">
        <v>95</v>
      </c>
      <c r="C340">
        <v>27</v>
      </c>
      <c r="D340">
        <v>7</v>
      </c>
      <c r="E340">
        <v>1</v>
      </c>
      <c r="F340">
        <v>2</v>
      </c>
      <c r="G340" t="s">
        <v>116</v>
      </c>
      <c r="H340" t="str">
        <f>IFERROR(ROUND(COUNTIFS(Tasks!$A:$A,$A340,Tasks!$B:$B,$B340,Tasks!$C:$C,$G340,Tasks!$I:$I,"&lt;="&amp;INDEX(Weeks!$D:$D,MATCH($C340,Weeks!$A:$A,0)),Tasks!$I:$I,"&lt;&gt;")/COUNTIFS(Tasks!$A:$A,$A340,Tasks!$B:$B,$B340,Tasks!$C:$C,$G340)*100,0),"")</f>
        <v/>
      </c>
    </row>
    <row r="341" spans="1:8" ht="15" hidden="1" customHeight="1">
      <c r="A341" t="s">
        <v>93</v>
      </c>
      <c r="B341" t="s">
        <v>95</v>
      </c>
      <c r="C341">
        <v>28</v>
      </c>
      <c r="D341">
        <v>7</v>
      </c>
      <c r="E341">
        <v>2</v>
      </c>
      <c r="F341">
        <v>2</v>
      </c>
      <c r="G341" t="s">
        <v>116</v>
      </c>
      <c r="H341" t="str">
        <f>IFERROR(ROUND(COUNTIFS(Tasks!$A:$A,$A341,Tasks!$B:$B,$B341,Tasks!$C:$C,$G341,Tasks!$I:$I,"&lt;="&amp;INDEX(Weeks!$D:$D,MATCH($C341,Weeks!$A:$A,0)),Tasks!$I:$I,"&lt;&gt;")/COUNTIFS(Tasks!$A:$A,$A341,Tasks!$B:$B,$B341,Tasks!$C:$C,$G341)*100,0),"")</f>
        <v/>
      </c>
    </row>
    <row r="342" spans="1:8" ht="15" hidden="1" customHeight="1">
      <c r="A342" t="s">
        <v>93</v>
      </c>
      <c r="B342" t="s">
        <v>95</v>
      </c>
      <c r="C342">
        <v>29</v>
      </c>
      <c r="D342">
        <v>7</v>
      </c>
      <c r="E342">
        <v>3</v>
      </c>
      <c r="F342">
        <v>2</v>
      </c>
      <c r="G342" t="s">
        <v>116</v>
      </c>
      <c r="H342" t="str">
        <f>IFERROR(ROUND(COUNTIFS(Tasks!$A:$A,$A342,Tasks!$B:$B,$B342,Tasks!$C:$C,$G342,Tasks!$I:$I,"&lt;="&amp;INDEX(Weeks!$D:$D,MATCH($C342,Weeks!$A:$A,0)),Tasks!$I:$I,"&lt;&gt;")/COUNTIFS(Tasks!$A:$A,$A342,Tasks!$B:$B,$B342,Tasks!$C:$C,$G342)*100,0),"")</f>
        <v/>
      </c>
    </row>
    <row r="343" spans="1:8" ht="15" hidden="1" customHeight="1">
      <c r="A343" t="s">
        <v>93</v>
      </c>
      <c r="B343" t="s">
        <v>95</v>
      </c>
      <c r="C343">
        <v>30</v>
      </c>
      <c r="D343">
        <v>7</v>
      </c>
      <c r="E343">
        <v>4</v>
      </c>
      <c r="F343">
        <v>2</v>
      </c>
      <c r="G343" t="s">
        <v>116</v>
      </c>
      <c r="H343" t="str">
        <f>IFERROR(ROUND(COUNTIFS(Tasks!$A:$A,$A343,Tasks!$B:$B,$B343,Tasks!$C:$C,$G343,Tasks!$I:$I,"&lt;="&amp;INDEX(Weeks!$D:$D,MATCH($C343,Weeks!$A:$A,0)),Tasks!$I:$I,"&lt;&gt;")/COUNTIFS(Tasks!$A:$A,$A343,Tasks!$B:$B,$B343,Tasks!$C:$C,$G343)*100,0),"")</f>
        <v/>
      </c>
    </row>
    <row r="344" spans="1:8" ht="15" hidden="1" customHeight="1">
      <c r="A344" t="s">
        <v>93</v>
      </c>
      <c r="B344" t="s">
        <v>95</v>
      </c>
      <c r="C344">
        <v>31</v>
      </c>
      <c r="D344">
        <v>8</v>
      </c>
      <c r="E344">
        <v>1</v>
      </c>
      <c r="F344">
        <v>2</v>
      </c>
      <c r="G344" t="s">
        <v>116</v>
      </c>
      <c r="H344" t="str">
        <f>IFERROR(ROUND(COUNTIFS(Tasks!$A:$A,$A344,Tasks!$B:$B,$B344,Tasks!$C:$C,$G344,Tasks!$I:$I,"&lt;="&amp;INDEX(Weeks!$D:$D,MATCH($C344,Weeks!$A:$A,0)),Tasks!$I:$I,"&lt;&gt;")/COUNTIFS(Tasks!$A:$A,$A344,Tasks!$B:$B,$B344,Tasks!$C:$C,$G344)*100,0),"")</f>
        <v/>
      </c>
    </row>
    <row r="345" spans="1:8" ht="15" hidden="1" customHeight="1">
      <c r="A345" t="s">
        <v>93</v>
      </c>
      <c r="B345" t="s">
        <v>95</v>
      </c>
      <c r="C345">
        <v>32</v>
      </c>
      <c r="D345">
        <v>8</v>
      </c>
      <c r="E345">
        <v>2</v>
      </c>
      <c r="F345">
        <v>2</v>
      </c>
      <c r="G345" t="s">
        <v>116</v>
      </c>
      <c r="H345" t="str">
        <f>IFERROR(ROUND(COUNTIFS(Tasks!$A:$A,$A345,Tasks!$B:$B,$B345,Tasks!$C:$C,$G345,Tasks!$I:$I,"&lt;="&amp;INDEX(Weeks!$D:$D,MATCH($C345,Weeks!$A:$A,0)),Tasks!$I:$I,"&lt;&gt;")/COUNTIFS(Tasks!$A:$A,$A345,Tasks!$B:$B,$B345,Tasks!$C:$C,$G345)*100,0),"")</f>
        <v/>
      </c>
    </row>
    <row r="346" spans="1:8" ht="15" hidden="1" customHeight="1">
      <c r="A346" t="s">
        <v>93</v>
      </c>
      <c r="B346" t="s">
        <v>95</v>
      </c>
      <c r="C346">
        <v>33</v>
      </c>
      <c r="D346">
        <v>8</v>
      </c>
      <c r="E346">
        <v>3</v>
      </c>
      <c r="F346">
        <v>2</v>
      </c>
      <c r="G346" t="s">
        <v>116</v>
      </c>
      <c r="H346" t="str">
        <f>IFERROR(ROUND(COUNTIFS(Tasks!$A:$A,$A346,Tasks!$B:$B,$B346,Tasks!$C:$C,$G346,Tasks!$I:$I,"&lt;="&amp;INDEX(Weeks!$D:$D,MATCH($C346,Weeks!$A:$A,0)),Tasks!$I:$I,"&lt;&gt;")/COUNTIFS(Tasks!$A:$A,$A346,Tasks!$B:$B,$B346,Tasks!$C:$C,$G346)*100,0),"")</f>
        <v/>
      </c>
    </row>
    <row r="347" spans="1:8" ht="15" hidden="1" customHeight="1">
      <c r="A347" t="s">
        <v>93</v>
      </c>
      <c r="B347" t="s">
        <v>95</v>
      </c>
      <c r="C347">
        <v>34</v>
      </c>
      <c r="D347">
        <v>8</v>
      </c>
      <c r="E347">
        <v>4</v>
      </c>
      <c r="F347">
        <v>2</v>
      </c>
      <c r="G347" t="s">
        <v>116</v>
      </c>
      <c r="H347" t="str">
        <f>IFERROR(ROUND(COUNTIFS(Tasks!$A:$A,$A347,Tasks!$B:$B,$B347,Tasks!$C:$C,$G347,Tasks!$I:$I,"&lt;="&amp;INDEX(Weeks!$D:$D,MATCH($C347,Weeks!$A:$A,0)),Tasks!$I:$I,"&lt;&gt;")/COUNTIFS(Tasks!$A:$A,$A347,Tasks!$B:$B,$B347,Tasks!$C:$C,$G347)*100,0),"")</f>
        <v/>
      </c>
    </row>
    <row r="348" spans="1:8" ht="15" hidden="1" customHeight="1">
      <c r="A348" t="s">
        <v>93</v>
      </c>
      <c r="B348" t="s">
        <v>95</v>
      </c>
      <c r="C348">
        <v>35</v>
      </c>
      <c r="D348">
        <v>8</v>
      </c>
      <c r="E348">
        <v>5</v>
      </c>
      <c r="F348">
        <v>2</v>
      </c>
      <c r="G348" t="s">
        <v>116</v>
      </c>
      <c r="H348" t="str">
        <f>IFERROR(ROUND(COUNTIFS(Tasks!$A:$A,$A348,Tasks!$B:$B,$B348,Tasks!$C:$C,$G348,Tasks!$I:$I,"&lt;="&amp;INDEX(Weeks!$D:$D,MATCH($C348,Weeks!$A:$A,0)),Tasks!$I:$I,"&lt;&gt;")/COUNTIFS(Tasks!$A:$A,$A348,Tasks!$B:$B,$B348,Tasks!$C:$C,$G348)*100,0),"")</f>
        <v/>
      </c>
    </row>
    <row r="349" spans="1:8" ht="15" hidden="1" customHeight="1">
      <c r="A349" t="s">
        <v>93</v>
      </c>
      <c r="B349" t="s">
        <v>95</v>
      </c>
      <c r="C349">
        <v>36</v>
      </c>
      <c r="D349">
        <v>9</v>
      </c>
      <c r="E349">
        <v>1</v>
      </c>
      <c r="F349">
        <v>2</v>
      </c>
      <c r="G349" t="s">
        <v>116</v>
      </c>
      <c r="H349" t="str">
        <f>IFERROR(ROUND(COUNTIFS(Tasks!$A:$A,$A349,Tasks!$B:$B,$B349,Tasks!$C:$C,$G349,Tasks!$I:$I,"&lt;="&amp;INDEX(Weeks!$D:$D,MATCH($C349,Weeks!$A:$A,0)),Tasks!$I:$I,"&lt;&gt;")/COUNTIFS(Tasks!$A:$A,$A349,Tasks!$B:$B,$B349,Tasks!$C:$C,$G349)*100,0),"")</f>
        <v/>
      </c>
    </row>
    <row r="350" spans="1:8" ht="15" hidden="1" customHeight="1">
      <c r="A350" t="s">
        <v>93</v>
      </c>
      <c r="B350" t="s">
        <v>95</v>
      </c>
      <c r="C350">
        <v>37</v>
      </c>
      <c r="D350">
        <v>9</v>
      </c>
      <c r="E350">
        <v>2</v>
      </c>
      <c r="F350">
        <v>2</v>
      </c>
      <c r="G350" t="s">
        <v>116</v>
      </c>
      <c r="H350" t="str">
        <f>IFERROR(ROUND(COUNTIFS(Tasks!$A:$A,$A350,Tasks!$B:$B,$B350,Tasks!$C:$C,$G350,Tasks!$I:$I,"&lt;="&amp;INDEX(Weeks!$D:$D,MATCH($C350,Weeks!$A:$A,0)),Tasks!$I:$I,"&lt;&gt;")/COUNTIFS(Tasks!$A:$A,$A350,Tasks!$B:$B,$B350,Tasks!$C:$C,$G350)*100,0),"")</f>
        <v/>
      </c>
    </row>
    <row r="351" spans="1:8" ht="15" hidden="1" customHeight="1">
      <c r="A351" t="s">
        <v>93</v>
      </c>
      <c r="B351" t="s">
        <v>95</v>
      </c>
      <c r="C351">
        <v>38</v>
      </c>
      <c r="D351">
        <v>9</v>
      </c>
      <c r="E351">
        <v>3</v>
      </c>
      <c r="F351">
        <v>2</v>
      </c>
      <c r="G351" t="s">
        <v>116</v>
      </c>
      <c r="H351" t="str">
        <f>IFERROR(ROUND(COUNTIFS(Tasks!$A:$A,$A351,Tasks!$B:$B,$B351,Tasks!$C:$C,$G351,Tasks!$I:$I,"&lt;="&amp;INDEX(Weeks!$D:$D,MATCH($C351,Weeks!$A:$A,0)),Tasks!$I:$I,"&lt;&gt;")/COUNTIFS(Tasks!$A:$A,$A351,Tasks!$B:$B,$B351,Tasks!$C:$C,$G351)*100,0),"")</f>
        <v/>
      </c>
    </row>
    <row r="352" spans="1:8" ht="15" hidden="1" customHeight="1">
      <c r="A352" t="s">
        <v>93</v>
      </c>
      <c r="B352" t="s">
        <v>95</v>
      </c>
      <c r="C352">
        <v>39</v>
      </c>
      <c r="D352">
        <v>9</v>
      </c>
      <c r="E352">
        <v>4</v>
      </c>
      <c r="F352">
        <v>2</v>
      </c>
      <c r="G352" t="s">
        <v>116</v>
      </c>
      <c r="H352" t="str">
        <f>IFERROR(ROUND(COUNTIFS(Tasks!$A:$A,$A352,Tasks!$B:$B,$B352,Tasks!$C:$C,$G352,Tasks!$I:$I,"&lt;="&amp;INDEX(Weeks!$D:$D,MATCH($C352,Weeks!$A:$A,0)),Tasks!$I:$I,"&lt;&gt;")/COUNTIFS(Tasks!$A:$A,$A352,Tasks!$B:$B,$B352,Tasks!$C:$C,$G352)*100,0),"")</f>
        <v/>
      </c>
    </row>
    <row r="353" spans="1:8" ht="15" hidden="1" customHeight="1">
      <c r="A353" t="s">
        <v>93</v>
      </c>
      <c r="B353" t="s">
        <v>95</v>
      </c>
      <c r="C353">
        <v>40</v>
      </c>
      <c r="D353">
        <v>10</v>
      </c>
      <c r="E353">
        <v>1</v>
      </c>
      <c r="F353">
        <v>2</v>
      </c>
      <c r="G353" t="s">
        <v>116</v>
      </c>
      <c r="H353" t="str">
        <f>IFERROR(ROUND(COUNTIFS(Tasks!$A:$A,$A353,Tasks!$B:$B,$B353,Tasks!$C:$C,$G353,Tasks!$I:$I,"&lt;="&amp;INDEX(Weeks!$D:$D,MATCH($C353,Weeks!$A:$A,0)),Tasks!$I:$I,"&lt;&gt;")/COUNTIFS(Tasks!$A:$A,$A353,Tasks!$B:$B,$B353,Tasks!$C:$C,$G353)*100,0),"")</f>
        <v/>
      </c>
    </row>
    <row r="354" spans="1:8" ht="15" hidden="1" customHeight="1">
      <c r="A354" t="s">
        <v>93</v>
      </c>
      <c r="B354" t="s">
        <v>95</v>
      </c>
      <c r="C354">
        <v>41</v>
      </c>
      <c r="D354">
        <v>10</v>
      </c>
      <c r="E354">
        <v>2</v>
      </c>
      <c r="F354">
        <v>2</v>
      </c>
      <c r="G354" t="s">
        <v>116</v>
      </c>
      <c r="H354" t="str">
        <f>IFERROR(ROUND(COUNTIFS(Tasks!$A:$A,$A354,Tasks!$B:$B,$B354,Tasks!$C:$C,$G354,Tasks!$I:$I,"&lt;="&amp;INDEX(Weeks!$D:$D,MATCH($C354,Weeks!$A:$A,0)),Tasks!$I:$I,"&lt;&gt;")/COUNTIFS(Tasks!$A:$A,$A354,Tasks!$B:$B,$B354,Tasks!$C:$C,$G354)*100,0),"")</f>
        <v/>
      </c>
    </row>
    <row r="355" spans="1:8" ht="15" hidden="1" customHeight="1">
      <c r="A355" t="s">
        <v>93</v>
      </c>
      <c r="B355" t="s">
        <v>95</v>
      </c>
      <c r="C355">
        <v>42</v>
      </c>
      <c r="D355">
        <v>10</v>
      </c>
      <c r="E355">
        <v>3</v>
      </c>
      <c r="F355">
        <v>2</v>
      </c>
      <c r="G355" t="s">
        <v>116</v>
      </c>
      <c r="H355" t="str">
        <f>IFERROR(ROUND(COUNTIFS(Tasks!$A:$A,$A355,Tasks!$B:$B,$B355,Tasks!$C:$C,$G355,Tasks!$I:$I,"&lt;="&amp;INDEX(Weeks!$D:$D,MATCH($C355,Weeks!$A:$A,0)),Tasks!$I:$I,"&lt;&gt;")/COUNTIFS(Tasks!$A:$A,$A355,Tasks!$B:$B,$B355,Tasks!$C:$C,$G355)*100,0),"")</f>
        <v/>
      </c>
    </row>
    <row r="356" spans="1:8" ht="15" hidden="1" customHeight="1">
      <c r="A356" t="s">
        <v>93</v>
      </c>
      <c r="B356" t="s">
        <v>95</v>
      </c>
      <c r="C356">
        <v>43</v>
      </c>
      <c r="D356">
        <v>10</v>
      </c>
      <c r="E356">
        <v>4</v>
      </c>
      <c r="F356">
        <v>2</v>
      </c>
      <c r="G356" t="s">
        <v>116</v>
      </c>
      <c r="H356" t="str">
        <f>IFERROR(ROUND(COUNTIFS(Tasks!$A:$A,$A356,Tasks!$B:$B,$B356,Tasks!$C:$C,$G356,Tasks!$I:$I,"&lt;="&amp;INDEX(Weeks!$D:$D,MATCH($C356,Weeks!$A:$A,0)),Tasks!$I:$I,"&lt;&gt;")/COUNTIFS(Tasks!$A:$A,$A356,Tasks!$B:$B,$B356,Tasks!$C:$C,$G356)*100,0),"")</f>
        <v/>
      </c>
    </row>
    <row r="357" spans="1:8" ht="15" hidden="1" customHeight="1">
      <c r="A357" t="s">
        <v>93</v>
      </c>
      <c r="B357" t="s">
        <v>95</v>
      </c>
      <c r="C357">
        <v>44</v>
      </c>
      <c r="D357">
        <v>10</v>
      </c>
      <c r="E357">
        <v>5</v>
      </c>
      <c r="F357">
        <v>2</v>
      </c>
      <c r="G357" t="s">
        <v>116</v>
      </c>
      <c r="H357" t="str">
        <f>IFERROR(ROUND(COUNTIFS(Tasks!$A:$A,$A357,Tasks!$B:$B,$B357,Tasks!$C:$C,$G357,Tasks!$I:$I,"&lt;="&amp;INDEX(Weeks!$D:$D,MATCH($C357,Weeks!$A:$A,0)),Tasks!$I:$I,"&lt;&gt;")/COUNTIFS(Tasks!$A:$A,$A357,Tasks!$B:$B,$B357,Tasks!$C:$C,$G357)*100,0),"")</f>
        <v/>
      </c>
    </row>
    <row r="358" spans="1:8" ht="15" hidden="1" customHeight="1">
      <c r="A358" t="s">
        <v>93</v>
      </c>
      <c r="B358" t="s">
        <v>95</v>
      </c>
      <c r="C358">
        <v>45</v>
      </c>
      <c r="D358">
        <v>11</v>
      </c>
      <c r="E358">
        <v>1</v>
      </c>
      <c r="F358">
        <v>2</v>
      </c>
      <c r="G358" t="s">
        <v>116</v>
      </c>
      <c r="H358" t="str">
        <f>IFERROR(ROUND(COUNTIFS(Tasks!$A:$A,$A358,Tasks!$B:$B,$B358,Tasks!$C:$C,$G358,Tasks!$I:$I,"&lt;="&amp;INDEX(Weeks!$D:$D,MATCH($C358,Weeks!$A:$A,0)),Tasks!$I:$I,"&lt;&gt;")/COUNTIFS(Tasks!$A:$A,$A358,Tasks!$B:$B,$B358,Tasks!$C:$C,$G358)*100,0),"")</f>
        <v/>
      </c>
    </row>
    <row r="359" spans="1:8" ht="15" hidden="1" customHeight="1">
      <c r="A359" t="s">
        <v>93</v>
      </c>
      <c r="B359" t="s">
        <v>95</v>
      </c>
      <c r="C359">
        <v>46</v>
      </c>
      <c r="D359">
        <v>11</v>
      </c>
      <c r="E359">
        <v>2</v>
      </c>
      <c r="F359">
        <v>2</v>
      </c>
      <c r="G359" t="s">
        <v>116</v>
      </c>
      <c r="H359" t="str">
        <f>IFERROR(ROUND(COUNTIFS(Tasks!$A:$A,$A359,Tasks!$B:$B,$B359,Tasks!$C:$C,$G359,Tasks!$I:$I,"&lt;="&amp;INDEX(Weeks!$D:$D,MATCH($C359,Weeks!$A:$A,0)),Tasks!$I:$I,"&lt;&gt;")/COUNTIFS(Tasks!$A:$A,$A359,Tasks!$B:$B,$B359,Tasks!$C:$C,$G359)*100,0),"")</f>
        <v/>
      </c>
    </row>
    <row r="360" spans="1:8" ht="15" hidden="1" customHeight="1">
      <c r="A360" t="s">
        <v>93</v>
      </c>
      <c r="B360" t="s">
        <v>95</v>
      </c>
      <c r="C360">
        <v>47</v>
      </c>
      <c r="D360">
        <v>11</v>
      </c>
      <c r="E360">
        <v>3</v>
      </c>
      <c r="F360">
        <v>2</v>
      </c>
      <c r="G360" t="s">
        <v>116</v>
      </c>
      <c r="H360" t="str">
        <f>IFERROR(ROUND(COUNTIFS(Tasks!$A:$A,$A360,Tasks!$B:$B,$B360,Tasks!$C:$C,$G360,Tasks!$I:$I,"&lt;="&amp;INDEX(Weeks!$D:$D,MATCH($C360,Weeks!$A:$A,0)),Tasks!$I:$I,"&lt;&gt;")/COUNTIFS(Tasks!$A:$A,$A360,Tasks!$B:$B,$B360,Tasks!$C:$C,$G360)*100,0),"")</f>
        <v/>
      </c>
    </row>
    <row r="361" spans="1:8" ht="15" hidden="1" customHeight="1">
      <c r="A361" t="s">
        <v>93</v>
      </c>
      <c r="B361" t="s">
        <v>95</v>
      </c>
      <c r="C361">
        <v>48</v>
      </c>
      <c r="D361">
        <v>11</v>
      </c>
      <c r="E361">
        <v>4</v>
      </c>
      <c r="F361">
        <v>2</v>
      </c>
      <c r="G361" t="s">
        <v>116</v>
      </c>
      <c r="H361" t="str">
        <f>IFERROR(ROUND(COUNTIFS(Tasks!$A:$A,$A361,Tasks!$B:$B,$B361,Tasks!$C:$C,$G361,Tasks!$I:$I,"&lt;="&amp;INDEX(Weeks!$D:$D,MATCH($C361,Weeks!$A:$A,0)),Tasks!$I:$I,"&lt;&gt;")/COUNTIFS(Tasks!$A:$A,$A361,Tasks!$B:$B,$B361,Tasks!$C:$C,$G361)*100,0),"")</f>
        <v/>
      </c>
    </row>
    <row r="362" spans="1:8" ht="15" hidden="1" customHeight="1">
      <c r="A362" t="s">
        <v>93</v>
      </c>
      <c r="B362" t="s">
        <v>95</v>
      </c>
      <c r="C362">
        <v>49</v>
      </c>
      <c r="D362">
        <v>12</v>
      </c>
      <c r="E362">
        <v>1</v>
      </c>
      <c r="F362">
        <v>2</v>
      </c>
      <c r="G362" t="s">
        <v>116</v>
      </c>
      <c r="H362" t="str">
        <f>IFERROR(ROUND(COUNTIFS(Tasks!$A:$A,$A362,Tasks!$B:$B,$B362,Tasks!$C:$C,$G362,Tasks!$I:$I,"&lt;="&amp;INDEX(Weeks!$D:$D,MATCH($C362,Weeks!$A:$A,0)),Tasks!$I:$I,"&lt;&gt;")/COUNTIFS(Tasks!$A:$A,$A362,Tasks!$B:$B,$B362,Tasks!$C:$C,$G362)*100,0),"")</f>
        <v/>
      </c>
    </row>
    <row r="363" spans="1:8" ht="15" hidden="1" customHeight="1">
      <c r="A363" t="s">
        <v>93</v>
      </c>
      <c r="B363" t="s">
        <v>95</v>
      </c>
      <c r="C363">
        <v>50</v>
      </c>
      <c r="D363">
        <v>12</v>
      </c>
      <c r="E363">
        <v>2</v>
      </c>
      <c r="F363">
        <v>2</v>
      </c>
      <c r="G363" t="s">
        <v>116</v>
      </c>
      <c r="H363" t="str">
        <f>IFERROR(ROUND(COUNTIFS(Tasks!$A:$A,$A363,Tasks!$B:$B,$B363,Tasks!$C:$C,$G363,Tasks!$I:$I,"&lt;="&amp;INDEX(Weeks!$D:$D,MATCH($C363,Weeks!$A:$A,0)),Tasks!$I:$I,"&lt;&gt;")/COUNTIFS(Tasks!$A:$A,$A363,Tasks!$B:$B,$B363,Tasks!$C:$C,$G363)*100,0),"")</f>
        <v/>
      </c>
    </row>
    <row r="364" spans="1:8" ht="15" hidden="1" customHeight="1">
      <c r="A364" t="s">
        <v>93</v>
      </c>
      <c r="B364" t="s">
        <v>95</v>
      </c>
      <c r="C364">
        <v>51</v>
      </c>
      <c r="D364">
        <v>12</v>
      </c>
      <c r="E364">
        <v>3</v>
      </c>
      <c r="F364">
        <v>2</v>
      </c>
      <c r="G364" t="s">
        <v>116</v>
      </c>
      <c r="H364" t="str">
        <f>IFERROR(ROUND(COUNTIFS(Tasks!$A:$A,$A364,Tasks!$B:$B,$B364,Tasks!$C:$C,$G364,Tasks!$I:$I,"&lt;="&amp;INDEX(Weeks!$D:$D,MATCH($C364,Weeks!$A:$A,0)),Tasks!$I:$I,"&lt;&gt;")/COUNTIFS(Tasks!$A:$A,$A364,Tasks!$B:$B,$B364,Tasks!$C:$C,$G364)*100,0),"")</f>
        <v/>
      </c>
    </row>
    <row r="365" spans="1:8" ht="15" hidden="1" customHeight="1">
      <c r="A365" t="s">
        <v>93</v>
      </c>
      <c r="B365" t="s">
        <v>95</v>
      </c>
      <c r="C365">
        <v>52</v>
      </c>
      <c r="D365">
        <v>12</v>
      </c>
      <c r="E365">
        <v>4</v>
      </c>
      <c r="F365">
        <v>2</v>
      </c>
      <c r="G365" t="s">
        <v>116</v>
      </c>
      <c r="H365" t="str">
        <f>IFERROR(ROUND(COUNTIFS(Tasks!$A:$A,$A365,Tasks!$B:$B,$B365,Tasks!$C:$C,$G365,Tasks!$I:$I,"&lt;="&amp;INDEX(Weeks!$D:$D,MATCH($C365,Weeks!$A:$A,0)),Tasks!$I:$I,"&lt;&gt;")/COUNTIFS(Tasks!$A:$A,$A365,Tasks!$B:$B,$B365,Tasks!$C:$C,$G365)*100,0),"")</f>
        <v/>
      </c>
    </row>
    <row r="366" spans="1:8" ht="15" hidden="1" customHeight="1">
      <c r="A366" t="s">
        <v>93</v>
      </c>
      <c r="B366" t="s">
        <v>95</v>
      </c>
      <c r="C366">
        <v>1</v>
      </c>
      <c r="D366">
        <v>1</v>
      </c>
      <c r="E366">
        <v>1</v>
      </c>
      <c r="F366">
        <v>3</v>
      </c>
      <c r="G366" t="s">
        <v>117</v>
      </c>
      <c r="H366" t="str">
        <f>IFERROR(ROUND(COUNTIFS(Tasks!$A:$A,$A366,Tasks!$B:$B,$B366,Tasks!$C:$C,$G366,Tasks!$I:$I,"&lt;="&amp;INDEX(Weeks!$D:$D,MATCH($C366,Weeks!$A:$A,0)),Tasks!$I:$I,"&lt;&gt;")/COUNTIFS(Tasks!$A:$A,$A366,Tasks!$B:$B,$B366,Tasks!$C:$C,$G366)*100,0),"")</f>
        <v/>
      </c>
    </row>
    <row r="367" spans="1:8" ht="15" hidden="1" customHeight="1">
      <c r="A367" t="s">
        <v>93</v>
      </c>
      <c r="B367" t="s">
        <v>95</v>
      </c>
      <c r="C367">
        <v>2</v>
      </c>
      <c r="D367">
        <v>1</v>
      </c>
      <c r="E367">
        <v>2</v>
      </c>
      <c r="F367">
        <v>3</v>
      </c>
      <c r="G367" t="s">
        <v>117</v>
      </c>
      <c r="H367" t="str">
        <f>IFERROR(ROUND(COUNTIFS(Tasks!$A:$A,$A367,Tasks!$B:$B,$B367,Tasks!$C:$C,$G367,Tasks!$I:$I,"&lt;="&amp;INDEX(Weeks!$D:$D,MATCH($C367,Weeks!$A:$A,0)),Tasks!$I:$I,"&lt;&gt;")/COUNTIFS(Tasks!$A:$A,$A367,Tasks!$B:$B,$B367,Tasks!$C:$C,$G367)*100,0),"")</f>
        <v/>
      </c>
    </row>
    <row r="368" spans="1:8" ht="15" hidden="1" customHeight="1">
      <c r="A368" t="s">
        <v>93</v>
      </c>
      <c r="B368" t="s">
        <v>95</v>
      </c>
      <c r="C368">
        <v>3</v>
      </c>
      <c r="D368">
        <v>1</v>
      </c>
      <c r="E368">
        <v>3</v>
      </c>
      <c r="F368">
        <v>3</v>
      </c>
      <c r="G368" t="s">
        <v>117</v>
      </c>
      <c r="H368" t="str">
        <f>IFERROR(ROUND(COUNTIFS(Tasks!$A:$A,$A368,Tasks!$B:$B,$B368,Tasks!$C:$C,$G368,Tasks!$I:$I,"&lt;="&amp;INDEX(Weeks!$D:$D,MATCH($C368,Weeks!$A:$A,0)),Tasks!$I:$I,"&lt;&gt;")/COUNTIFS(Tasks!$A:$A,$A368,Tasks!$B:$B,$B368,Tasks!$C:$C,$G368)*100,0),"")</f>
        <v/>
      </c>
    </row>
    <row r="369" spans="1:8" ht="15" hidden="1" customHeight="1">
      <c r="A369" t="s">
        <v>93</v>
      </c>
      <c r="B369" t="s">
        <v>95</v>
      </c>
      <c r="C369">
        <v>4</v>
      </c>
      <c r="D369">
        <v>1</v>
      </c>
      <c r="E369">
        <v>4</v>
      </c>
      <c r="F369">
        <v>3</v>
      </c>
      <c r="G369" t="s">
        <v>117</v>
      </c>
      <c r="H369" t="str">
        <f>IFERROR(ROUND(COUNTIFS(Tasks!$A:$A,$A369,Tasks!$B:$B,$B369,Tasks!$C:$C,$G369,Tasks!$I:$I,"&lt;="&amp;INDEX(Weeks!$D:$D,MATCH($C369,Weeks!$A:$A,0)),Tasks!$I:$I,"&lt;&gt;")/COUNTIFS(Tasks!$A:$A,$A369,Tasks!$B:$B,$B369,Tasks!$C:$C,$G369)*100,0),"")</f>
        <v/>
      </c>
    </row>
    <row r="370" spans="1:8" ht="15" hidden="1" customHeight="1">
      <c r="A370" t="s">
        <v>93</v>
      </c>
      <c r="B370" t="s">
        <v>95</v>
      </c>
      <c r="C370">
        <v>5</v>
      </c>
      <c r="D370">
        <v>1</v>
      </c>
      <c r="E370">
        <v>5</v>
      </c>
      <c r="F370">
        <v>3</v>
      </c>
      <c r="G370" t="s">
        <v>117</v>
      </c>
      <c r="H370" t="str">
        <f>IFERROR(ROUND(COUNTIFS(Tasks!$A:$A,$A370,Tasks!$B:$B,$B370,Tasks!$C:$C,$G370,Tasks!$I:$I,"&lt;="&amp;INDEX(Weeks!$D:$D,MATCH($C370,Weeks!$A:$A,0)),Tasks!$I:$I,"&lt;&gt;")/COUNTIFS(Tasks!$A:$A,$A370,Tasks!$B:$B,$B370,Tasks!$C:$C,$G370)*100,0),"")</f>
        <v/>
      </c>
    </row>
    <row r="371" spans="1:8" ht="15" hidden="1" customHeight="1">
      <c r="A371" t="s">
        <v>93</v>
      </c>
      <c r="B371" t="s">
        <v>95</v>
      </c>
      <c r="C371">
        <v>6</v>
      </c>
      <c r="D371">
        <v>2</v>
      </c>
      <c r="E371">
        <v>1</v>
      </c>
      <c r="F371">
        <v>3</v>
      </c>
      <c r="G371" t="s">
        <v>117</v>
      </c>
      <c r="H371" t="str">
        <f>IFERROR(ROUND(COUNTIFS(Tasks!$A:$A,$A371,Tasks!$B:$B,$B371,Tasks!$C:$C,$G371,Tasks!$I:$I,"&lt;="&amp;INDEX(Weeks!$D:$D,MATCH($C371,Weeks!$A:$A,0)),Tasks!$I:$I,"&lt;&gt;")/COUNTIFS(Tasks!$A:$A,$A371,Tasks!$B:$B,$B371,Tasks!$C:$C,$G371)*100,0),"")</f>
        <v/>
      </c>
    </row>
    <row r="372" spans="1:8" ht="15" hidden="1" customHeight="1">
      <c r="A372" t="s">
        <v>93</v>
      </c>
      <c r="B372" t="s">
        <v>95</v>
      </c>
      <c r="C372">
        <v>7</v>
      </c>
      <c r="D372">
        <v>2</v>
      </c>
      <c r="E372">
        <v>2</v>
      </c>
      <c r="F372">
        <v>3</v>
      </c>
      <c r="G372" t="s">
        <v>117</v>
      </c>
      <c r="H372" t="str">
        <f>IFERROR(ROUND(COUNTIFS(Tasks!$A:$A,$A372,Tasks!$B:$B,$B372,Tasks!$C:$C,$G372,Tasks!$I:$I,"&lt;="&amp;INDEX(Weeks!$D:$D,MATCH($C372,Weeks!$A:$A,0)),Tasks!$I:$I,"&lt;&gt;")/COUNTIFS(Tasks!$A:$A,$A372,Tasks!$B:$B,$B372,Tasks!$C:$C,$G372)*100,0),"")</f>
        <v/>
      </c>
    </row>
    <row r="373" spans="1:8" ht="15" hidden="1" customHeight="1">
      <c r="A373" t="s">
        <v>93</v>
      </c>
      <c r="B373" t="s">
        <v>95</v>
      </c>
      <c r="C373">
        <v>8</v>
      </c>
      <c r="D373">
        <v>2</v>
      </c>
      <c r="E373">
        <v>3</v>
      </c>
      <c r="F373">
        <v>3</v>
      </c>
      <c r="G373" t="s">
        <v>117</v>
      </c>
      <c r="H373" t="str">
        <f>IFERROR(ROUND(COUNTIFS(Tasks!$A:$A,$A373,Tasks!$B:$B,$B373,Tasks!$C:$C,$G373,Tasks!$I:$I,"&lt;="&amp;INDEX(Weeks!$D:$D,MATCH($C373,Weeks!$A:$A,0)),Tasks!$I:$I,"&lt;&gt;")/COUNTIFS(Tasks!$A:$A,$A373,Tasks!$B:$B,$B373,Tasks!$C:$C,$G373)*100,0),"")</f>
        <v/>
      </c>
    </row>
    <row r="374" spans="1:8" ht="15" hidden="1" customHeight="1">
      <c r="A374" t="s">
        <v>93</v>
      </c>
      <c r="B374" t="s">
        <v>95</v>
      </c>
      <c r="C374">
        <v>9</v>
      </c>
      <c r="D374">
        <v>2</v>
      </c>
      <c r="E374">
        <v>4</v>
      </c>
      <c r="F374">
        <v>3</v>
      </c>
      <c r="G374" t="s">
        <v>117</v>
      </c>
      <c r="H374" t="str">
        <f>IFERROR(ROUND(COUNTIFS(Tasks!$A:$A,$A374,Tasks!$B:$B,$B374,Tasks!$C:$C,$G374,Tasks!$I:$I,"&lt;="&amp;INDEX(Weeks!$D:$D,MATCH($C374,Weeks!$A:$A,0)),Tasks!$I:$I,"&lt;&gt;")/COUNTIFS(Tasks!$A:$A,$A374,Tasks!$B:$B,$B374,Tasks!$C:$C,$G374)*100,0),"")</f>
        <v/>
      </c>
    </row>
    <row r="375" spans="1:8" ht="15" hidden="1" customHeight="1">
      <c r="A375" t="s">
        <v>93</v>
      </c>
      <c r="B375" t="s">
        <v>95</v>
      </c>
      <c r="C375">
        <v>10</v>
      </c>
      <c r="D375">
        <v>3</v>
      </c>
      <c r="E375">
        <v>1</v>
      </c>
      <c r="F375">
        <v>3</v>
      </c>
      <c r="G375" t="s">
        <v>117</v>
      </c>
      <c r="H375" t="str">
        <f>IFERROR(ROUND(COUNTIFS(Tasks!$A:$A,$A375,Tasks!$B:$B,$B375,Tasks!$C:$C,$G375,Tasks!$I:$I,"&lt;="&amp;INDEX(Weeks!$D:$D,MATCH($C375,Weeks!$A:$A,0)),Tasks!$I:$I,"&lt;&gt;")/COUNTIFS(Tasks!$A:$A,$A375,Tasks!$B:$B,$B375,Tasks!$C:$C,$G375)*100,0),"")</f>
        <v/>
      </c>
    </row>
    <row r="376" spans="1:8" ht="15" hidden="1" customHeight="1">
      <c r="A376" t="s">
        <v>93</v>
      </c>
      <c r="B376" t="s">
        <v>95</v>
      </c>
      <c r="C376">
        <v>11</v>
      </c>
      <c r="D376">
        <v>3</v>
      </c>
      <c r="E376">
        <v>2</v>
      </c>
      <c r="F376">
        <v>3</v>
      </c>
      <c r="G376" t="s">
        <v>117</v>
      </c>
      <c r="H376" t="str">
        <f>IFERROR(ROUND(COUNTIFS(Tasks!$A:$A,$A376,Tasks!$B:$B,$B376,Tasks!$C:$C,$G376,Tasks!$I:$I,"&lt;="&amp;INDEX(Weeks!$D:$D,MATCH($C376,Weeks!$A:$A,0)),Tasks!$I:$I,"&lt;&gt;")/COUNTIFS(Tasks!$A:$A,$A376,Tasks!$B:$B,$B376,Tasks!$C:$C,$G376)*100,0),"")</f>
        <v/>
      </c>
    </row>
    <row r="377" spans="1:8" ht="15" hidden="1" customHeight="1">
      <c r="A377" t="s">
        <v>93</v>
      </c>
      <c r="B377" t="s">
        <v>95</v>
      </c>
      <c r="C377">
        <v>12</v>
      </c>
      <c r="D377">
        <v>3</v>
      </c>
      <c r="E377">
        <v>3</v>
      </c>
      <c r="F377">
        <v>3</v>
      </c>
      <c r="G377" t="s">
        <v>117</v>
      </c>
      <c r="H377" t="str">
        <f>IFERROR(ROUND(COUNTIFS(Tasks!$A:$A,$A377,Tasks!$B:$B,$B377,Tasks!$C:$C,$G377,Tasks!$I:$I,"&lt;="&amp;INDEX(Weeks!$D:$D,MATCH($C377,Weeks!$A:$A,0)),Tasks!$I:$I,"&lt;&gt;")/COUNTIFS(Tasks!$A:$A,$A377,Tasks!$B:$B,$B377,Tasks!$C:$C,$G377)*100,0),"")</f>
        <v/>
      </c>
    </row>
    <row r="378" spans="1:8" ht="15" hidden="1" customHeight="1">
      <c r="A378" t="s">
        <v>93</v>
      </c>
      <c r="B378" t="s">
        <v>95</v>
      </c>
      <c r="C378">
        <v>13</v>
      </c>
      <c r="D378">
        <v>3</v>
      </c>
      <c r="E378">
        <v>4</v>
      </c>
      <c r="F378">
        <v>3</v>
      </c>
      <c r="G378" t="s">
        <v>117</v>
      </c>
      <c r="H378" t="str">
        <f>IFERROR(ROUND(COUNTIFS(Tasks!$A:$A,$A378,Tasks!$B:$B,$B378,Tasks!$C:$C,$G378,Tasks!$I:$I,"&lt;="&amp;INDEX(Weeks!$D:$D,MATCH($C378,Weeks!$A:$A,0)),Tasks!$I:$I,"&lt;&gt;")/COUNTIFS(Tasks!$A:$A,$A378,Tasks!$B:$B,$B378,Tasks!$C:$C,$G378)*100,0),"")</f>
        <v/>
      </c>
    </row>
    <row r="379" spans="1:8" ht="15" hidden="1" customHeight="1">
      <c r="A379" t="s">
        <v>93</v>
      </c>
      <c r="B379" t="s">
        <v>95</v>
      </c>
      <c r="C379">
        <v>14</v>
      </c>
      <c r="D379">
        <v>4</v>
      </c>
      <c r="E379">
        <v>1</v>
      </c>
      <c r="F379">
        <v>3</v>
      </c>
      <c r="G379" t="s">
        <v>117</v>
      </c>
      <c r="H379" t="str">
        <f>IFERROR(ROUND(COUNTIFS(Tasks!$A:$A,$A379,Tasks!$B:$B,$B379,Tasks!$C:$C,$G379,Tasks!$I:$I,"&lt;="&amp;INDEX(Weeks!$D:$D,MATCH($C379,Weeks!$A:$A,0)),Tasks!$I:$I,"&lt;&gt;")/COUNTIFS(Tasks!$A:$A,$A379,Tasks!$B:$B,$B379,Tasks!$C:$C,$G379)*100,0),"")</f>
        <v/>
      </c>
    </row>
    <row r="380" spans="1:8" ht="15" hidden="1" customHeight="1">
      <c r="A380" t="s">
        <v>93</v>
      </c>
      <c r="B380" t="s">
        <v>95</v>
      </c>
      <c r="C380">
        <v>15</v>
      </c>
      <c r="D380">
        <v>4</v>
      </c>
      <c r="E380">
        <v>2</v>
      </c>
      <c r="F380">
        <v>3</v>
      </c>
      <c r="G380" t="s">
        <v>117</v>
      </c>
      <c r="H380" t="str">
        <f>IFERROR(ROUND(COUNTIFS(Tasks!$A:$A,$A380,Tasks!$B:$B,$B380,Tasks!$C:$C,$G380,Tasks!$I:$I,"&lt;="&amp;INDEX(Weeks!$D:$D,MATCH($C380,Weeks!$A:$A,0)),Tasks!$I:$I,"&lt;&gt;")/COUNTIFS(Tasks!$A:$A,$A380,Tasks!$B:$B,$B380,Tasks!$C:$C,$G380)*100,0),"")</f>
        <v/>
      </c>
    </row>
    <row r="381" spans="1:8" ht="15" hidden="1" customHeight="1">
      <c r="A381" t="s">
        <v>93</v>
      </c>
      <c r="B381" t="s">
        <v>95</v>
      </c>
      <c r="C381">
        <v>16</v>
      </c>
      <c r="D381">
        <v>4</v>
      </c>
      <c r="E381">
        <v>3</v>
      </c>
      <c r="F381">
        <v>3</v>
      </c>
      <c r="G381" t="s">
        <v>117</v>
      </c>
      <c r="H381" t="str">
        <f>IFERROR(ROUND(COUNTIFS(Tasks!$A:$A,$A381,Tasks!$B:$B,$B381,Tasks!$C:$C,$G381,Tasks!$I:$I,"&lt;="&amp;INDEX(Weeks!$D:$D,MATCH($C381,Weeks!$A:$A,0)),Tasks!$I:$I,"&lt;&gt;")/COUNTIFS(Tasks!$A:$A,$A381,Tasks!$B:$B,$B381,Tasks!$C:$C,$G381)*100,0),"")</f>
        <v/>
      </c>
    </row>
    <row r="382" spans="1:8" ht="15" hidden="1" customHeight="1">
      <c r="A382" t="s">
        <v>93</v>
      </c>
      <c r="B382" t="s">
        <v>95</v>
      </c>
      <c r="C382">
        <v>17</v>
      </c>
      <c r="D382">
        <v>4</v>
      </c>
      <c r="E382">
        <v>4</v>
      </c>
      <c r="F382">
        <v>3</v>
      </c>
      <c r="G382" t="s">
        <v>117</v>
      </c>
      <c r="H382" t="str">
        <f>IFERROR(ROUND(COUNTIFS(Tasks!$A:$A,$A382,Tasks!$B:$B,$B382,Tasks!$C:$C,$G382,Tasks!$I:$I,"&lt;="&amp;INDEX(Weeks!$D:$D,MATCH($C382,Weeks!$A:$A,0)),Tasks!$I:$I,"&lt;&gt;")/COUNTIFS(Tasks!$A:$A,$A382,Tasks!$B:$B,$B382,Tasks!$C:$C,$G382)*100,0),"")</f>
        <v/>
      </c>
    </row>
    <row r="383" spans="1:8" ht="15" hidden="1" customHeight="1">
      <c r="A383" t="s">
        <v>93</v>
      </c>
      <c r="B383" t="s">
        <v>95</v>
      </c>
      <c r="C383">
        <v>18</v>
      </c>
      <c r="D383">
        <v>5</v>
      </c>
      <c r="E383">
        <v>1</v>
      </c>
      <c r="F383">
        <v>3</v>
      </c>
      <c r="G383" t="s">
        <v>117</v>
      </c>
      <c r="H383" t="str">
        <f>IFERROR(ROUND(COUNTIFS(Tasks!$A:$A,$A383,Tasks!$B:$B,$B383,Tasks!$C:$C,$G383,Tasks!$I:$I,"&lt;="&amp;INDEX(Weeks!$D:$D,MATCH($C383,Weeks!$A:$A,0)),Tasks!$I:$I,"&lt;&gt;")/COUNTIFS(Tasks!$A:$A,$A383,Tasks!$B:$B,$B383,Tasks!$C:$C,$G383)*100,0),"")</f>
        <v/>
      </c>
    </row>
    <row r="384" spans="1:8" ht="15" hidden="1" customHeight="1">
      <c r="A384" t="s">
        <v>93</v>
      </c>
      <c r="B384" t="s">
        <v>95</v>
      </c>
      <c r="C384">
        <v>19</v>
      </c>
      <c r="D384">
        <v>5</v>
      </c>
      <c r="E384">
        <v>2</v>
      </c>
      <c r="F384">
        <v>3</v>
      </c>
      <c r="G384" t="s">
        <v>117</v>
      </c>
      <c r="H384" t="str">
        <f>IFERROR(ROUND(COUNTIFS(Tasks!$A:$A,$A384,Tasks!$B:$B,$B384,Tasks!$C:$C,$G384,Tasks!$I:$I,"&lt;="&amp;INDEX(Weeks!$D:$D,MATCH($C384,Weeks!$A:$A,0)),Tasks!$I:$I,"&lt;&gt;")/COUNTIFS(Tasks!$A:$A,$A384,Tasks!$B:$B,$B384,Tasks!$C:$C,$G384)*100,0),"")</f>
        <v/>
      </c>
    </row>
    <row r="385" spans="1:8" ht="15" hidden="1" customHeight="1">
      <c r="A385" t="s">
        <v>93</v>
      </c>
      <c r="B385" t="s">
        <v>95</v>
      </c>
      <c r="C385">
        <v>20</v>
      </c>
      <c r="D385">
        <v>5</v>
      </c>
      <c r="E385">
        <v>3</v>
      </c>
      <c r="F385">
        <v>3</v>
      </c>
      <c r="G385" t="s">
        <v>117</v>
      </c>
      <c r="H385" t="str">
        <f>IFERROR(ROUND(COUNTIFS(Tasks!$A:$A,$A385,Tasks!$B:$B,$B385,Tasks!$C:$C,$G385,Tasks!$I:$I,"&lt;="&amp;INDEX(Weeks!$D:$D,MATCH($C385,Weeks!$A:$A,0)),Tasks!$I:$I,"&lt;&gt;")/COUNTIFS(Tasks!$A:$A,$A385,Tasks!$B:$B,$B385,Tasks!$C:$C,$G385)*100,0),"")</f>
        <v/>
      </c>
    </row>
    <row r="386" spans="1:8" ht="15" hidden="1" customHeight="1">
      <c r="A386" t="s">
        <v>93</v>
      </c>
      <c r="B386" t="s">
        <v>95</v>
      </c>
      <c r="C386">
        <v>21</v>
      </c>
      <c r="D386">
        <v>5</v>
      </c>
      <c r="E386">
        <v>4</v>
      </c>
      <c r="F386">
        <v>3</v>
      </c>
      <c r="G386" t="s">
        <v>117</v>
      </c>
      <c r="H386" t="str">
        <f>IFERROR(ROUND(COUNTIFS(Tasks!$A:$A,$A386,Tasks!$B:$B,$B386,Tasks!$C:$C,$G386,Tasks!$I:$I,"&lt;="&amp;INDEX(Weeks!$D:$D,MATCH($C386,Weeks!$A:$A,0)),Tasks!$I:$I,"&lt;&gt;")/COUNTIFS(Tasks!$A:$A,$A386,Tasks!$B:$B,$B386,Tasks!$C:$C,$G386)*100,0),"")</f>
        <v/>
      </c>
    </row>
    <row r="387" spans="1:8" ht="15" hidden="1" customHeight="1">
      <c r="A387" t="s">
        <v>93</v>
      </c>
      <c r="B387" t="s">
        <v>95</v>
      </c>
      <c r="C387">
        <v>22</v>
      </c>
      <c r="D387">
        <v>5</v>
      </c>
      <c r="E387">
        <v>5</v>
      </c>
      <c r="F387">
        <v>3</v>
      </c>
      <c r="G387" t="s">
        <v>117</v>
      </c>
      <c r="H387" t="str">
        <f>IFERROR(ROUND(COUNTIFS(Tasks!$A:$A,$A387,Tasks!$B:$B,$B387,Tasks!$C:$C,$G387,Tasks!$I:$I,"&lt;="&amp;INDEX(Weeks!$D:$D,MATCH($C387,Weeks!$A:$A,0)),Tasks!$I:$I,"&lt;&gt;")/COUNTIFS(Tasks!$A:$A,$A387,Tasks!$B:$B,$B387,Tasks!$C:$C,$G387)*100,0),"")</f>
        <v/>
      </c>
    </row>
    <row r="388" spans="1:8" ht="15" hidden="1" customHeight="1">
      <c r="A388" t="s">
        <v>93</v>
      </c>
      <c r="B388" t="s">
        <v>95</v>
      </c>
      <c r="C388">
        <v>23</v>
      </c>
      <c r="D388">
        <v>6</v>
      </c>
      <c r="E388">
        <v>1</v>
      </c>
      <c r="F388">
        <v>3</v>
      </c>
      <c r="G388" t="s">
        <v>117</v>
      </c>
      <c r="H388" t="str">
        <f>IFERROR(ROUND(COUNTIFS(Tasks!$A:$A,$A388,Tasks!$B:$B,$B388,Tasks!$C:$C,$G388,Tasks!$I:$I,"&lt;="&amp;INDEX(Weeks!$D:$D,MATCH($C388,Weeks!$A:$A,0)),Tasks!$I:$I,"&lt;&gt;")/COUNTIFS(Tasks!$A:$A,$A388,Tasks!$B:$B,$B388,Tasks!$C:$C,$G388)*100,0),"")</f>
        <v/>
      </c>
    </row>
    <row r="389" spans="1:8" ht="15" hidden="1" customHeight="1">
      <c r="A389" t="s">
        <v>93</v>
      </c>
      <c r="B389" t="s">
        <v>95</v>
      </c>
      <c r="C389">
        <v>24</v>
      </c>
      <c r="D389">
        <v>6</v>
      </c>
      <c r="E389">
        <v>2</v>
      </c>
      <c r="F389">
        <v>3</v>
      </c>
      <c r="G389" t="s">
        <v>117</v>
      </c>
      <c r="H389" t="str">
        <f>IFERROR(ROUND(COUNTIFS(Tasks!$A:$A,$A389,Tasks!$B:$B,$B389,Tasks!$C:$C,$G389,Tasks!$I:$I,"&lt;="&amp;INDEX(Weeks!$D:$D,MATCH($C389,Weeks!$A:$A,0)),Tasks!$I:$I,"&lt;&gt;")/COUNTIFS(Tasks!$A:$A,$A389,Tasks!$B:$B,$B389,Tasks!$C:$C,$G389)*100,0),"")</f>
        <v/>
      </c>
    </row>
    <row r="390" spans="1:8" ht="15" hidden="1" customHeight="1">
      <c r="A390" t="s">
        <v>93</v>
      </c>
      <c r="B390" t="s">
        <v>95</v>
      </c>
      <c r="C390">
        <v>25</v>
      </c>
      <c r="D390">
        <v>6</v>
      </c>
      <c r="E390">
        <v>3</v>
      </c>
      <c r="F390">
        <v>3</v>
      </c>
      <c r="G390" t="s">
        <v>117</v>
      </c>
      <c r="H390" t="str">
        <f>IFERROR(ROUND(COUNTIFS(Tasks!$A:$A,$A390,Tasks!$B:$B,$B390,Tasks!$C:$C,$G390,Tasks!$I:$I,"&lt;="&amp;INDEX(Weeks!$D:$D,MATCH($C390,Weeks!$A:$A,0)),Tasks!$I:$I,"&lt;&gt;")/COUNTIFS(Tasks!$A:$A,$A390,Tasks!$B:$B,$B390,Tasks!$C:$C,$G390)*100,0),"")</f>
        <v/>
      </c>
    </row>
    <row r="391" spans="1:8" ht="15" hidden="1" customHeight="1">
      <c r="A391" t="s">
        <v>93</v>
      </c>
      <c r="B391" t="s">
        <v>95</v>
      </c>
      <c r="C391">
        <v>26</v>
      </c>
      <c r="D391">
        <v>6</v>
      </c>
      <c r="E391">
        <v>4</v>
      </c>
      <c r="F391">
        <v>3</v>
      </c>
      <c r="G391" t="s">
        <v>117</v>
      </c>
      <c r="H391" t="str">
        <f>IFERROR(ROUND(COUNTIFS(Tasks!$A:$A,$A391,Tasks!$B:$B,$B391,Tasks!$C:$C,$G391,Tasks!$I:$I,"&lt;="&amp;INDEX(Weeks!$D:$D,MATCH($C391,Weeks!$A:$A,0)),Tasks!$I:$I,"&lt;&gt;")/COUNTIFS(Tasks!$A:$A,$A391,Tasks!$B:$B,$B391,Tasks!$C:$C,$G391)*100,0),"")</f>
        <v/>
      </c>
    </row>
    <row r="392" spans="1:8" ht="15" hidden="1" customHeight="1">
      <c r="A392" t="s">
        <v>93</v>
      </c>
      <c r="B392" t="s">
        <v>95</v>
      </c>
      <c r="C392">
        <v>27</v>
      </c>
      <c r="D392">
        <v>7</v>
      </c>
      <c r="E392">
        <v>1</v>
      </c>
      <c r="F392">
        <v>3</v>
      </c>
      <c r="G392" t="s">
        <v>117</v>
      </c>
      <c r="H392" t="str">
        <f>IFERROR(ROUND(COUNTIFS(Tasks!$A:$A,$A392,Tasks!$B:$B,$B392,Tasks!$C:$C,$G392,Tasks!$I:$I,"&lt;="&amp;INDEX(Weeks!$D:$D,MATCH($C392,Weeks!$A:$A,0)),Tasks!$I:$I,"&lt;&gt;")/COUNTIFS(Tasks!$A:$A,$A392,Tasks!$B:$B,$B392,Tasks!$C:$C,$G392)*100,0),"")</f>
        <v/>
      </c>
    </row>
    <row r="393" spans="1:8" ht="15" hidden="1" customHeight="1">
      <c r="A393" t="s">
        <v>93</v>
      </c>
      <c r="B393" t="s">
        <v>95</v>
      </c>
      <c r="C393">
        <v>28</v>
      </c>
      <c r="D393">
        <v>7</v>
      </c>
      <c r="E393">
        <v>2</v>
      </c>
      <c r="F393">
        <v>3</v>
      </c>
      <c r="G393" t="s">
        <v>117</v>
      </c>
      <c r="H393" t="str">
        <f>IFERROR(ROUND(COUNTIFS(Tasks!$A:$A,$A393,Tasks!$B:$B,$B393,Tasks!$C:$C,$G393,Tasks!$I:$I,"&lt;="&amp;INDEX(Weeks!$D:$D,MATCH($C393,Weeks!$A:$A,0)),Tasks!$I:$I,"&lt;&gt;")/COUNTIFS(Tasks!$A:$A,$A393,Tasks!$B:$B,$B393,Tasks!$C:$C,$G393)*100,0),"")</f>
        <v/>
      </c>
    </row>
    <row r="394" spans="1:8" ht="15" hidden="1" customHeight="1">
      <c r="A394" t="s">
        <v>93</v>
      </c>
      <c r="B394" t="s">
        <v>95</v>
      </c>
      <c r="C394">
        <v>29</v>
      </c>
      <c r="D394">
        <v>7</v>
      </c>
      <c r="E394">
        <v>3</v>
      </c>
      <c r="F394">
        <v>3</v>
      </c>
      <c r="G394" t="s">
        <v>117</v>
      </c>
      <c r="H394" t="str">
        <f>IFERROR(ROUND(COUNTIFS(Tasks!$A:$A,$A394,Tasks!$B:$B,$B394,Tasks!$C:$C,$G394,Tasks!$I:$I,"&lt;="&amp;INDEX(Weeks!$D:$D,MATCH($C394,Weeks!$A:$A,0)),Tasks!$I:$I,"&lt;&gt;")/COUNTIFS(Tasks!$A:$A,$A394,Tasks!$B:$B,$B394,Tasks!$C:$C,$G394)*100,0),"")</f>
        <v/>
      </c>
    </row>
    <row r="395" spans="1:8" ht="15" hidden="1" customHeight="1">
      <c r="A395" t="s">
        <v>93</v>
      </c>
      <c r="B395" t="s">
        <v>95</v>
      </c>
      <c r="C395">
        <v>30</v>
      </c>
      <c r="D395">
        <v>7</v>
      </c>
      <c r="E395">
        <v>4</v>
      </c>
      <c r="F395">
        <v>3</v>
      </c>
      <c r="G395" t="s">
        <v>117</v>
      </c>
      <c r="H395" t="str">
        <f>IFERROR(ROUND(COUNTIFS(Tasks!$A:$A,$A395,Tasks!$B:$B,$B395,Tasks!$C:$C,$G395,Tasks!$I:$I,"&lt;="&amp;INDEX(Weeks!$D:$D,MATCH($C395,Weeks!$A:$A,0)),Tasks!$I:$I,"&lt;&gt;")/COUNTIFS(Tasks!$A:$A,$A395,Tasks!$B:$B,$B395,Tasks!$C:$C,$G395)*100,0),"")</f>
        <v/>
      </c>
    </row>
    <row r="396" spans="1:8" ht="15" hidden="1" customHeight="1">
      <c r="A396" t="s">
        <v>93</v>
      </c>
      <c r="B396" t="s">
        <v>95</v>
      </c>
      <c r="C396">
        <v>31</v>
      </c>
      <c r="D396">
        <v>8</v>
      </c>
      <c r="E396">
        <v>1</v>
      </c>
      <c r="F396">
        <v>3</v>
      </c>
      <c r="G396" t="s">
        <v>117</v>
      </c>
      <c r="H396" t="str">
        <f>IFERROR(ROUND(COUNTIFS(Tasks!$A:$A,$A396,Tasks!$B:$B,$B396,Tasks!$C:$C,$G396,Tasks!$I:$I,"&lt;="&amp;INDEX(Weeks!$D:$D,MATCH($C396,Weeks!$A:$A,0)),Tasks!$I:$I,"&lt;&gt;")/COUNTIFS(Tasks!$A:$A,$A396,Tasks!$B:$B,$B396,Tasks!$C:$C,$G396)*100,0),"")</f>
        <v/>
      </c>
    </row>
    <row r="397" spans="1:8" ht="15" hidden="1" customHeight="1">
      <c r="A397" t="s">
        <v>93</v>
      </c>
      <c r="B397" t="s">
        <v>95</v>
      </c>
      <c r="C397">
        <v>32</v>
      </c>
      <c r="D397">
        <v>8</v>
      </c>
      <c r="E397">
        <v>2</v>
      </c>
      <c r="F397">
        <v>3</v>
      </c>
      <c r="G397" t="s">
        <v>117</v>
      </c>
      <c r="H397" t="str">
        <f>IFERROR(ROUND(COUNTIFS(Tasks!$A:$A,$A397,Tasks!$B:$B,$B397,Tasks!$C:$C,$G397,Tasks!$I:$I,"&lt;="&amp;INDEX(Weeks!$D:$D,MATCH($C397,Weeks!$A:$A,0)),Tasks!$I:$I,"&lt;&gt;")/COUNTIFS(Tasks!$A:$A,$A397,Tasks!$B:$B,$B397,Tasks!$C:$C,$G397)*100,0),"")</f>
        <v/>
      </c>
    </row>
    <row r="398" spans="1:8" ht="15" hidden="1" customHeight="1">
      <c r="A398" t="s">
        <v>93</v>
      </c>
      <c r="B398" t="s">
        <v>95</v>
      </c>
      <c r="C398">
        <v>33</v>
      </c>
      <c r="D398">
        <v>8</v>
      </c>
      <c r="E398">
        <v>3</v>
      </c>
      <c r="F398">
        <v>3</v>
      </c>
      <c r="G398" t="s">
        <v>117</v>
      </c>
      <c r="H398" t="str">
        <f>IFERROR(ROUND(COUNTIFS(Tasks!$A:$A,$A398,Tasks!$B:$B,$B398,Tasks!$C:$C,$G398,Tasks!$I:$I,"&lt;="&amp;INDEX(Weeks!$D:$D,MATCH($C398,Weeks!$A:$A,0)),Tasks!$I:$I,"&lt;&gt;")/COUNTIFS(Tasks!$A:$A,$A398,Tasks!$B:$B,$B398,Tasks!$C:$C,$G398)*100,0),"")</f>
        <v/>
      </c>
    </row>
    <row r="399" spans="1:8" ht="15" hidden="1" customHeight="1">
      <c r="A399" t="s">
        <v>93</v>
      </c>
      <c r="B399" t="s">
        <v>95</v>
      </c>
      <c r="C399">
        <v>34</v>
      </c>
      <c r="D399">
        <v>8</v>
      </c>
      <c r="E399">
        <v>4</v>
      </c>
      <c r="F399">
        <v>3</v>
      </c>
      <c r="G399" t="s">
        <v>117</v>
      </c>
      <c r="H399" t="str">
        <f>IFERROR(ROUND(COUNTIFS(Tasks!$A:$A,$A399,Tasks!$B:$B,$B399,Tasks!$C:$C,$G399,Tasks!$I:$I,"&lt;="&amp;INDEX(Weeks!$D:$D,MATCH($C399,Weeks!$A:$A,0)),Tasks!$I:$I,"&lt;&gt;")/COUNTIFS(Tasks!$A:$A,$A399,Tasks!$B:$B,$B399,Tasks!$C:$C,$G399)*100,0),"")</f>
        <v/>
      </c>
    </row>
    <row r="400" spans="1:8" ht="15" hidden="1" customHeight="1">
      <c r="A400" t="s">
        <v>93</v>
      </c>
      <c r="B400" t="s">
        <v>95</v>
      </c>
      <c r="C400">
        <v>35</v>
      </c>
      <c r="D400">
        <v>8</v>
      </c>
      <c r="E400">
        <v>5</v>
      </c>
      <c r="F400">
        <v>3</v>
      </c>
      <c r="G400" t="s">
        <v>117</v>
      </c>
      <c r="H400" t="str">
        <f>IFERROR(ROUND(COUNTIFS(Tasks!$A:$A,$A400,Tasks!$B:$B,$B400,Tasks!$C:$C,$G400,Tasks!$I:$I,"&lt;="&amp;INDEX(Weeks!$D:$D,MATCH($C400,Weeks!$A:$A,0)),Tasks!$I:$I,"&lt;&gt;")/COUNTIFS(Tasks!$A:$A,$A400,Tasks!$B:$B,$B400,Tasks!$C:$C,$G400)*100,0),"")</f>
        <v/>
      </c>
    </row>
    <row r="401" spans="1:8" ht="15" hidden="1" customHeight="1">
      <c r="A401" t="s">
        <v>93</v>
      </c>
      <c r="B401" t="s">
        <v>95</v>
      </c>
      <c r="C401">
        <v>36</v>
      </c>
      <c r="D401">
        <v>9</v>
      </c>
      <c r="E401">
        <v>1</v>
      </c>
      <c r="F401">
        <v>3</v>
      </c>
      <c r="G401" t="s">
        <v>117</v>
      </c>
      <c r="H401" t="str">
        <f>IFERROR(ROUND(COUNTIFS(Tasks!$A:$A,$A401,Tasks!$B:$B,$B401,Tasks!$C:$C,$G401,Tasks!$I:$I,"&lt;="&amp;INDEX(Weeks!$D:$D,MATCH($C401,Weeks!$A:$A,0)),Tasks!$I:$I,"&lt;&gt;")/COUNTIFS(Tasks!$A:$A,$A401,Tasks!$B:$B,$B401,Tasks!$C:$C,$G401)*100,0),"")</f>
        <v/>
      </c>
    </row>
    <row r="402" spans="1:8" ht="15" hidden="1" customHeight="1">
      <c r="A402" t="s">
        <v>93</v>
      </c>
      <c r="B402" t="s">
        <v>95</v>
      </c>
      <c r="C402">
        <v>37</v>
      </c>
      <c r="D402">
        <v>9</v>
      </c>
      <c r="E402">
        <v>2</v>
      </c>
      <c r="F402">
        <v>3</v>
      </c>
      <c r="G402" t="s">
        <v>117</v>
      </c>
      <c r="H402" t="str">
        <f>IFERROR(ROUND(COUNTIFS(Tasks!$A:$A,$A402,Tasks!$B:$B,$B402,Tasks!$C:$C,$G402,Tasks!$I:$I,"&lt;="&amp;INDEX(Weeks!$D:$D,MATCH($C402,Weeks!$A:$A,0)),Tasks!$I:$I,"&lt;&gt;")/COUNTIFS(Tasks!$A:$A,$A402,Tasks!$B:$B,$B402,Tasks!$C:$C,$G402)*100,0),"")</f>
        <v/>
      </c>
    </row>
    <row r="403" spans="1:8" ht="15" hidden="1" customHeight="1">
      <c r="A403" t="s">
        <v>93</v>
      </c>
      <c r="B403" t="s">
        <v>95</v>
      </c>
      <c r="C403">
        <v>38</v>
      </c>
      <c r="D403">
        <v>9</v>
      </c>
      <c r="E403">
        <v>3</v>
      </c>
      <c r="F403">
        <v>3</v>
      </c>
      <c r="G403" t="s">
        <v>117</v>
      </c>
      <c r="H403" t="str">
        <f>IFERROR(ROUND(COUNTIFS(Tasks!$A:$A,$A403,Tasks!$B:$B,$B403,Tasks!$C:$C,$G403,Tasks!$I:$I,"&lt;="&amp;INDEX(Weeks!$D:$D,MATCH($C403,Weeks!$A:$A,0)),Tasks!$I:$I,"&lt;&gt;")/COUNTIFS(Tasks!$A:$A,$A403,Tasks!$B:$B,$B403,Tasks!$C:$C,$G403)*100,0),"")</f>
        <v/>
      </c>
    </row>
    <row r="404" spans="1:8" ht="15" hidden="1" customHeight="1">
      <c r="A404" t="s">
        <v>93</v>
      </c>
      <c r="B404" t="s">
        <v>95</v>
      </c>
      <c r="C404">
        <v>39</v>
      </c>
      <c r="D404">
        <v>9</v>
      </c>
      <c r="E404">
        <v>4</v>
      </c>
      <c r="F404">
        <v>3</v>
      </c>
      <c r="G404" t="s">
        <v>117</v>
      </c>
      <c r="H404" t="str">
        <f>IFERROR(ROUND(COUNTIFS(Tasks!$A:$A,$A404,Tasks!$B:$B,$B404,Tasks!$C:$C,$G404,Tasks!$I:$I,"&lt;="&amp;INDEX(Weeks!$D:$D,MATCH($C404,Weeks!$A:$A,0)),Tasks!$I:$I,"&lt;&gt;")/COUNTIFS(Tasks!$A:$A,$A404,Tasks!$B:$B,$B404,Tasks!$C:$C,$G404)*100,0),"")</f>
        <v/>
      </c>
    </row>
    <row r="405" spans="1:8" ht="15" hidden="1" customHeight="1">
      <c r="A405" t="s">
        <v>93</v>
      </c>
      <c r="B405" t="s">
        <v>95</v>
      </c>
      <c r="C405">
        <v>40</v>
      </c>
      <c r="D405">
        <v>10</v>
      </c>
      <c r="E405">
        <v>1</v>
      </c>
      <c r="F405">
        <v>3</v>
      </c>
      <c r="G405" t="s">
        <v>117</v>
      </c>
      <c r="H405" t="str">
        <f>IFERROR(ROUND(COUNTIFS(Tasks!$A:$A,$A405,Tasks!$B:$B,$B405,Tasks!$C:$C,$G405,Tasks!$I:$I,"&lt;="&amp;INDEX(Weeks!$D:$D,MATCH($C405,Weeks!$A:$A,0)),Tasks!$I:$I,"&lt;&gt;")/COUNTIFS(Tasks!$A:$A,$A405,Tasks!$B:$B,$B405,Tasks!$C:$C,$G405)*100,0),"")</f>
        <v/>
      </c>
    </row>
    <row r="406" spans="1:8" ht="15" hidden="1" customHeight="1">
      <c r="A406" t="s">
        <v>93</v>
      </c>
      <c r="B406" t="s">
        <v>95</v>
      </c>
      <c r="C406">
        <v>41</v>
      </c>
      <c r="D406">
        <v>10</v>
      </c>
      <c r="E406">
        <v>2</v>
      </c>
      <c r="F406">
        <v>3</v>
      </c>
      <c r="G406" t="s">
        <v>117</v>
      </c>
      <c r="H406" t="str">
        <f>IFERROR(ROUND(COUNTIFS(Tasks!$A:$A,$A406,Tasks!$B:$B,$B406,Tasks!$C:$C,$G406,Tasks!$I:$I,"&lt;="&amp;INDEX(Weeks!$D:$D,MATCH($C406,Weeks!$A:$A,0)),Tasks!$I:$I,"&lt;&gt;")/COUNTIFS(Tasks!$A:$A,$A406,Tasks!$B:$B,$B406,Tasks!$C:$C,$G406)*100,0),"")</f>
        <v/>
      </c>
    </row>
    <row r="407" spans="1:8" ht="15" hidden="1" customHeight="1">
      <c r="A407" t="s">
        <v>93</v>
      </c>
      <c r="B407" t="s">
        <v>95</v>
      </c>
      <c r="C407">
        <v>42</v>
      </c>
      <c r="D407">
        <v>10</v>
      </c>
      <c r="E407">
        <v>3</v>
      </c>
      <c r="F407">
        <v>3</v>
      </c>
      <c r="G407" t="s">
        <v>117</v>
      </c>
      <c r="H407" t="str">
        <f>IFERROR(ROUND(COUNTIFS(Tasks!$A:$A,$A407,Tasks!$B:$B,$B407,Tasks!$C:$C,$G407,Tasks!$I:$I,"&lt;="&amp;INDEX(Weeks!$D:$D,MATCH($C407,Weeks!$A:$A,0)),Tasks!$I:$I,"&lt;&gt;")/COUNTIFS(Tasks!$A:$A,$A407,Tasks!$B:$B,$B407,Tasks!$C:$C,$G407)*100,0),"")</f>
        <v/>
      </c>
    </row>
    <row r="408" spans="1:8" ht="15" hidden="1" customHeight="1">
      <c r="A408" t="s">
        <v>93</v>
      </c>
      <c r="B408" t="s">
        <v>95</v>
      </c>
      <c r="C408">
        <v>43</v>
      </c>
      <c r="D408">
        <v>10</v>
      </c>
      <c r="E408">
        <v>4</v>
      </c>
      <c r="F408">
        <v>3</v>
      </c>
      <c r="G408" t="s">
        <v>117</v>
      </c>
      <c r="H408" t="str">
        <f>IFERROR(ROUND(COUNTIFS(Tasks!$A:$A,$A408,Tasks!$B:$B,$B408,Tasks!$C:$C,$G408,Tasks!$I:$I,"&lt;="&amp;INDEX(Weeks!$D:$D,MATCH($C408,Weeks!$A:$A,0)),Tasks!$I:$I,"&lt;&gt;")/COUNTIFS(Tasks!$A:$A,$A408,Tasks!$B:$B,$B408,Tasks!$C:$C,$G408)*100,0),"")</f>
        <v/>
      </c>
    </row>
    <row r="409" spans="1:8" ht="15" hidden="1" customHeight="1">
      <c r="A409" t="s">
        <v>93</v>
      </c>
      <c r="B409" t="s">
        <v>95</v>
      </c>
      <c r="C409">
        <v>44</v>
      </c>
      <c r="D409">
        <v>10</v>
      </c>
      <c r="E409">
        <v>5</v>
      </c>
      <c r="F409">
        <v>3</v>
      </c>
      <c r="G409" t="s">
        <v>117</v>
      </c>
      <c r="H409" t="str">
        <f>IFERROR(ROUND(COUNTIFS(Tasks!$A:$A,$A409,Tasks!$B:$B,$B409,Tasks!$C:$C,$G409,Tasks!$I:$I,"&lt;="&amp;INDEX(Weeks!$D:$D,MATCH($C409,Weeks!$A:$A,0)),Tasks!$I:$I,"&lt;&gt;")/COUNTIFS(Tasks!$A:$A,$A409,Tasks!$B:$B,$B409,Tasks!$C:$C,$G409)*100,0),"")</f>
        <v/>
      </c>
    </row>
    <row r="410" spans="1:8" ht="15" hidden="1" customHeight="1">
      <c r="A410" t="s">
        <v>93</v>
      </c>
      <c r="B410" t="s">
        <v>95</v>
      </c>
      <c r="C410">
        <v>45</v>
      </c>
      <c r="D410">
        <v>11</v>
      </c>
      <c r="E410">
        <v>1</v>
      </c>
      <c r="F410">
        <v>3</v>
      </c>
      <c r="G410" t="s">
        <v>117</v>
      </c>
      <c r="H410" t="str">
        <f>IFERROR(ROUND(COUNTIFS(Tasks!$A:$A,$A410,Tasks!$B:$B,$B410,Tasks!$C:$C,$G410,Tasks!$I:$I,"&lt;="&amp;INDEX(Weeks!$D:$D,MATCH($C410,Weeks!$A:$A,0)),Tasks!$I:$I,"&lt;&gt;")/COUNTIFS(Tasks!$A:$A,$A410,Tasks!$B:$B,$B410,Tasks!$C:$C,$G410)*100,0),"")</f>
        <v/>
      </c>
    </row>
    <row r="411" spans="1:8" ht="15" hidden="1" customHeight="1">
      <c r="A411" t="s">
        <v>93</v>
      </c>
      <c r="B411" t="s">
        <v>95</v>
      </c>
      <c r="C411">
        <v>46</v>
      </c>
      <c r="D411">
        <v>11</v>
      </c>
      <c r="E411">
        <v>2</v>
      </c>
      <c r="F411">
        <v>3</v>
      </c>
      <c r="G411" t="s">
        <v>117</v>
      </c>
      <c r="H411" t="str">
        <f>IFERROR(ROUND(COUNTIFS(Tasks!$A:$A,$A411,Tasks!$B:$B,$B411,Tasks!$C:$C,$G411,Tasks!$I:$I,"&lt;="&amp;INDEX(Weeks!$D:$D,MATCH($C411,Weeks!$A:$A,0)),Tasks!$I:$I,"&lt;&gt;")/COUNTIFS(Tasks!$A:$A,$A411,Tasks!$B:$B,$B411,Tasks!$C:$C,$G411)*100,0),"")</f>
        <v/>
      </c>
    </row>
    <row r="412" spans="1:8" ht="15" hidden="1" customHeight="1">
      <c r="A412" t="s">
        <v>93</v>
      </c>
      <c r="B412" t="s">
        <v>95</v>
      </c>
      <c r="C412">
        <v>47</v>
      </c>
      <c r="D412">
        <v>11</v>
      </c>
      <c r="E412">
        <v>3</v>
      </c>
      <c r="F412">
        <v>3</v>
      </c>
      <c r="G412" t="s">
        <v>117</v>
      </c>
      <c r="H412" t="str">
        <f>IFERROR(ROUND(COUNTIFS(Tasks!$A:$A,$A412,Tasks!$B:$B,$B412,Tasks!$C:$C,$G412,Tasks!$I:$I,"&lt;="&amp;INDEX(Weeks!$D:$D,MATCH($C412,Weeks!$A:$A,0)),Tasks!$I:$I,"&lt;&gt;")/COUNTIFS(Tasks!$A:$A,$A412,Tasks!$B:$B,$B412,Tasks!$C:$C,$G412)*100,0),"")</f>
        <v/>
      </c>
    </row>
    <row r="413" spans="1:8" ht="15" hidden="1" customHeight="1">
      <c r="A413" t="s">
        <v>93</v>
      </c>
      <c r="B413" t="s">
        <v>95</v>
      </c>
      <c r="C413">
        <v>48</v>
      </c>
      <c r="D413">
        <v>11</v>
      </c>
      <c r="E413">
        <v>4</v>
      </c>
      <c r="F413">
        <v>3</v>
      </c>
      <c r="G413" t="s">
        <v>117</v>
      </c>
      <c r="H413" t="str">
        <f>IFERROR(ROUND(COUNTIFS(Tasks!$A:$A,$A413,Tasks!$B:$B,$B413,Tasks!$C:$C,$G413,Tasks!$I:$I,"&lt;="&amp;INDEX(Weeks!$D:$D,MATCH($C413,Weeks!$A:$A,0)),Tasks!$I:$I,"&lt;&gt;")/COUNTIFS(Tasks!$A:$A,$A413,Tasks!$B:$B,$B413,Tasks!$C:$C,$G413)*100,0),"")</f>
        <v/>
      </c>
    </row>
    <row r="414" spans="1:8" ht="15" hidden="1" customHeight="1">
      <c r="A414" t="s">
        <v>93</v>
      </c>
      <c r="B414" t="s">
        <v>95</v>
      </c>
      <c r="C414">
        <v>49</v>
      </c>
      <c r="D414">
        <v>12</v>
      </c>
      <c r="E414">
        <v>1</v>
      </c>
      <c r="F414">
        <v>3</v>
      </c>
      <c r="G414" t="s">
        <v>117</v>
      </c>
      <c r="H414" t="str">
        <f>IFERROR(ROUND(COUNTIFS(Tasks!$A:$A,$A414,Tasks!$B:$B,$B414,Tasks!$C:$C,$G414,Tasks!$I:$I,"&lt;="&amp;INDEX(Weeks!$D:$D,MATCH($C414,Weeks!$A:$A,0)),Tasks!$I:$I,"&lt;&gt;")/COUNTIFS(Tasks!$A:$A,$A414,Tasks!$B:$B,$B414,Tasks!$C:$C,$G414)*100,0),"")</f>
        <v/>
      </c>
    </row>
    <row r="415" spans="1:8" ht="15" hidden="1" customHeight="1">
      <c r="A415" t="s">
        <v>93</v>
      </c>
      <c r="B415" t="s">
        <v>95</v>
      </c>
      <c r="C415">
        <v>50</v>
      </c>
      <c r="D415">
        <v>12</v>
      </c>
      <c r="E415">
        <v>2</v>
      </c>
      <c r="F415">
        <v>3</v>
      </c>
      <c r="G415" t="s">
        <v>117</v>
      </c>
      <c r="H415" t="str">
        <f>IFERROR(ROUND(COUNTIFS(Tasks!$A:$A,$A415,Tasks!$B:$B,$B415,Tasks!$C:$C,$G415,Tasks!$I:$I,"&lt;="&amp;INDEX(Weeks!$D:$D,MATCH($C415,Weeks!$A:$A,0)),Tasks!$I:$I,"&lt;&gt;")/COUNTIFS(Tasks!$A:$A,$A415,Tasks!$B:$B,$B415,Tasks!$C:$C,$G415)*100,0),"")</f>
        <v/>
      </c>
    </row>
    <row r="416" spans="1:8" ht="15" hidden="1" customHeight="1">
      <c r="A416" t="s">
        <v>93</v>
      </c>
      <c r="B416" t="s">
        <v>95</v>
      </c>
      <c r="C416">
        <v>51</v>
      </c>
      <c r="D416">
        <v>12</v>
      </c>
      <c r="E416">
        <v>3</v>
      </c>
      <c r="F416">
        <v>3</v>
      </c>
      <c r="G416" t="s">
        <v>117</v>
      </c>
      <c r="H416" t="str">
        <f>IFERROR(ROUND(COUNTIFS(Tasks!$A:$A,$A416,Tasks!$B:$B,$B416,Tasks!$C:$C,$G416,Tasks!$I:$I,"&lt;="&amp;INDEX(Weeks!$D:$D,MATCH($C416,Weeks!$A:$A,0)),Tasks!$I:$I,"&lt;&gt;")/COUNTIFS(Tasks!$A:$A,$A416,Tasks!$B:$B,$B416,Tasks!$C:$C,$G416)*100,0),"")</f>
        <v/>
      </c>
    </row>
    <row r="417" spans="1:8" ht="15" hidden="1" customHeight="1">
      <c r="A417" t="s">
        <v>93</v>
      </c>
      <c r="B417" t="s">
        <v>95</v>
      </c>
      <c r="C417">
        <v>52</v>
      </c>
      <c r="D417">
        <v>12</v>
      </c>
      <c r="E417">
        <v>4</v>
      </c>
      <c r="F417">
        <v>3</v>
      </c>
      <c r="G417" t="s">
        <v>117</v>
      </c>
      <c r="H417" t="str">
        <f>IFERROR(ROUND(COUNTIFS(Tasks!$A:$A,$A417,Tasks!$B:$B,$B417,Tasks!$C:$C,$G417,Tasks!$I:$I,"&lt;="&amp;INDEX(Weeks!$D:$D,MATCH($C417,Weeks!$A:$A,0)),Tasks!$I:$I,"&lt;&gt;")/COUNTIFS(Tasks!$A:$A,$A417,Tasks!$B:$B,$B417,Tasks!$C:$C,$G417)*100,0),"")</f>
        <v/>
      </c>
    </row>
    <row r="418" spans="1:8" ht="15" hidden="1" customHeight="1">
      <c r="A418" t="s">
        <v>93</v>
      </c>
      <c r="B418" t="s">
        <v>95</v>
      </c>
      <c r="C418">
        <v>1</v>
      </c>
      <c r="D418">
        <v>1</v>
      </c>
      <c r="E418">
        <v>1</v>
      </c>
      <c r="F418">
        <v>4</v>
      </c>
      <c r="G418" t="s">
        <v>118</v>
      </c>
      <c r="H418" t="str">
        <f>IFERROR(ROUND(COUNTIFS(Tasks!$A:$A,$A418,Tasks!$B:$B,$B418,Tasks!$C:$C,$G418,Tasks!$I:$I,"&lt;="&amp;INDEX(Weeks!$D:$D,MATCH($C418,Weeks!$A:$A,0)),Tasks!$I:$I,"&lt;&gt;")/COUNTIFS(Tasks!$A:$A,$A418,Tasks!$B:$B,$B418,Tasks!$C:$C,$G418)*100,0),"")</f>
        <v/>
      </c>
    </row>
    <row r="419" spans="1:8" ht="15" hidden="1" customHeight="1">
      <c r="A419" t="s">
        <v>93</v>
      </c>
      <c r="B419" t="s">
        <v>95</v>
      </c>
      <c r="C419">
        <v>2</v>
      </c>
      <c r="D419">
        <v>1</v>
      </c>
      <c r="E419">
        <v>2</v>
      </c>
      <c r="F419">
        <v>4</v>
      </c>
      <c r="G419" t="s">
        <v>118</v>
      </c>
      <c r="H419" t="str">
        <f>IFERROR(ROUND(COUNTIFS(Tasks!$A:$A,$A419,Tasks!$B:$B,$B419,Tasks!$C:$C,$G419,Tasks!$I:$I,"&lt;="&amp;INDEX(Weeks!$D:$D,MATCH($C419,Weeks!$A:$A,0)),Tasks!$I:$I,"&lt;&gt;")/COUNTIFS(Tasks!$A:$A,$A419,Tasks!$B:$B,$B419,Tasks!$C:$C,$G419)*100,0),"")</f>
        <v/>
      </c>
    </row>
    <row r="420" spans="1:8" ht="15" hidden="1" customHeight="1">
      <c r="A420" t="s">
        <v>93</v>
      </c>
      <c r="B420" t="s">
        <v>95</v>
      </c>
      <c r="C420">
        <v>3</v>
      </c>
      <c r="D420">
        <v>1</v>
      </c>
      <c r="E420">
        <v>3</v>
      </c>
      <c r="F420">
        <v>4</v>
      </c>
      <c r="G420" t="s">
        <v>118</v>
      </c>
      <c r="H420" t="str">
        <f>IFERROR(ROUND(COUNTIFS(Tasks!$A:$A,$A420,Tasks!$B:$B,$B420,Tasks!$C:$C,$G420,Tasks!$I:$I,"&lt;="&amp;INDEX(Weeks!$D:$D,MATCH($C420,Weeks!$A:$A,0)),Tasks!$I:$I,"&lt;&gt;")/COUNTIFS(Tasks!$A:$A,$A420,Tasks!$B:$B,$B420,Tasks!$C:$C,$G420)*100,0),"")</f>
        <v/>
      </c>
    </row>
    <row r="421" spans="1:8" ht="15" hidden="1" customHeight="1">
      <c r="A421" t="s">
        <v>93</v>
      </c>
      <c r="B421" t="s">
        <v>95</v>
      </c>
      <c r="C421">
        <v>4</v>
      </c>
      <c r="D421">
        <v>1</v>
      </c>
      <c r="E421">
        <v>4</v>
      </c>
      <c r="F421">
        <v>4</v>
      </c>
      <c r="G421" t="s">
        <v>118</v>
      </c>
      <c r="H421" t="str">
        <f>IFERROR(ROUND(COUNTIFS(Tasks!$A:$A,$A421,Tasks!$B:$B,$B421,Tasks!$C:$C,$G421,Tasks!$I:$I,"&lt;="&amp;INDEX(Weeks!$D:$D,MATCH($C421,Weeks!$A:$A,0)),Tasks!$I:$I,"&lt;&gt;")/COUNTIFS(Tasks!$A:$A,$A421,Tasks!$B:$B,$B421,Tasks!$C:$C,$G421)*100,0),"")</f>
        <v/>
      </c>
    </row>
    <row r="422" spans="1:8" ht="15" hidden="1" customHeight="1">
      <c r="A422" t="s">
        <v>93</v>
      </c>
      <c r="B422" t="s">
        <v>95</v>
      </c>
      <c r="C422">
        <v>5</v>
      </c>
      <c r="D422">
        <v>1</v>
      </c>
      <c r="E422">
        <v>5</v>
      </c>
      <c r="F422">
        <v>4</v>
      </c>
      <c r="G422" t="s">
        <v>118</v>
      </c>
      <c r="H422" t="str">
        <f>IFERROR(ROUND(COUNTIFS(Tasks!$A:$A,$A422,Tasks!$B:$B,$B422,Tasks!$C:$C,$G422,Tasks!$I:$I,"&lt;="&amp;INDEX(Weeks!$D:$D,MATCH($C422,Weeks!$A:$A,0)),Tasks!$I:$I,"&lt;&gt;")/COUNTIFS(Tasks!$A:$A,$A422,Tasks!$B:$B,$B422,Tasks!$C:$C,$G422)*100,0),"")</f>
        <v/>
      </c>
    </row>
    <row r="423" spans="1:8" ht="15" hidden="1" customHeight="1">
      <c r="A423" t="s">
        <v>93</v>
      </c>
      <c r="B423" t="s">
        <v>95</v>
      </c>
      <c r="C423">
        <v>6</v>
      </c>
      <c r="D423">
        <v>2</v>
      </c>
      <c r="E423">
        <v>1</v>
      </c>
      <c r="F423">
        <v>4</v>
      </c>
      <c r="G423" t="s">
        <v>118</v>
      </c>
      <c r="H423" t="str">
        <f>IFERROR(ROUND(COUNTIFS(Tasks!$A:$A,$A423,Tasks!$B:$B,$B423,Tasks!$C:$C,$G423,Tasks!$I:$I,"&lt;="&amp;INDEX(Weeks!$D:$D,MATCH($C423,Weeks!$A:$A,0)),Tasks!$I:$I,"&lt;&gt;")/COUNTIFS(Tasks!$A:$A,$A423,Tasks!$B:$B,$B423,Tasks!$C:$C,$G423)*100,0),"")</f>
        <v/>
      </c>
    </row>
    <row r="424" spans="1:8" ht="15" hidden="1" customHeight="1">
      <c r="A424" t="s">
        <v>93</v>
      </c>
      <c r="B424" t="s">
        <v>95</v>
      </c>
      <c r="C424">
        <v>7</v>
      </c>
      <c r="D424">
        <v>2</v>
      </c>
      <c r="E424">
        <v>2</v>
      </c>
      <c r="F424">
        <v>4</v>
      </c>
      <c r="G424" t="s">
        <v>118</v>
      </c>
      <c r="H424" t="str">
        <f>IFERROR(ROUND(COUNTIFS(Tasks!$A:$A,$A424,Tasks!$B:$B,$B424,Tasks!$C:$C,$G424,Tasks!$I:$I,"&lt;="&amp;INDEX(Weeks!$D:$D,MATCH($C424,Weeks!$A:$A,0)),Tasks!$I:$I,"&lt;&gt;")/COUNTIFS(Tasks!$A:$A,$A424,Tasks!$B:$B,$B424,Tasks!$C:$C,$G424)*100,0),"")</f>
        <v/>
      </c>
    </row>
    <row r="425" spans="1:8" ht="15" hidden="1" customHeight="1">
      <c r="A425" t="s">
        <v>93</v>
      </c>
      <c r="B425" t="s">
        <v>95</v>
      </c>
      <c r="C425">
        <v>8</v>
      </c>
      <c r="D425">
        <v>2</v>
      </c>
      <c r="E425">
        <v>3</v>
      </c>
      <c r="F425">
        <v>4</v>
      </c>
      <c r="G425" t="s">
        <v>118</v>
      </c>
      <c r="H425" t="str">
        <f>IFERROR(ROUND(COUNTIFS(Tasks!$A:$A,$A425,Tasks!$B:$B,$B425,Tasks!$C:$C,$G425,Tasks!$I:$I,"&lt;="&amp;INDEX(Weeks!$D:$D,MATCH($C425,Weeks!$A:$A,0)),Tasks!$I:$I,"&lt;&gt;")/COUNTIFS(Tasks!$A:$A,$A425,Tasks!$B:$B,$B425,Tasks!$C:$C,$G425)*100,0),"")</f>
        <v/>
      </c>
    </row>
    <row r="426" spans="1:8" ht="15" hidden="1" customHeight="1">
      <c r="A426" t="s">
        <v>93</v>
      </c>
      <c r="B426" t="s">
        <v>95</v>
      </c>
      <c r="C426">
        <v>9</v>
      </c>
      <c r="D426">
        <v>2</v>
      </c>
      <c r="E426">
        <v>4</v>
      </c>
      <c r="F426">
        <v>4</v>
      </c>
      <c r="G426" t="s">
        <v>118</v>
      </c>
      <c r="H426" t="str">
        <f>IFERROR(ROUND(COUNTIFS(Tasks!$A:$A,$A426,Tasks!$B:$B,$B426,Tasks!$C:$C,$G426,Tasks!$I:$I,"&lt;="&amp;INDEX(Weeks!$D:$D,MATCH($C426,Weeks!$A:$A,0)),Tasks!$I:$I,"&lt;&gt;")/COUNTIFS(Tasks!$A:$A,$A426,Tasks!$B:$B,$B426,Tasks!$C:$C,$G426)*100,0),"")</f>
        <v/>
      </c>
    </row>
    <row r="427" spans="1:8" ht="15" hidden="1" customHeight="1">
      <c r="A427" t="s">
        <v>93</v>
      </c>
      <c r="B427" t="s">
        <v>95</v>
      </c>
      <c r="C427">
        <v>10</v>
      </c>
      <c r="D427">
        <v>3</v>
      </c>
      <c r="E427">
        <v>1</v>
      </c>
      <c r="F427">
        <v>4</v>
      </c>
      <c r="G427" t="s">
        <v>118</v>
      </c>
      <c r="H427" t="str">
        <f>IFERROR(ROUND(COUNTIFS(Tasks!$A:$A,$A427,Tasks!$B:$B,$B427,Tasks!$C:$C,$G427,Tasks!$I:$I,"&lt;="&amp;INDEX(Weeks!$D:$D,MATCH($C427,Weeks!$A:$A,0)),Tasks!$I:$I,"&lt;&gt;")/COUNTIFS(Tasks!$A:$A,$A427,Tasks!$B:$B,$B427,Tasks!$C:$C,$G427)*100,0),"")</f>
        <v/>
      </c>
    </row>
    <row r="428" spans="1:8" ht="15" hidden="1" customHeight="1">
      <c r="A428" t="s">
        <v>93</v>
      </c>
      <c r="B428" t="s">
        <v>95</v>
      </c>
      <c r="C428">
        <v>11</v>
      </c>
      <c r="D428">
        <v>3</v>
      </c>
      <c r="E428">
        <v>2</v>
      </c>
      <c r="F428">
        <v>4</v>
      </c>
      <c r="G428" t="s">
        <v>118</v>
      </c>
      <c r="H428" t="str">
        <f>IFERROR(ROUND(COUNTIFS(Tasks!$A:$A,$A428,Tasks!$B:$B,$B428,Tasks!$C:$C,$G428,Tasks!$I:$I,"&lt;="&amp;INDEX(Weeks!$D:$D,MATCH($C428,Weeks!$A:$A,0)),Tasks!$I:$I,"&lt;&gt;")/COUNTIFS(Tasks!$A:$A,$A428,Tasks!$B:$B,$B428,Tasks!$C:$C,$G428)*100,0),"")</f>
        <v/>
      </c>
    </row>
    <row r="429" spans="1:8" ht="15" hidden="1" customHeight="1">
      <c r="A429" t="s">
        <v>93</v>
      </c>
      <c r="B429" t="s">
        <v>95</v>
      </c>
      <c r="C429">
        <v>12</v>
      </c>
      <c r="D429">
        <v>3</v>
      </c>
      <c r="E429">
        <v>3</v>
      </c>
      <c r="F429">
        <v>4</v>
      </c>
      <c r="G429" t="s">
        <v>118</v>
      </c>
      <c r="H429" t="str">
        <f>IFERROR(ROUND(COUNTIFS(Tasks!$A:$A,$A429,Tasks!$B:$B,$B429,Tasks!$C:$C,$G429,Tasks!$I:$I,"&lt;="&amp;INDEX(Weeks!$D:$D,MATCH($C429,Weeks!$A:$A,0)),Tasks!$I:$I,"&lt;&gt;")/COUNTIFS(Tasks!$A:$A,$A429,Tasks!$B:$B,$B429,Tasks!$C:$C,$G429)*100,0),"")</f>
        <v/>
      </c>
    </row>
    <row r="430" spans="1:8" ht="15" hidden="1" customHeight="1">
      <c r="A430" t="s">
        <v>93</v>
      </c>
      <c r="B430" t="s">
        <v>95</v>
      </c>
      <c r="C430">
        <v>13</v>
      </c>
      <c r="D430">
        <v>3</v>
      </c>
      <c r="E430">
        <v>4</v>
      </c>
      <c r="F430">
        <v>4</v>
      </c>
      <c r="G430" t="s">
        <v>118</v>
      </c>
      <c r="H430" t="str">
        <f>IFERROR(ROUND(COUNTIFS(Tasks!$A:$A,$A430,Tasks!$B:$B,$B430,Tasks!$C:$C,$G430,Tasks!$I:$I,"&lt;="&amp;INDEX(Weeks!$D:$D,MATCH($C430,Weeks!$A:$A,0)),Tasks!$I:$I,"&lt;&gt;")/COUNTIFS(Tasks!$A:$A,$A430,Tasks!$B:$B,$B430,Tasks!$C:$C,$G430)*100,0),"")</f>
        <v/>
      </c>
    </row>
    <row r="431" spans="1:8" ht="15" hidden="1" customHeight="1">
      <c r="A431" t="s">
        <v>93</v>
      </c>
      <c r="B431" t="s">
        <v>95</v>
      </c>
      <c r="C431">
        <v>14</v>
      </c>
      <c r="D431">
        <v>4</v>
      </c>
      <c r="E431">
        <v>1</v>
      </c>
      <c r="F431">
        <v>4</v>
      </c>
      <c r="G431" t="s">
        <v>118</v>
      </c>
      <c r="H431" t="str">
        <f>IFERROR(ROUND(COUNTIFS(Tasks!$A:$A,$A431,Tasks!$B:$B,$B431,Tasks!$C:$C,$G431,Tasks!$I:$I,"&lt;="&amp;INDEX(Weeks!$D:$D,MATCH($C431,Weeks!$A:$A,0)),Tasks!$I:$I,"&lt;&gt;")/COUNTIFS(Tasks!$A:$A,$A431,Tasks!$B:$B,$B431,Tasks!$C:$C,$G431)*100,0),"")</f>
        <v/>
      </c>
    </row>
    <row r="432" spans="1:8" ht="15" hidden="1" customHeight="1">
      <c r="A432" t="s">
        <v>93</v>
      </c>
      <c r="B432" t="s">
        <v>95</v>
      </c>
      <c r="C432">
        <v>15</v>
      </c>
      <c r="D432">
        <v>4</v>
      </c>
      <c r="E432">
        <v>2</v>
      </c>
      <c r="F432">
        <v>4</v>
      </c>
      <c r="G432" t="s">
        <v>118</v>
      </c>
      <c r="H432" t="str">
        <f>IFERROR(ROUND(COUNTIFS(Tasks!$A:$A,$A432,Tasks!$B:$B,$B432,Tasks!$C:$C,$G432,Tasks!$I:$I,"&lt;="&amp;INDEX(Weeks!$D:$D,MATCH($C432,Weeks!$A:$A,0)),Tasks!$I:$I,"&lt;&gt;")/COUNTIFS(Tasks!$A:$A,$A432,Tasks!$B:$B,$B432,Tasks!$C:$C,$G432)*100,0),"")</f>
        <v/>
      </c>
    </row>
    <row r="433" spans="1:8" ht="15" hidden="1" customHeight="1">
      <c r="A433" t="s">
        <v>93</v>
      </c>
      <c r="B433" t="s">
        <v>95</v>
      </c>
      <c r="C433">
        <v>16</v>
      </c>
      <c r="D433">
        <v>4</v>
      </c>
      <c r="E433">
        <v>3</v>
      </c>
      <c r="F433">
        <v>4</v>
      </c>
      <c r="G433" t="s">
        <v>118</v>
      </c>
      <c r="H433" t="str">
        <f>IFERROR(ROUND(COUNTIFS(Tasks!$A:$A,$A433,Tasks!$B:$B,$B433,Tasks!$C:$C,$G433,Tasks!$I:$I,"&lt;="&amp;INDEX(Weeks!$D:$D,MATCH($C433,Weeks!$A:$A,0)),Tasks!$I:$I,"&lt;&gt;")/COUNTIFS(Tasks!$A:$A,$A433,Tasks!$B:$B,$B433,Tasks!$C:$C,$G433)*100,0),"")</f>
        <v/>
      </c>
    </row>
    <row r="434" spans="1:8" ht="15" hidden="1" customHeight="1">
      <c r="A434" t="s">
        <v>93</v>
      </c>
      <c r="B434" t="s">
        <v>95</v>
      </c>
      <c r="C434">
        <v>17</v>
      </c>
      <c r="D434">
        <v>4</v>
      </c>
      <c r="E434">
        <v>4</v>
      </c>
      <c r="F434">
        <v>4</v>
      </c>
      <c r="G434" t="s">
        <v>118</v>
      </c>
      <c r="H434" t="str">
        <f>IFERROR(ROUND(COUNTIFS(Tasks!$A:$A,$A434,Tasks!$B:$B,$B434,Tasks!$C:$C,$G434,Tasks!$I:$I,"&lt;="&amp;INDEX(Weeks!$D:$D,MATCH($C434,Weeks!$A:$A,0)),Tasks!$I:$I,"&lt;&gt;")/COUNTIFS(Tasks!$A:$A,$A434,Tasks!$B:$B,$B434,Tasks!$C:$C,$G434)*100,0),"")</f>
        <v/>
      </c>
    </row>
    <row r="435" spans="1:8" ht="15" hidden="1" customHeight="1">
      <c r="A435" t="s">
        <v>93</v>
      </c>
      <c r="B435" t="s">
        <v>95</v>
      </c>
      <c r="C435">
        <v>18</v>
      </c>
      <c r="D435">
        <v>5</v>
      </c>
      <c r="E435">
        <v>1</v>
      </c>
      <c r="F435">
        <v>4</v>
      </c>
      <c r="G435" t="s">
        <v>118</v>
      </c>
      <c r="H435" t="str">
        <f>IFERROR(ROUND(COUNTIFS(Tasks!$A:$A,$A435,Tasks!$B:$B,$B435,Tasks!$C:$C,$G435,Tasks!$I:$I,"&lt;="&amp;INDEX(Weeks!$D:$D,MATCH($C435,Weeks!$A:$A,0)),Tasks!$I:$I,"&lt;&gt;")/COUNTIFS(Tasks!$A:$A,$A435,Tasks!$B:$B,$B435,Tasks!$C:$C,$G435)*100,0),"")</f>
        <v/>
      </c>
    </row>
    <row r="436" spans="1:8" ht="15" hidden="1" customHeight="1">
      <c r="A436" t="s">
        <v>93</v>
      </c>
      <c r="B436" t="s">
        <v>95</v>
      </c>
      <c r="C436">
        <v>19</v>
      </c>
      <c r="D436">
        <v>5</v>
      </c>
      <c r="E436">
        <v>2</v>
      </c>
      <c r="F436">
        <v>4</v>
      </c>
      <c r="G436" t="s">
        <v>118</v>
      </c>
      <c r="H436" t="str">
        <f>IFERROR(ROUND(COUNTIFS(Tasks!$A:$A,$A436,Tasks!$B:$B,$B436,Tasks!$C:$C,$G436,Tasks!$I:$I,"&lt;="&amp;INDEX(Weeks!$D:$D,MATCH($C436,Weeks!$A:$A,0)),Tasks!$I:$I,"&lt;&gt;")/COUNTIFS(Tasks!$A:$A,$A436,Tasks!$B:$B,$B436,Tasks!$C:$C,$G436)*100,0),"")</f>
        <v/>
      </c>
    </row>
    <row r="437" spans="1:8" ht="15" hidden="1" customHeight="1">
      <c r="A437" t="s">
        <v>93</v>
      </c>
      <c r="B437" t="s">
        <v>95</v>
      </c>
      <c r="C437">
        <v>20</v>
      </c>
      <c r="D437">
        <v>5</v>
      </c>
      <c r="E437">
        <v>3</v>
      </c>
      <c r="F437">
        <v>4</v>
      </c>
      <c r="G437" t="s">
        <v>118</v>
      </c>
      <c r="H437" t="str">
        <f>IFERROR(ROUND(COUNTIFS(Tasks!$A:$A,$A437,Tasks!$B:$B,$B437,Tasks!$C:$C,$G437,Tasks!$I:$I,"&lt;="&amp;INDEX(Weeks!$D:$D,MATCH($C437,Weeks!$A:$A,0)),Tasks!$I:$I,"&lt;&gt;")/COUNTIFS(Tasks!$A:$A,$A437,Tasks!$B:$B,$B437,Tasks!$C:$C,$G437)*100,0),"")</f>
        <v/>
      </c>
    </row>
    <row r="438" spans="1:8" ht="15" hidden="1" customHeight="1">
      <c r="A438" t="s">
        <v>93</v>
      </c>
      <c r="B438" t="s">
        <v>95</v>
      </c>
      <c r="C438">
        <v>21</v>
      </c>
      <c r="D438">
        <v>5</v>
      </c>
      <c r="E438">
        <v>4</v>
      </c>
      <c r="F438">
        <v>4</v>
      </c>
      <c r="G438" t="s">
        <v>118</v>
      </c>
      <c r="H438" t="str">
        <f>IFERROR(ROUND(COUNTIFS(Tasks!$A:$A,$A438,Tasks!$B:$B,$B438,Tasks!$C:$C,$G438,Tasks!$I:$I,"&lt;="&amp;INDEX(Weeks!$D:$D,MATCH($C438,Weeks!$A:$A,0)),Tasks!$I:$I,"&lt;&gt;")/COUNTIFS(Tasks!$A:$A,$A438,Tasks!$B:$B,$B438,Tasks!$C:$C,$G438)*100,0),"")</f>
        <v/>
      </c>
    </row>
    <row r="439" spans="1:8" ht="15" hidden="1" customHeight="1">
      <c r="A439" t="s">
        <v>93</v>
      </c>
      <c r="B439" t="s">
        <v>95</v>
      </c>
      <c r="C439">
        <v>22</v>
      </c>
      <c r="D439">
        <v>5</v>
      </c>
      <c r="E439">
        <v>5</v>
      </c>
      <c r="F439">
        <v>4</v>
      </c>
      <c r="G439" t="s">
        <v>118</v>
      </c>
      <c r="H439" t="str">
        <f>IFERROR(ROUND(COUNTIFS(Tasks!$A:$A,$A439,Tasks!$B:$B,$B439,Tasks!$C:$C,$G439,Tasks!$I:$I,"&lt;="&amp;INDEX(Weeks!$D:$D,MATCH($C439,Weeks!$A:$A,0)),Tasks!$I:$I,"&lt;&gt;")/COUNTIFS(Tasks!$A:$A,$A439,Tasks!$B:$B,$B439,Tasks!$C:$C,$G439)*100,0),"")</f>
        <v/>
      </c>
    </row>
    <row r="440" spans="1:8" ht="15" hidden="1" customHeight="1">
      <c r="A440" t="s">
        <v>93</v>
      </c>
      <c r="B440" t="s">
        <v>95</v>
      </c>
      <c r="C440">
        <v>23</v>
      </c>
      <c r="D440">
        <v>6</v>
      </c>
      <c r="E440">
        <v>1</v>
      </c>
      <c r="F440">
        <v>4</v>
      </c>
      <c r="G440" t="s">
        <v>118</v>
      </c>
      <c r="H440" t="str">
        <f>IFERROR(ROUND(COUNTIFS(Tasks!$A:$A,$A440,Tasks!$B:$B,$B440,Tasks!$C:$C,$G440,Tasks!$I:$I,"&lt;="&amp;INDEX(Weeks!$D:$D,MATCH($C440,Weeks!$A:$A,0)),Tasks!$I:$I,"&lt;&gt;")/COUNTIFS(Tasks!$A:$A,$A440,Tasks!$B:$B,$B440,Tasks!$C:$C,$G440)*100,0),"")</f>
        <v/>
      </c>
    </row>
    <row r="441" spans="1:8" ht="15" hidden="1" customHeight="1">
      <c r="A441" t="s">
        <v>93</v>
      </c>
      <c r="B441" t="s">
        <v>95</v>
      </c>
      <c r="C441">
        <v>24</v>
      </c>
      <c r="D441">
        <v>6</v>
      </c>
      <c r="E441">
        <v>2</v>
      </c>
      <c r="F441">
        <v>4</v>
      </c>
      <c r="G441" t="s">
        <v>118</v>
      </c>
      <c r="H441" t="str">
        <f>IFERROR(ROUND(COUNTIFS(Tasks!$A:$A,$A441,Tasks!$B:$B,$B441,Tasks!$C:$C,$G441,Tasks!$I:$I,"&lt;="&amp;INDEX(Weeks!$D:$D,MATCH($C441,Weeks!$A:$A,0)),Tasks!$I:$I,"&lt;&gt;")/COUNTIFS(Tasks!$A:$A,$A441,Tasks!$B:$B,$B441,Tasks!$C:$C,$G441)*100,0),"")</f>
        <v/>
      </c>
    </row>
    <row r="442" spans="1:8" ht="15" hidden="1" customHeight="1">
      <c r="A442" t="s">
        <v>93</v>
      </c>
      <c r="B442" t="s">
        <v>95</v>
      </c>
      <c r="C442">
        <v>25</v>
      </c>
      <c r="D442">
        <v>6</v>
      </c>
      <c r="E442">
        <v>3</v>
      </c>
      <c r="F442">
        <v>4</v>
      </c>
      <c r="G442" t="s">
        <v>118</v>
      </c>
      <c r="H442" t="str">
        <f>IFERROR(ROUND(COUNTIFS(Tasks!$A:$A,$A442,Tasks!$B:$B,$B442,Tasks!$C:$C,$G442,Tasks!$I:$I,"&lt;="&amp;INDEX(Weeks!$D:$D,MATCH($C442,Weeks!$A:$A,0)),Tasks!$I:$I,"&lt;&gt;")/COUNTIFS(Tasks!$A:$A,$A442,Tasks!$B:$B,$B442,Tasks!$C:$C,$G442)*100,0),"")</f>
        <v/>
      </c>
    </row>
    <row r="443" spans="1:8" ht="15" hidden="1" customHeight="1">
      <c r="A443" t="s">
        <v>93</v>
      </c>
      <c r="B443" t="s">
        <v>95</v>
      </c>
      <c r="C443">
        <v>26</v>
      </c>
      <c r="D443">
        <v>6</v>
      </c>
      <c r="E443">
        <v>4</v>
      </c>
      <c r="F443">
        <v>4</v>
      </c>
      <c r="G443" t="s">
        <v>118</v>
      </c>
      <c r="H443" t="str">
        <f>IFERROR(ROUND(COUNTIFS(Tasks!$A:$A,$A443,Tasks!$B:$B,$B443,Tasks!$C:$C,$G443,Tasks!$I:$I,"&lt;="&amp;INDEX(Weeks!$D:$D,MATCH($C443,Weeks!$A:$A,0)),Tasks!$I:$I,"&lt;&gt;")/COUNTIFS(Tasks!$A:$A,$A443,Tasks!$B:$B,$B443,Tasks!$C:$C,$G443)*100,0),"")</f>
        <v/>
      </c>
    </row>
    <row r="444" spans="1:8" ht="15" hidden="1" customHeight="1">
      <c r="A444" t="s">
        <v>93</v>
      </c>
      <c r="B444" t="s">
        <v>95</v>
      </c>
      <c r="C444">
        <v>27</v>
      </c>
      <c r="D444">
        <v>7</v>
      </c>
      <c r="E444">
        <v>1</v>
      </c>
      <c r="F444">
        <v>4</v>
      </c>
      <c r="G444" t="s">
        <v>118</v>
      </c>
      <c r="H444" t="str">
        <f>IFERROR(ROUND(COUNTIFS(Tasks!$A:$A,$A444,Tasks!$B:$B,$B444,Tasks!$C:$C,$G444,Tasks!$I:$I,"&lt;="&amp;INDEX(Weeks!$D:$D,MATCH($C444,Weeks!$A:$A,0)),Tasks!$I:$I,"&lt;&gt;")/COUNTIFS(Tasks!$A:$A,$A444,Tasks!$B:$B,$B444,Tasks!$C:$C,$G444)*100,0),"")</f>
        <v/>
      </c>
    </row>
    <row r="445" spans="1:8" ht="15" hidden="1" customHeight="1">
      <c r="A445" t="s">
        <v>93</v>
      </c>
      <c r="B445" t="s">
        <v>95</v>
      </c>
      <c r="C445">
        <v>28</v>
      </c>
      <c r="D445">
        <v>7</v>
      </c>
      <c r="E445">
        <v>2</v>
      </c>
      <c r="F445">
        <v>4</v>
      </c>
      <c r="G445" t="s">
        <v>118</v>
      </c>
      <c r="H445" t="str">
        <f>IFERROR(ROUND(COUNTIFS(Tasks!$A:$A,$A445,Tasks!$B:$B,$B445,Tasks!$C:$C,$G445,Tasks!$I:$I,"&lt;="&amp;INDEX(Weeks!$D:$D,MATCH($C445,Weeks!$A:$A,0)),Tasks!$I:$I,"&lt;&gt;")/COUNTIFS(Tasks!$A:$A,$A445,Tasks!$B:$B,$B445,Tasks!$C:$C,$G445)*100,0),"")</f>
        <v/>
      </c>
    </row>
    <row r="446" spans="1:8" ht="15" hidden="1" customHeight="1">
      <c r="A446" t="s">
        <v>93</v>
      </c>
      <c r="B446" t="s">
        <v>95</v>
      </c>
      <c r="C446">
        <v>29</v>
      </c>
      <c r="D446">
        <v>7</v>
      </c>
      <c r="E446">
        <v>3</v>
      </c>
      <c r="F446">
        <v>4</v>
      </c>
      <c r="G446" t="s">
        <v>118</v>
      </c>
      <c r="H446" t="str">
        <f>IFERROR(ROUND(COUNTIFS(Tasks!$A:$A,$A446,Tasks!$B:$B,$B446,Tasks!$C:$C,$G446,Tasks!$I:$I,"&lt;="&amp;INDEX(Weeks!$D:$D,MATCH($C446,Weeks!$A:$A,0)),Tasks!$I:$I,"&lt;&gt;")/COUNTIFS(Tasks!$A:$A,$A446,Tasks!$B:$B,$B446,Tasks!$C:$C,$G446)*100,0),"")</f>
        <v/>
      </c>
    </row>
    <row r="447" spans="1:8" ht="15" hidden="1" customHeight="1">
      <c r="A447" t="s">
        <v>93</v>
      </c>
      <c r="B447" t="s">
        <v>95</v>
      </c>
      <c r="C447">
        <v>30</v>
      </c>
      <c r="D447">
        <v>7</v>
      </c>
      <c r="E447">
        <v>4</v>
      </c>
      <c r="F447">
        <v>4</v>
      </c>
      <c r="G447" t="s">
        <v>118</v>
      </c>
      <c r="H447" t="str">
        <f>IFERROR(ROUND(COUNTIFS(Tasks!$A:$A,$A447,Tasks!$B:$B,$B447,Tasks!$C:$C,$G447,Tasks!$I:$I,"&lt;="&amp;INDEX(Weeks!$D:$D,MATCH($C447,Weeks!$A:$A,0)),Tasks!$I:$I,"&lt;&gt;")/COUNTIFS(Tasks!$A:$A,$A447,Tasks!$B:$B,$B447,Tasks!$C:$C,$G447)*100,0),"")</f>
        <v/>
      </c>
    </row>
    <row r="448" spans="1:8" ht="15" hidden="1" customHeight="1">
      <c r="A448" t="s">
        <v>93</v>
      </c>
      <c r="B448" t="s">
        <v>95</v>
      </c>
      <c r="C448">
        <v>31</v>
      </c>
      <c r="D448">
        <v>8</v>
      </c>
      <c r="E448">
        <v>1</v>
      </c>
      <c r="F448">
        <v>4</v>
      </c>
      <c r="G448" t="s">
        <v>118</v>
      </c>
      <c r="H448" t="str">
        <f>IFERROR(ROUND(COUNTIFS(Tasks!$A:$A,$A448,Tasks!$B:$B,$B448,Tasks!$C:$C,$G448,Tasks!$I:$I,"&lt;="&amp;INDEX(Weeks!$D:$D,MATCH($C448,Weeks!$A:$A,0)),Tasks!$I:$I,"&lt;&gt;")/COUNTIFS(Tasks!$A:$A,$A448,Tasks!$B:$B,$B448,Tasks!$C:$C,$G448)*100,0),"")</f>
        <v/>
      </c>
    </row>
    <row r="449" spans="1:8" ht="15" hidden="1" customHeight="1">
      <c r="A449" t="s">
        <v>93</v>
      </c>
      <c r="B449" t="s">
        <v>95</v>
      </c>
      <c r="C449">
        <v>32</v>
      </c>
      <c r="D449">
        <v>8</v>
      </c>
      <c r="E449">
        <v>2</v>
      </c>
      <c r="F449">
        <v>4</v>
      </c>
      <c r="G449" t="s">
        <v>118</v>
      </c>
      <c r="H449" t="str">
        <f>IFERROR(ROUND(COUNTIFS(Tasks!$A:$A,$A449,Tasks!$B:$B,$B449,Tasks!$C:$C,$G449,Tasks!$I:$I,"&lt;="&amp;INDEX(Weeks!$D:$D,MATCH($C449,Weeks!$A:$A,0)),Tasks!$I:$I,"&lt;&gt;")/COUNTIFS(Tasks!$A:$A,$A449,Tasks!$B:$B,$B449,Tasks!$C:$C,$G449)*100,0),"")</f>
        <v/>
      </c>
    </row>
    <row r="450" spans="1:8" ht="15" hidden="1" customHeight="1">
      <c r="A450" t="s">
        <v>93</v>
      </c>
      <c r="B450" t="s">
        <v>95</v>
      </c>
      <c r="C450">
        <v>33</v>
      </c>
      <c r="D450">
        <v>8</v>
      </c>
      <c r="E450">
        <v>3</v>
      </c>
      <c r="F450">
        <v>4</v>
      </c>
      <c r="G450" t="s">
        <v>118</v>
      </c>
      <c r="H450" t="str">
        <f>IFERROR(ROUND(COUNTIFS(Tasks!$A:$A,$A450,Tasks!$B:$B,$B450,Tasks!$C:$C,$G450,Tasks!$I:$I,"&lt;="&amp;INDEX(Weeks!$D:$D,MATCH($C450,Weeks!$A:$A,0)),Tasks!$I:$I,"&lt;&gt;")/COUNTIFS(Tasks!$A:$A,$A450,Tasks!$B:$B,$B450,Tasks!$C:$C,$G450)*100,0),"")</f>
        <v/>
      </c>
    </row>
    <row r="451" spans="1:8" ht="15" hidden="1" customHeight="1">
      <c r="A451" t="s">
        <v>93</v>
      </c>
      <c r="B451" t="s">
        <v>95</v>
      </c>
      <c r="C451">
        <v>34</v>
      </c>
      <c r="D451">
        <v>8</v>
      </c>
      <c r="E451">
        <v>4</v>
      </c>
      <c r="F451">
        <v>4</v>
      </c>
      <c r="G451" t="s">
        <v>118</v>
      </c>
      <c r="H451" t="str">
        <f>IFERROR(ROUND(COUNTIFS(Tasks!$A:$A,$A451,Tasks!$B:$B,$B451,Tasks!$C:$C,$G451,Tasks!$I:$I,"&lt;="&amp;INDEX(Weeks!$D:$D,MATCH($C451,Weeks!$A:$A,0)),Tasks!$I:$I,"&lt;&gt;")/COUNTIFS(Tasks!$A:$A,$A451,Tasks!$B:$B,$B451,Tasks!$C:$C,$G451)*100,0),"")</f>
        <v/>
      </c>
    </row>
    <row r="452" spans="1:8" ht="15" hidden="1" customHeight="1">
      <c r="A452" t="s">
        <v>93</v>
      </c>
      <c r="B452" t="s">
        <v>95</v>
      </c>
      <c r="C452">
        <v>35</v>
      </c>
      <c r="D452">
        <v>8</v>
      </c>
      <c r="E452">
        <v>5</v>
      </c>
      <c r="F452">
        <v>4</v>
      </c>
      <c r="G452" t="s">
        <v>118</v>
      </c>
      <c r="H452" t="str">
        <f>IFERROR(ROUND(COUNTIFS(Tasks!$A:$A,$A452,Tasks!$B:$B,$B452,Tasks!$C:$C,$G452,Tasks!$I:$I,"&lt;="&amp;INDEX(Weeks!$D:$D,MATCH($C452,Weeks!$A:$A,0)),Tasks!$I:$I,"&lt;&gt;")/COUNTIFS(Tasks!$A:$A,$A452,Tasks!$B:$B,$B452,Tasks!$C:$C,$G452)*100,0),"")</f>
        <v/>
      </c>
    </row>
    <row r="453" spans="1:8" ht="15" hidden="1" customHeight="1">
      <c r="A453" t="s">
        <v>93</v>
      </c>
      <c r="B453" t="s">
        <v>95</v>
      </c>
      <c r="C453">
        <v>36</v>
      </c>
      <c r="D453">
        <v>9</v>
      </c>
      <c r="E453">
        <v>1</v>
      </c>
      <c r="F453">
        <v>4</v>
      </c>
      <c r="G453" t="s">
        <v>118</v>
      </c>
      <c r="H453" t="str">
        <f>IFERROR(ROUND(COUNTIFS(Tasks!$A:$A,$A453,Tasks!$B:$B,$B453,Tasks!$C:$C,$G453,Tasks!$I:$I,"&lt;="&amp;INDEX(Weeks!$D:$D,MATCH($C453,Weeks!$A:$A,0)),Tasks!$I:$I,"&lt;&gt;")/COUNTIFS(Tasks!$A:$A,$A453,Tasks!$B:$B,$B453,Tasks!$C:$C,$G453)*100,0),"")</f>
        <v/>
      </c>
    </row>
    <row r="454" spans="1:8" ht="15" hidden="1" customHeight="1">
      <c r="A454" t="s">
        <v>93</v>
      </c>
      <c r="B454" t="s">
        <v>95</v>
      </c>
      <c r="C454">
        <v>37</v>
      </c>
      <c r="D454">
        <v>9</v>
      </c>
      <c r="E454">
        <v>2</v>
      </c>
      <c r="F454">
        <v>4</v>
      </c>
      <c r="G454" t="s">
        <v>118</v>
      </c>
      <c r="H454" t="str">
        <f>IFERROR(ROUND(COUNTIFS(Tasks!$A:$A,$A454,Tasks!$B:$B,$B454,Tasks!$C:$C,$G454,Tasks!$I:$I,"&lt;="&amp;INDEX(Weeks!$D:$D,MATCH($C454,Weeks!$A:$A,0)),Tasks!$I:$I,"&lt;&gt;")/COUNTIFS(Tasks!$A:$A,$A454,Tasks!$B:$B,$B454,Tasks!$C:$C,$G454)*100,0),"")</f>
        <v/>
      </c>
    </row>
    <row r="455" spans="1:8" ht="15" hidden="1" customHeight="1">
      <c r="A455" t="s">
        <v>93</v>
      </c>
      <c r="B455" t="s">
        <v>95</v>
      </c>
      <c r="C455">
        <v>38</v>
      </c>
      <c r="D455">
        <v>9</v>
      </c>
      <c r="E455">
        <v>3</v>
      </c>
      <c r="F455">
        <v>4</v>
      </c>
      <c r="G455" t="s">
        <v>118</v>
      </c>
      <c r="H455" t="str">
        <f>IFERROR(ROUND(COUNTIFS(Tasks!$A:$A,$A455,Tasks!$B:$B,$B455,Tasks!$C:$C,$G455,Tasks!$I:$I,"&lt;="&amp;INDEX(Weeks!$D:$D,MATCH($C455,Weeks!$A:$A,0)),Tasks!$I:$I,"&lt;&gt;")/COUNTIFS(Tasks!$A:$A,$A455,Tasks!$B:$B,$B455,Tasks!$C:$C,$G455)*100,0),"")</f>
        <v/>
      </c>
    </row>
    <row r="456" spans="1:8" ht="15" hidden="1" customHeight="1">
      <c r="A456" t="s">
        <v>93</v>
      </c>
      <c r="B456" t="s">
        <v>95</v>
      </c>
      <c r="C456">
        <v>39</v>
      </c>
      <c r="D456">
        <v>9</v>
      </c>
      <c r="E456">
        <v>4</v>
      </c>
      <c r="F456">
        <v>4</v>
      </c>
      <c r="G456" t="s">
        <v>118</v>
      </c>
      <c r="H456" t="str">
        <f>IFERROR(ROUND(COUNTIFS(Tasks!$A:$A,$A456,Tasks!$B:$B,$B456,Tasks!$C:$C,$G456,Tasks!$I:$I,"&lt;="&amp;INDEX(Weeks!$D:$D,MATCH($C456,Weeks!$A:$A,0)),Tasks!$I:$I,"&lt;&gt;")/COUNTIFS(Tasks!$A:$A,$A456,Tasks!$B:$B,$B456,Tasks!$C:$C,$G456)*100,0),"")</f>
        <v/>
      </c>
    </row>
    <row r="457" spans="1:8" ht="15" hidden="1" customHeight="1">
      <c r="A457" t="s">
        <v>93</v>
      </c>
      <c r="B457" t="s">
        <v>95</v>
      </c>
      <c r="C457">
        <v>40</v>
      </c>
      <c r="D457">
        <v>10</v>
      </c>
      <c r="E457">
        <v>1</v>
      </c>
      <c r="F457">
        <v>4</v>
      </c>
      <c r="G457" t="s">
        <v>118</v>
      </c>
      <c r="H457" t="str">
        <f>IFERROR(ROUND(COUNTIFS(Tasks!$A:$A,$A457,Tasks!$B:$B,$B457,Tasks!$C:$C,$G457,Tasks!$I:$I,"&lt;="&amp;INDEX(Weeks!$D:$D,MATCH($C457,Weeks!$A:$A,0)),Tasks!$I:$I,"&lt;&gt;")/COUNTIFS(Tasks!$A:$A,$A457,Tasks!$B:$B,$B457,Tasks!$C:$C,$G457)*100,0),"")</f>
        <v/>
      </c>
    </row>
    <row r="458" spans="1:8" ht="15" hidden="1" customHeight="1">
      <c r="A458" t="s">
        <v>93</v>
      </c>
      <c r="B458" t="s">
        <v>95</v>
      </c>
      <c r="C458">
        <v>41</v>
      </c>
      <c r="D458">
        <v>10</v>
      </c>
      <c r="E458">
        <v>2</v>
      </c>
      <c r="F458">
        <v>4</v>
      </c>
      <c r="G458" t="s">
        <v>118</v>
      </c>
      <c r="H458" t="str">
        <f>IFERROR(ROUND(COUNTIFS(Tasks!$A:$A,$A458,Tasks!$B:$B,$B458,Tasks!$C:$C,$G458,Tasks!$I:$I,"&lt;="&amp;INDEX(Weeks!$D:$D,MATCH($C458,Weeks!$A:$A,0)),Tasks!$I:$I,"&lt;&gt;")/COUNTIFS(Tasks!$A:$A,$A458,Tasks!$B:$B,$B458,Tasks!$C:$C,$G458)*100,0),"")</f>
        <v/>
      </c>
    </row>
    <row r="459" spans="1:8" ht="15" hidden="1" customHeight="1">
      <c r="A459" t="s">
        <v>93</v>
      </c>
      <c r="B459" t="s">
        <v>95</v>
      </c>
      <c r="C459">
        <v>42</v>
      </c>
      <c r="D459">
        <v>10</v>
      </c>
      <c r="E459">
        <v>3</v>
      </c>
      <c r="F459">
        <v>4</v>
      </c>
      <c r="G459" t="s">
        <v>118</v>
      </c>
      <c r="H459" t="str">
        <f>IFERROR(ROUND(COUNTIFS(Tasks!$A:$A,$A459,Tasks!$B:$B,$B459,Tasks!$C:$C,$G459,Tasks!$I:$I,"&lt;="&amp;INDEX(Weeks!$D:$D,MATCH($C459,Weeks!$A:$A,0)),Tasks!$I:$I,"&lt;&gt;")/COUNTIFS(Tasks!$A:$A,$A459,Tasks!$B:$B,$B459,Tasks!$C:$C,$G459)*100,0),"")</f>
        <v/>
      </c>
    </row>
    <row r="460" spans="1:8" ht="15" hidden="1" customHeight="1">
      <c r="A460" t="s">
        <v>93</v>
      </c>
      <c r="B460" t="s">
        <v>95</v>
      </c>
      <c r="C460">
        <v>43</v>
      </c>
      <c r="D460">
        <v>10</v>
      </c>
      <c r="E460">
        <v>4</v>
      </c>
      <c r="F460">
        <v>4</v>
      </c>
      <c r="G460" t="s">
        <v>118</v>
      </c>
      <c r="H460" t="str">
        <f>IFERROR(ROUND(COUNTIFS(Tasks!$A:$A,$A460,Tasks!$B:$B,$B460,Tasks!$C:$C,$G460,Tasks!$I:$I,"&lt;="&amp;INDEX(Weeks!$D:$D,MATCH($C460,Weeks!$A:$A,0)),Tasks!$I:$I,"&lt;&gt;")/COUNTIFS(Tasks!$A:$A,$A460,Tasks!$B:$B,$B460,Tasks!$C:$C,$G460)*100,0),"")</f>
        <v/>
      </c>
    </row>
    <row r="461" spans="1:8" ht="15" hidden="1" customHeight="1">
      <c r="A461" t="s">
        <v>93</v>
      </c>
      <c r="B461" t="s">
        <v>95</v>
      </c>
      <c r="C461">
        <v>44</v>
      </c>
      <c r="D461">
        <v>10</v>
      </c>
      <c r="E461">
        <v>5</v>
      </c>
      <c r="F461">
        <v>4</v>
      </c>
      <c r="G461" t="s">
        <v>118</v>
      </c>
      <c r="H461" t="str">
        <f>IFERROR(ROUND(COUNTIFS(Tasks!$A:$A,$A461,Tasks!$B:$B,$B461,Tasks!$C:$C,$G461,Tasks!$I:$I,"&lt;="&amp;INDEX(Weeks!$D:$D,MATCH($C461,Weeks!$A:$A,0)),Tasks!$I:$I,"&lt;&gt;")/COUNTIFS(Tasks!$A:$A,$A461,Tasks!$B:$B,$B461,Tasks!$C:$C,$G461)*100,0),"")</f>
        <v/>
      </c>
    </row>
    <row r="462" spans="1:8" ht="15" hidden="1" customHeight="1">
      <c r="A462" t="s">
        <v>93</v>
      </c>
      <c r="B462" t="s">
        <v>95</v>
      </c>
      <c r="C462">
        <v>45</v>
      </c>
      <c r="D462">
        <v>11</v>
      </c>
      <c r="E462">
        <v>1</v>
      </c>
      <c r="F462">
        <v>4</v>
      </c>
      <c r="G462" t="s">
        <v>118</v>
      </c>
      <c r="H462" t="str">
        <f>IFERROR(ROUND(COUNTIFS(Tasks!$A:$A,$A462,Tasks!$B:$B,$B462,Tasks!$C:$C,$G462,Tasks!$I:$I,"&lt;="&amp;INDEX(Weeks!$D:$D,MATCH($C462,Weeks!$A:$A,0)),Tasks!$I:$I,"&lt;&gt;")/COUNTIFS(Tasks!$A:$A,$A462,Tasks!$B:$B,$B462,Tasks!$C:$C,$G462)*100,0),"")</f>
        <v/>
      </c>
    </row>
    <row r="463" spans="1:8" ht="15" hidden="1" customHeight="1">
      <c r="A463" t="s">
        <v>93</v>
      </c>
      <c r="B463" t="s">
        <v>95</v>
      </c>
      <c r="C463">
        <v>46</v>
      </c>
      <c r="D463">
        <v>11</v>
      </c>
      <c r="E463">
        <v>2</v>
      </c>
      <c r="F463">
        <v>4</v>
      </c>
      <c r="G463" t="s">
        <v>118</v>
      </c>
      <c r="H463" t="str">
        <f>IFERROR(ROUND(COUNTIFS(Tasks!$A:$A,$A463,Tasks!$B:$B,$B463,Tasks!$C:$C,$G463,Tasks!$I:$I,"&lt;="&amp;INDEX(Weeks!$D:$D,MATCH($C463,Weeks!$A:$A,0)),Tasks!$I:$I,"&lt;&gt;")/COUNTIFS(Tasks!$A:$A,$A463,Tasks!$B:$B,$B463,Tasks!$C:$C,$G463)*100,0),"")</f>
        <v/>
      </c>
    </row>
    <row r="464" spans="1:8" ht="15" hidden="1" customHeight="1">
      <c r="A464" t="s">
        <v>93</v>
      </c>
      <c r="B464" t="s">
        <v>95</v>
      </c>
      <c r="C464">
        <v>47</v>
      </c>
      <c r="D464">
        <v>11</v>
      </c>
      <c r="E464">
        <v>3</v>
      </c>
      <c r="F464">
        <v>4</v>
      </c>
      <c r="G464" t="s">
        <v>118</v>
      </c>
      <c r="H464" t="str">
        <f>IFERROR(ROUND(COUNTIFS(Tasks!$A:$A,$A464,Tasks!$B:$B,$B464,Tasks!$C:$C,$G464,Tasks!$I:$I,"&lt;="&amp;INDEX(Weeks!$D:$D,MATCH($C464,Weeks!$A:$A,0)),Tasks!$I:$I,"&lt;&gt;")/COUNTIFS(Tasks!$A:$A,$A464,Tasks!$B:$B,$B464,Tasks!$C:$C,$G464)*100,0),"")</f>
        <v/>
      </c>
    </row>
    <row r="465" spans="1:8" ht="15" hidden="1" customHeight="1">
      <c r="A465" t="s">
        <v>93</v>
      </c>
      <c r="B465" t="s">
        <v>95</v>
      </c>
      <c r="C465">
        <v>48</v>
      </c>
      <c r="D465">
        <v>11</v>
      </c>
      <c r="E465">
        <v>4</v>
      </c>
      <c r="F465">
        <v>4</v>
      </c>
      <c r="G465" t="s">
        <v>118</v>
      </c>
      <c r="H465" t="str">
        <f>IFERROR(ROUND(COUNTIFS(Tasks!$A:$A,$A465,Tasks!$B:$B,$B465,Tasks!$C:$C,$G465,Tasks!$I:$I,"&lt;="&amp;INDEX(Weeks!$D:$D,MATCH($C465,Weeks!$A:$A,0)),Tasks!$I:$I,"&lt;&gt;")/COUNTIFS(Tasks!$A:$A,$A465,Tasks!$B:$B,$B465,Tasks!$C:$C,$G465)*100,0),"")</f>
        <v/>
      </c>
    </row>
    <row r="466" spans="1:8" ht="15" hidden="1" customHeight="1">
      <c r="A466" t="s">
        <v>93</v>
      </c>
      <c r="B466" t="s">
        <v>95</v>
      </c>
      <c r="C466">
        <v>49</v>
      </c>
      <c r="D466">
        <v>12</v>
      </c>
      <c r="E466">
        <v>1</v>
      </c>
      <c r="F466">
        <v>4</v>
      </c>
      <c r="G466" t="s">
        <v>118</v>
      </c>
      <c r="H466" t="str">
        <f>IFERROR(ROUND(COUNTIFS(Tasks!$A:$A,$A466,Tasks!$B:$B,$B466,Tasks!$C:$C,$G466,Tasks!$I:$I,"&lt;="&amp;INDEX(Weeks!$D:$D,MATCH($C466,Weeks!$A:$A,0)),Tasks!$I:$I,"&lt;&gt;")/COUNTIFS(Tasks!$A:$A,$A466,Tasks!$B:$B,$B466,Tasks!$C:$C,$G466)*100,0),"")</f>
        <v/>
      </c>
    </row>
    <row r="467" spans="1:8" ht="15" hidden="1" customHeight="1">
      <c r="A467" t="s">
        <v>93</v>
      </c>
      <c r="B467" t="s">
        <v>95</v>
      </c>
      <c r="C467">
        <v>50</v>
      </c>
      <c r="D467">
        <v>12</v>
      </c>
      <c r="E467">
        <v>2</v>
      </c>
      <c r="F467">
        <v>4</v>
      </c>
      <c r="G467" t="s">
        <v>118</v>
      </c>
      <c r="H467" t="str">
        <f>IFERROR(ROUND(COUNTIFS(Tasks!$A:$A,$A467,Tasks!$B:$B,$B467,Tasks!$C:$C,$G467,Tasks!$I:$I,"&lt;="&amp;INDEX(Weeks!$D:$D,MATCH($C467,Weeks!$A:$A,0)),Tasks!$I:$I,"&lt;&gt;")/COUNTIFS(Tasks!$A:$A,$A467,Tasks!$B:$B,$B467,Tasks!$C:$C,$G467)*100,0),"")</f>
        <v/>
      </c>
    </row>
    <row r="468" spans="1:8" ht="15" hidden="1" customHeight="1">
      <c r="A468" t="s">
        <v>93</v>
      </c>
      <c r="B468" t="s">
        <v>95</v>
      </c>
      <c r="C468">
        <v>51</v>
      </c>
      <c r="D468">
        <v>12</v>
      </c>
      <c r="E468">
        <v>3</v>
      </c>
      <c r="F468">
        <v>4</v>
      </c>
      <c r="G468" t="s">
        <v>118</v>
      </c>
      <c r="H468" t="str">
        <f>IFERROR(ROUND(COUNTIFS(Tasks!$A:$A,$A468,Tasks!$B:$B,$B468,Tasks!$C:$C,$G468,Tasks!$I:$I,"&lt;="&amp;INDEX(Weeks!$D:$D,MATCH($C468,Weeks!$A:$A,0)),Tasks!$I:$I,"&lt;&gt;")/COUNTIFS(Tasks!$A:$A,$A468,Tasks!$B:$B,$B468,Tasks!$C:$C,$G468)*100,0),"")</f>
        <v/>
      </c>
    </row>
    <row r="469" spans="1:8" ht="15" hidden="1" customHeight="1">
      <c r="A469" t="s">
        <v>93</v>
      </c>
      <c r="B469" t="s">
        <v>95</v>
      </c>
      <c r="C469">
        <v>52</v>
      </c>
      <c r="D469">
        <v>12</v>
      </c>
      <c r="E469">
        <v>4</v>
      </c>
      <c r="F469">
        <v>4</v>
      </c>
      <c r="G469" t="s">
        <v>118</v>
      </c>
      <c r="H469" t="str">
        <f>IFERROR(ROUND(COUNTIFS(Tasks!$A:$A,$A469,Tasks!$B:$B,$B469,Tasks!$C:$C,$G469,Tasks!$I:$I,"&lt;="&amp;INDEX(Weeks!$D:$D,MATCH($C469,Weeks!$A:$A,0)),Tasks!$I:$I,"&lt;&gt;")/COUNTIFS(Tasks!$A:$A,$A469,Tasks!$B:$B,$B469,Tasks!$C:$C,$G469)*100,0),"")</f>
        <v/>
      </c>
    </row>
    <row r="470" spans="1:8" ht="15" hidden="1" customHeight="1">
      <c r="A470" t="s">
        <v>93</v>
      </c>
      <c r="B470" t="s">
        <v>95</v>
      </c>
      <c r="C470">
        <v>1</v>
      </c>
      <c r="D470">
        <v>1</v>
      </c>
      <c r="E470">
        <v>1</v>
      </c>
      <c r="F470">
        <v>5</v>
      </c>
      <c r="G470" t="s">
        <v>119</v>
      </c>
      <c r="H470" t="str">
        <f>IFERROR(ROUND(COUNTIFS(Tasks!$A:$A,$A470,Tasks!$B:$B,$B470,Tasks!$C:$C,$G470,Tasks!$I:$I,"&lt;="&amp;INDEX(Weeks!$D:$D,MATCH($C470,Weeks!$A:$A,0)),Tasks!$I:$I,"&lt;&gt;")/COUNTIFS(Tasks!$A:$A,$A470,Tasks!$B:$B,$B470,Tasks!$C:$C,$G470)*100,0),"")</f>
        <v/>
      </c>
    </row>
    <row r="471" spans="1:8" ht="15" hidden="1" customHeight="1">
      <c r="A471" t="s">
        <v>93</v>
      </c>
      <c r="B471" t="s">
        <v>95</v>
      </c>
      <c r="C471">
        <v>2</v>
      </c>
      <c r="D471">
        <v>1</v>
      </c>
      <c r="E471">
        <v>2</v>
      </c>
      <c r="F471">
        <v>5</v>
      </c>
      <c r="G471" t="s">
        <v>119</v>
      </c>
      <c r="H471" t="str">
        <f>IFERROR(ROUND(COUNTIFS(Tasks!$A:$A,$A471,Tasks!$B:$B,$B471,Tasks!$C:$C,$G471,Tasks!$I:$I,"&lt;="&amp;INDEX(Weeks!$D:$D,MATCH($C471,Weeks!$A:$A,0)),Tasks!$I:$I,"&lt;&gt;")/COUNTIFS(Tasks!$A:$A,$A471,Tasks!$B:$B,$B471,Tasks!$C:$C,$G471)*100,0),"")</f>
        <v/>
      </c>
    </row>
    <row r="472" spans="1:8" ht="15" hidden="1" customHeight="1">
      <c r="A472" t="s">
        <v>93</v>
      </c>
      <c r="B472" t="s">
        <v>95</v>
      </c>
      <c r="C472">
        <v>3</v>
      </c>
      <c r="D472">
        <v>1</v>
      </c>
      <c r="E472">
        <v>3</v>
      </c>
      <c r="F472">
        <v>5</v>
      </c>
      <c r="G472" t="s">
        <v>119</v>
      </c>
      <c r="H472" t="str">
        <f>IFERROR(ROUND(COUNTIFS(Tasks!$A:$A,$A472,Tasks!$B:$B,$B472,Tasks!$C:$C,$G472,Tasks!$I:$I,"&lt;="&amp;INDEX(Weeks!$D:$D,MATCH($C472,Weeks!$A:$A,0)),Tasks!$I:$I,"&lt;&gt;")/COUNTIFS(Tasks!$A:$A,$A472,Tasks!$B:$B,$B472,Tasks!$C:$C,$G472)*100,0),"")</f>
        <v/>
      </c>
    </row>
    <row r="473" spans="1:8" ht="15" hidden="1" customHeight="1">
      <c r="A473" t="s">
        <v>93</v>
      </c>
      <c r="B473" t="s">
        <v>95</v>
      </c>
      <c r="C473">
        <v>4</v>
      </c>
      <c r="D473">
        <v>1</v>
      </c>
      <c r="E473">
        <v>4</v>
      </c>
      <c r="F473">
        <v>5</v>
      </c>
      <c r="G473" t="s">
        <v>119</v>
      </c>
      <c r="H473" t="str">
        <f>IFERROR(ROUND(COUNTIFS(Tasks!$A:$A,$A473,Tasks!$B:$B,$B473,Tasks!$C:$C,$G473,Tasks!$I:$I,"&lt;="&amp;INDEX(Weeks!$D:$D,MATCH($C473,Weeks!$A:$A,0)),Tasks!$I:$I,"&lt;&gt;")/COUNTIFS(Tasks!$A:$A,$A473,Tasks!$B:$B,$B473,Tasks!$C:$C,$G473)*100,0),"")</f>
        <v/>
      </c>
    </row>
    <row r="474" spans="1:8" ht="15" hidden="1" customHeight="1">
      <c r="A474" t="s">
        <v>93</v>
      </c>
      <c r="B474" t="s">
        <v>95</v>
      </c>
      <c r="C474">
        <v>5</v>
      </c>
      <c r="D474">
        <v>1</v>
      </c>
      <c r="E474">
        <v>5</v>
      </c>
      <c r="F474">
        <v>5</v>
      </c>
      <c r="G474" t="s">
        <v>119</v>
      </c>
      <c r="H474" t="str">
        <f>IFERROR(ROUND(COUNTIFS(Tasks!$A:$A,$A474,Tasks!$B:$B,$B474,Tasks!$C:$C,$G474,Tasks!$I:$I,"&lt;="&amp;INDEX(Weeks!$D:$D,MATCH($C474,Weeks!$A:$A,0)),Tasks!$I:$I,"&lt;&gt;")/COUNTIFS(Tasks!$A:$A,$A474,Tasks!$B:$B,$B474,Tasks!$C:$C,$G474)*100,0),"")</f>
        <v/>
      </c>
    </row>
    <row r="475" spans="1:8" ht="15" hidden="1" customHeight="1">
      <c r="A475" t="s">
        <v>93</v>
      </c>
      <c r="B475" t="s">
        <v>95</v>
      </c>
      <c r="C475">
        <v>6</v>
      </c>
      <c r="D475">
        <v>2</v>
      </c>
      <c r="E475">
        <v>1</v>
      </c>
      <c r="F475">
        <v>5</v>
      </c>
      <c r="G475" t="s">
        <v>119</v>
      </c>
      <c r="H475" t="str">
        <f>IFERROR(ROUND(COUNTIFS(Tasks!$A:$A,$A475,Tasks!$B:$B,$B475,Tasks!$C:$C,$G475,Tasks!$I:$I,"&lt;="&amp;INDEX(Weeks!$D:$D,MATCH($C475,Weeks!$A:$A,0)),Tasks!$I:$I,"&lt;&gt;")/COUNTIFS(Tasks!$A:$A,$A475,Tasks!$B:$B,$B475,Tasks!$C:$C,$G475)*100,0),"")</f>
        <v/>
      </c>
    </row>
    <row r="476" spans="1:8" ht="15" hidden="1" customHeight="1">
      <c r="A476" t="s">
        <v>93</v>
      </c>
      <c r="B476" t="s">
        <v>95</v>
      </c>
      <c r="C476">
        <v>7</v>
      </c>
      <c r="D476">
        <v>2</v>
      </c>
      <c r="E476">
        <v>2</v>
      </c>
      <c r="F476">
        <v>5</v>
      </c>
      <c r="G476" t="s">
        <v>119</v>
      </c>
      <c r="H476" t="str">
        <f>IFERROR(ROUND(COUNTIFS(Tasks!$A:$A,$A476,Tasks!$B:$B,$B476,Tasks!$C:$C,$G476,Tasks!$I:$I,"&lt;="&amp;INDEX(Weeks!$D:$D,MATCH($C476,Weeks!$A:$A,0)),Tasks!$I:$I,"&lt;&gt;")/COUNTIFS(Tasks!$A:$A,$A476,Tasks!$B:$B,$B476,Tasks!$C:$C,$G476)*100,0),"")</f>
        <v/>
      </c>
    </row>
    <row r="477" spans="1:8" ht="15" hidden="1" customHeight="1">
      <c r="A477" t="s">
        <v>93</v>
      </c>
      <c r="B477" t="s">
        <v>95</v>
      </c>
      <c r="C477">
        <v>8</v>
      </c>
      <c r="D477">
        <v>2</v>
      </c>
      <c r="E477">
        <v>3</v>
      </c>
      <c r="F477">
        <v>5</v>
      </c>
      <c r="G477" t="s">
        <v>119</v>
      </c>
      <c r="H477" t="str">
        <f>IFERROR(ROUND(COUNTIFS(Tasks!$A:$A,$A477,Tasks!$B:$B,$B477,Tasks!$C:$C,$G477,Tasks!$I:$I,"&lt;="&amp;INDEX(Weeks!$D:$D,MATCH($C477,Weeks!$A:$A,0)),Tasks!$I:$I,"&lt;&gt;")/COUNTIFS(Tasks!$A:$A,$A477,Tasks!$B:$B,$B477,Tasks!$C:$C,$G477)*100,0),"")</f>
        <v/>
      </c>
    </row>
    <row r="478" spans="1:8" ht="15" hidden="1" customHeight="1">
      <c r="A478" t="s">
        <v>93</v>
      </c>
      <c r="B478" t="s">
        <v>95</v>
      </c>
      <c r="C478">
        <v>9</v>
      </c>
      <c r="D478">
        <v>2</v>
      </c>
      <c r="E478">
        <v>4</v>
      </c>
      <c r="F478">
        <v>5</v>
      </c>
      <c r="G478" t="s">
        <v>119</v>
      </c>
      <c r="H478" t="str">
        <f>IFERROR(ROUND(COUNTIFS(Tasks!$A:$A,$A478,Tasks!$B:$B,$B478,Tasks!$C:$C,$G478,Tasks!$I:$I,"&lt;="&amp;INDEX(Weeks!$D:$D,MATCH($C478,Weeks!$A:$A,0)),Tasks!$I:$I,"&lt;&gt;")/COUNTIFS(Tasks!$A:$A,$A478,Tasks!$B:$B,$B478,Tasks!$C:$C,$G478)*100,0),"")</f>
        <v/>
      </c>
    </row>
    <row r="479" spans="1:8" ht="15" hidden="1" customHeight="1">
      <c r="A479" t="s">
        <v>93</v>
      </c>
      <c r="B479" t="s">
        <v>95</v>
      </c>
      <c r="C479">
        <v>10</v>
      </c>
      <c r="D479">
        <v>3</v>
      </c>
      <c r="E479">
        <v>1</v>
      </c>
      <c r="F479">
        <v>5</v>
      </c>
      <c r="G479" t="s">
        <v>119</v>
      </c>
      <c r="H479" t="str">
        <f>IFERROR(ROUND(COUNTIFS(Tasks!$A:$A,$A479,Tasks!$B:$B,$B479,Tasks!$C:$C,$G479,Tasks!$I:$I,"&lt;="&amp;INDEX(Weeks!$D:$D,MATCH($C479,Weeks!$A:$A,0)),Tasks!$I:$I,"&lt;&gt;")/COUNTIFS(Tasks!$A:$A,$A479,Tasks!$B:$B,$B479,Tasks!$C:$C,$G479)*100,0),"")</f>
        <v/>
      </c>
    </row>
    <row r="480" spans="1:8" ht="15" hidden="1" customHeight="1">
      <c r="A480" t="s">
        <v>93</v>
      </c>
      <c r="B480" t="s">
        <v>95</v>
      </c>
      <c r="C480">
        <v>11</v>
      </c>
      <c r="D480">
        <v>3</v>
      </c>
      <c r="E480">
        <v>2</v>
      </c>
      <c r="F480">
        <v>5</v>
      </c>
      <c r="G480" t="s">
        <v>119</v>
      </c>
      <c r="H480" t="str">
        <f>IFERROR(ROUND(COUNTIFS(Tasks!$A:$A,$A480,Tasks!$B:$B,$B480,Tasks!$C:$C,$G480,Tasks!$I:$I,"&lt;="&amp;INDEX(Weeks!$D:$D,MATCH($C480,Weeks!$A:$A,0)),Tasks!$I:$I,"&lt;&gt;")/COUNTIFS(Tasks!$A:$A,$A480,Tasks!$B:$B,$B480,Tasks!$C:$C,$G480)*100,0),"")</f>
        <v/>
      </c>
    </row>
    <row r="481" spans="1:8" ht="15" hidden="1" customHeight="1">
      <c r="A481" t="s">
        <v>93</v>
      </c>
      <c r="B481" t="s">
        <v>95</v>
      </c>
      <c r="C481">
        <v>12</v>
      </c>
      <c r="D481">
        <v>3</v>
      </c>
      <c r="E481">
        <v>3</v>
      </c>
      <c r="F481">
        <v>5</v>
      </c>
      <c r="G481" t="s">
        <v>119</v>
      </c>
      <c r="H481" t="str">
        <f>IFERROR(ROUND(COUNTIFS(Tasks!$A:$A,$A481,Tasks!$B:$B,$B481,Tasks!$C:$C,$G481,Tasks!$I:$I,"&lt;="&amp;INDEX(Weeks!$D:$D,MATCH($C481,Weeks!$A:$A,0)),Tasks!$I:$I,"&lt;&gt;")/COUNTIFS(Tasks!$A:$A,$A481,Tasks!$B:$B,$B481,Tasks!$C:$C,$G481)*100,0),"")</f>
        <v/>
      </c>
    </row>
    <row r="482" spans="1:8" ht="15" hidden="1" customHeight="1">
      <c r="A482" t="s">
        <v>93</v>
      </c>
      <c r="B482" t="s">
        <v>95</v>
      </c>
      <c r="C482">
        <v>13</v>
      </c>
      <c r="D482">
        <v>3</v>
      </c>
      <c r="E482">
        <v>4</v>
      </c>
      <c r="F482">
        <v>5</v>
      </c>
      <c r="G482" t="s">
        <v>119</v>
      </c>
      <c r="H482" t="str">
        <f>IFERROR(ROUND(COUNTIFS(Tasks!$A:$A,$A482,Tasks!$B:$B,$B482,Tasks!$C:$C,$G482,Tasks!$I:$I,"&lt;="&amp;INDEX(Weeks!$D:$D,MATCH($C482,Weeks!$A:$A,0)),Tasks!$I:$I,"&lt;&gt;")/COUNTIFS(Tasks!$A:$A,$A482,Tasks!$B:$B,$B482,Tasks!$C:$C,$G482)*100,0),"")</f>
        <v/>
      </c>
    </row>
    <row r="483" spans="1:8" ht="15" hidden="1" customHeight="1">
      <c r="A483" t="s">
        <v>93</v>
      </c>
      <c r="B483" t="s">
        <v>95</v>
      </c>
      <c r="C483">
        <v>14</v>
      </c>
      <c r="D483">
        <v>4</v>
      </c>
      <c r="E483">
        <v>1</v>
      </c>
      <c r="F483">
        <v>5</v>
      </c>
      <c r="G483" t="s">
        <v>119</v>
      </c>
      <c r="H483" t="str">
        <f>IFERROR(ROUND(COUNTIFS(Tasks!$A:$A,$A483,Tasks!$B:$B,$B483,Tasks!$C:$C,$G483,Tasks!$I:$I,"&lt;="&amp;INDEX(Weeks!$D:$D,MATCH($C483,Weeks!$A:$A,0)),Tasks!$I:$I,"&lt;&gt;")/COUNTIFS(Tasks!$A:$A,$A483,Tasks!$B:$B,$B483,Tasks!$C:$C,$G483)*100,0),"")</f>
        <v/>
      </c>
    </row>
    <row r="484" spans="1:8" ht="15" hidden="1" customHeight="1">
      <c r="A484" t="s">
        <v>93</v>
      </c>
      <c r="B484" t="s">
        <v>95</v>
      </c>
      <c r="C484">
        <v>15</v>
      </c>
      <c r="D484">
        <v>4</v>
      </c>
      <c r="E484">
        <v>2</v>
      </c>
      <c r="F484">
        <v>5</v>
      </c>
      <c r="G484" t="s">
        <v>119</v>
      </c>
      <c r="H484" t="str">
        <f>IFERROR(ROUND(COUNTIFS(Tasks!$A:$A,$A484,Tasks!$B:$B,$B484,Tasks!$C:$C,$G484,Tasks!$I:$I,"&lt;="&amp;INDEX(Weeks!$D:$D,MATCH($C484,Weeks!$A:$A,0)),Tasks!$I:$I,"&lt;&gt;")/COUNTIFS(Tasks!$A:$A,$A484,Tasks!$B:$B,$B484,Tasks!$C:$C,$G484)*100,0),"")</f>
        <v/>
      </c>
    </row>
    <row r="485" spans="1:8" ht="15" hidden="1" customHeight="1">
      <c r="A485" t="s">
        <v>93</v>
      </c>
      <c r="B485" t="s">
        <v>95</v>
      </c>
      <c r="C485">
        <v>16</v>
      </c>
      <c r="D485">
        <v>4</v>
      </c>
      <c r="E485">
        <v>3</v>
      </c>
      <c r="F485">
        <v>5</v>
      </c>
      <c r="G485" t="s">
        <v>119</v>
      </c>
      <c r="H485" t="str">
        <f>IFERROR(ROUND(COUNTIFS(Tasks!$A:$A,$A485,Tasks!$B:$B,$B485,Tasks!$C:$C,$G485,Tasks!$I:$I,"&lt;="&amp;INDEX(Weeks!$D:$D,MATCH($C485,Weeks!$A:$A,0)),Tasks!$I:$I,"&lt;&gt;")/COUNTIFS(Tasks!$A:$A,$A485,Tasks!$B:$B,$B485,Tasks!$C:$C,$G485)*100,0),"")</f>
        <v/>
      </c>
    </row>
    <row r="486" spans="1:8" ht="15" hidden="1" customHeight="1">
      <c r="A486" t="s">
        <v>93</v>
      </c>
      <c r="B486" t="s">
        <v>95</v>
      </c>
      <c r="C486">
        <v>17</v>
      </c>
      <c r="D486">
        <v>4</v>
      </c>
      <c r="E486">
        <v>4</v>
      </c>
      <c r="F486">
        <v>5</v>
      </c>
      <c r="G486" t="s">
        <v>119</v>
      </c>
      <c r="H486" t="str">
        <f>IFERROR(ROUND(COUNTIFS(Tasks!$A:$A,$A486,Tasks!$B:$B,$B486,Tasks!$C:$C,$G486,Tasks!$I:$I,"&lt;="&amp;INDEX(Weeks!$D:$D,MATCH($C486,Weeks!$A:$A,0)),Tasks!$I:$I,"&lt;&gt;")/COUNTIFS(Tasks!$A:$A,$A486,Tasks!$B:$B,$B486,Tasks!$C:$C,$G486)*100,0),"")</f>
        <v/>
      </c>
    </row>
    <row r="487" spans="1:8" ht="15" hidden="1" customHeight="1">
      <c r="A487" t="s">
        <v>93</v>
      </c>
      <c r="B487" t="s">
        <v>95</v>
      </c>
      <c r="C487">
        <v>18</v>
      </c>
      <c r="D487">
        <v>5</v>
      </c>
      <c r="E487">
        <v>1</v>
      </c>
      <c r="F487">
        <v>5</v>
      </c>
      <c r="G487" t="s">
        <v>119</v>
      </c>
      <c r="H487" t="str">
        <f>IFERROR(ROUND(COUNTIFS(Tasks!$A:$A,$A487,Tasks!$B:$B,$B487,Tasks!$C:$C,$G487,Tasks!$I:$I,"&lt;="&amp;INDEX(Weeks!$D:$D,MATCH($C487,Weeks!$A:$A,0)),Tasks!$I:$I,"&lt;&gt;")/COUNTIFS(Tasks!$A:$A,$A487,Tasks!$B:$B,$B487,Tasks!$C:$C,$G487)*100,0),"")</f>
        <v/>
      </c>
    </row>
    <row r="488" spans="1:8" ht="15" hidden="1" customHeight="1">
      <c r="A488" t="s">
        <v>93</v>
      </c>
      <c r="B488" t="s">
        <v>95</v>
      </c>
      <c r="C488">
        <v>19</v>
      </c>
      <c r="D488">
        <v>5</v>
      </c>
      <c r="E488">
        <v>2</v>
      </c>
      <c r="F488">
        <v>5</v>
      </c>
      <c r="G488" t="s">
        <v>119</v>
      </c>
      <c r="H488" t="str">
        <f>IFERROR(ROUND(COUNTIFS(Tasks!$A:$A,$A488,Tasks!$B:$B,$B488,Tasks!$C:$C,$G488,Tasks!$I:$I,"&lt;="&amp;INDEX(Weeks!$D:$D,MATCH($C488,Weeks!$A:$A,0)),Tasks!$I:$I,"&lt;&gt;")/COUNTIFS(Tasks!$A:$A,$A488,Tasks!$B:$B,$B488,Tasks!$C:$C,$G488)*100,0),"")</f>
        <v/>
      </c>
    </row>
    <row r="489" spans="1:8" ht="15" hidden="1" customHeight="1">
      <c r="A489" t="s">
        <v>93</v>
      </c>
      <c r="B489" t="s">
        <v>95</v>
      </c>
      <c r="C489">
        <v>20</v>
      </c>
      <c r="D489">
        <v>5</v>
      </c>
      <c r="E489">
        <v>3</v>
      </c>
      <c r="F489">
        <v>5</v>
      </c>
      <c r="G489" t="s">
        <v>119</v>
      </c>
      <c r="H489" t="str">
        <f>IFERROR(ROUND(COUNTIFS(Tasks!$A:$A,$A489,Tasks!$B:$B,$B489,Tasks!$C:$C,$G489,Tasks!$I:$I,"&lt;="&amp;INDEX(Weeks!$D:$D,MATCH($C489,Weeks!$A:$A,0)),Tasks!$I:$I,"&lt;&gt;")/COUNTIFS(Tasks!$A:$A,$A489,Tasks!$B:$B,$B489,Tasks!$C:$C,$G489)*100,0),"")</f>
        <v/>
      </c>
    </row>
    <row r="490" spans="1:8" ht="15" hidden="1" customHeight="1">
      <c r="A490" t="s">
        <v>93</v>
      </c>
      <c r="B490" t="s">
        <v>95</v>
      </c>
      <c r="C490">
        <v>21</v>
      </c>
      <c r="D490">
        <v>5</v>
      </c>
      <c r="E490">
        <v>4</v>
      </c>
      <c r="F490">
        <v>5</v>
      </c>
      <c r="G490" t="s">
        <v>119</v>
      </c>
      <c r="H490" t="str">
        <f>IFERROR(ROUND(COUNTIFS(Tasks!$A:$A,$A490,Tasks!$B:$B,$B490,Tasks!$C:$C,$G490,Tasks!$I:$I,"&lt;="&amp;INDEX(Weeks!$D:$D,MATCH($C490,Weeks!$A:$A,0)),Tasks!$I:$I,"&lt;&gt;")/COUNTIFS(Tasks!$A:$A,$A490,Tasks!$B:$B,$B490,Tasks!$C:$C,$G490)*100,0),"")</f>
        <v/>
      </c>
    </row>
    <row r="491" spans="1:8" ht="15" hidden="1" customHeight="1">
      <c r="A491" t="s">
        <v>93</v>
      </c>
      <c r="B491" t="s">
        <v>95</v>
      </c>
      <c r="C491">
        <v>22</v>
      </c>
      <c r="D491">
        <v>5</v>
      </c>
      <c r="E491">
        <v>5</v>
      </c>
      <c r="F491">
        <v>5</v>
      </c>
      <c r="G491" t="s">
        <v>119</v>
      </c>
      <c r="H491" t="str">
        <f>IFERROR(ROUND(COUNTIFS(Tasks!$A:$A,$A491,Tasks!$B:$B,$B491,Tasks!$C:$C,$G491,Tasks!$I:$I,"&lt;="&amp;INDEX(Weeks!$D:$D,MATCH($C491,Weeks!$A:$A,0)),Tasks!$I:$I,"&lt;&gt;")/COUNTIFS(Tasks!$A:$A,$A491,Tasks!$B:$B,$B491,Tasks!$C:$C,$G491)*100,0),"")</f>
        <v/>
      </c>
    </row>
    <row r="492" spans="1:8" ht="15" hidden="1" customHeight="1">
      <c r="A492" t="s">
        <v>93</v>
      </c>
      <c r="B492" t="s">
        <v>95</v>
      </c>
      <c r="C492">
        <v>23</v>
      </c>
      <c r="D492">
        <v>6</v>
      </c>
      <c r="E492">
        <v>1</v>
      </c>
      <c r="F492">
        <v>5</v>
      </c>
      <c r="G492" t="s">
        <v>119</v>
      </c>
      <c r="H492" t="str">
        <f>IFERROR(ROUND(COUNTIFS(Tasks!$A:$A,$A492,Tasks!$B:$B,$B492,Tasks!$C:$C,$G492,Tasks!$I:$I,"&lt;="&amp;INDEX(Weeks!$D:$D,MATCH($C492,Weeks!$A:$A,0)),Tasks!$I:$I,"&lt;&gt;")/COUNTIFS(Tasks!$A:$A,$A492,Tasks!$B:$B,$B492,Tasks!$C:$C,$G492)*100,0),"")</f>
        <v/>
      </c>
    </row>
    <row r="493" spans="1:8" ht="15" hidden="1" customHeight="1">
      <c r="A493" t="s">
        <v>93</v>
      </c>
      <c r="B493" t="s">
        <v>95</v>
      </c>
      <c r="C493">
        <v>24</v>
      </c>
      <c r="D493">
        <v>6</v>
      </c>
      <c r="E493">
        <v>2</v>
      </c>
      <c r="F493">
        <v>5</v>
      </c>
      <c r="G493" t="s">
        <v>119</v>
      </c>
      <c r="H493" t="str">
        <f>IFERROR(ROUND(COUNTIFS(Tasks!$A:$A,$A493,Tasks!$B:$B,$B493,Tasks!$C:$C,$G493,Tasks!$I:$I,"&lt;="&amp;INDEX(Weeks!$D:$D,MATCH($C493,Weeks!$A:$A,0)),Tasks!$I:$I,"&lt;&gt;")/COUNTIFS(Tasks!$A:$A,$A493,Tasks!$B:$B,$B493,Tasks!$C:$C,$G493)*100,0),"")</f>
        <v/>
      </c>
    </row>
    <row r="494" spans="1:8" ht="15" hidden="1" customHeight="1">
      <c r="A494" t="s">
        <v>93</v>
      </c>
      <c r="B494" t="s">
        <v>95</v>
      </c>
      <c r="C494">
        <v>25</v>
      </c>
      <c r="D494">
        <v>6</v>
      </c>
      <c r="E494">
        <v>3</v>
      </c>
      <c r="F494">
        <v>5</v>
      </c>
      <c r="G494" t="s">
        <v>119</v>
      </c>
      <c r="H494" t="str">
        <f>IFERROR(ROUND(COUNTIFS(Tasks!$A:$A,$A494,Tasks!$B:$B,$B494,Tasks!$C:$C,$G494,Tasks!$I:$I,"&lt;="&amp;INDEX(Weeks!$D:$D,MATCH($C494,Weeks!$A:$A,0)),Tasks!$I:$I,"&lt;&gt;")/COUNTIFS(Tasks!$A:$A,$A494,Tasks!$B:$B,$B494,Tasks!$C:$C,$G494)*100,0),"")</f>
        <v/>
      </c>
    </row>
    <row r="495" spans="1:8" ht="15" hidden="1" customHeight="1">
      <c r="A495" t="s">
        <v>93</v>
      </c>
      <c r="B495" t="s">
        <v>95</v>
      </c>
      <c r="C495">
        <v>26</v>
      </c>
      <c r="D495">
        <v>6</v>
      </c>
      <c r="E495">
        <v>4</v>
      </c>
      <c r="F495">
        <v>5</v>
      </c>
      <c r="G495" t="s">
        <v>119</v>
      </c>
      <c r="H495" t="str">
        <f>IFERROR(ROUND(COUNTIFS(Tasks!$A:$A,$A495,Tasks!$B:$B,$B495,Tasks!$C:$C,$G495,Tasks!$I:$I,"&lt;="&amp;INDEX(Weeks!$D:$D,MATCH($C495,Weeks!$A:$A,0)),Tasks!$I:$I,"&lt;&gt;")/COUNTIFS(Tasks!$A:$A,$A495,Tasks!$B:$B,$B495,Tasks!$C:$C,$G495)*100,0),"")</f>
        <v/>
      </c>
    </row>
    <row r="496" spans="1:8" ht="15" hidden="1" customHeight="1">
      <c r="A496" t="s">
        <v>93</v>
      </c>
      <c r="B496" t="s">
        <v>95</v>
      </c>
      <c r="C496">
        <v>27</v>
      </c>
      <c r="D496">
        <v>7</v>
      </c>
      <c r="E496">
        <v>1</v>
      </c>
      <c r="F496">
        <v>5</v>
      </c>
      <c r="G496" t="s">
        <v>119</v>
      </c>
      <c r="H496" t="str">
        <f>IFERROR(ROUND(COUNTIFS(Tasks!$A:$A,$A496,Tasks!$B:$B,$B496,Tasks!$C:$C,$G496,Tasks!$I:$I,"&lt;="&amp;INDEX(Weeks!$D:$D,MATCH($C496,Weeks!$A:$A,0)),Tasks!$I:$I,"&lt;&gt;")/COUNTIFS(Tasks!$A:$A,$A496,Tasks!$B:$B,$B496,Tasks!$C:$C,$G496)*100,0),"")</f>
        <v/>
      </c>
    </row>
    <row r="497" spans="1:8" ht="15" hidden="1" customHeight="1">
      <c r="A497" t="s">
        <v>93</v>
      </c>
      <c r="B497" t="s">
        <v>95</v>
      </c>
      <c r="C497">
        <v>28</v>
      </c>
      <c r="D497">
        <v>7</v>
      </c>
      <c r="E497">
        <v>2</v>
      </c>
      <c r="F497">
        <v>5</v>
      </c>
      <c r="G497" t="s">
        <v>119</v>
      </c>
      <c r="H497" t="str">
        <f>IFERROR(ROUND(COUNTIFS(Tasks!$A:$A,$A497,Tasks!$B:$B,$B497,Tasks!$C:$C,$G497,Tasks!$I:$I,"&lt;="&amp;INDEX(Weeks!$D:$D,MATCH($C497,Weeks!$A:$A,0)),Tasks!$I:$I,"&lt;&gt;")/COUNTIFS(Tasks!$A:$A,$A497,Tasks!$B:$B,$B497,Tasks!$C:$C,$G497)*100,0),"")</f>
        <v/>
      </c>
    </row>
    <row r="498" spans="1:8" ht="15" hidden="1" customHeight="1">
      <c r="A498" t="s">
        <v>93</v>
      </c>
      <c r="B498" t="s">
        <v>95</v>
      </c>
      <c r="C498">
        <v>29</v>
      </c>
      <c r="D498">
        <v>7</v>
      </c>
      <c r="E498">
        <v>3</v>
      </c>
      <c r="F498">
        <v>5</v>
      </c>
      <c r="G498" t="s">
        <v>119</v>
      </c>
      <c r="H498" t="str">
        <f>IFERROR(ROUND(COUNTIFS(Tasks!$A:$A,$A498,Tasks!$B:$B,$B498,Tasks!$C:$C,$G498,Tasks!$I:$I,"&lt;="&amp;INDEX(Weeks!$D:$D,MATCH($C498,Weeks!$A:$A,0)),Tasks!$I:$I,"&lt;&gt;")/COUNTIFS(Tasks!$A:$A,$A498,Tasks!$B:$B,$B498,Tasks!$C:$C,$G498)*100,0),"")</f>
        <v/>
      </c>
    </row>
    <row r="499" spans="1:8" ht="15" hidden="1" customHeight="1">
      <c r="A499" t="s">
        <v>93</v>
      </c>
      <c r="B499" t="s">
        <v>95</v>
      </c>
      <c r="C499">
        <v>30</v>
      </c>
      <c r="D499">
        <v>7</v>
      </c>
      <c r="E499">
        <v>4</v>
      </c>
      <c r="F499">
        <v>5</v>
      </c>
      <c r="G499" t="s">
        <v>119</v>
      </c>
      <c r="H499" t="str">
        <f>IFERROR(ROUND(COUNTIFS(Tasks!$A:$A,$A499,Tasks!$B:$B,$B499,Tasks!$C:$C,$G499,Tasks!$I:$I,"&lt;="&amp;INDEX(Weeks!$D:$D,MATCH($C499,Weeks!$A:$A,0)),Tasks!$I:$I,"&lt;&gt;")/COUNTIFS(Tasks!$A:$A,$A499,Tasks!$B:$B,$B499,Tasks!$C:$C,$G499)*100,0),"")</f>
        <v/>
      </c>
    </row>
    <row r="500" spans="1:8" ht="15" hidden="1" customHeight="1">
      <c r="A500" t="s">
        <v>93</v>
      </c>
      <c r="B500" t="s">
        <v>95</v>
      </c>
      <c r="C500">
        <v>31</v>
      </c>
      <c r="D500">
        <v>8</v>
      </c>
      <c r="E500">
        <v>1</v>
      </c>
      <c r="F500">
        <v>5</v>
      </c>
      <c r="G500" t="s">
        <v>119</v>
      </c>
      <c r="H500" t="str">
        <f>IFERROR(ROUND(COUNTIFS(Tasks!$A:$A,$A500,Tasks!$B:$B,$B500,Tasks!$C:$C,$G500,Tasks!$I:$I,"&lt;="&amp;INDEX(Weeks!$D:$D,MATCH($C500,Weeks!$A:$A,0)),Tasks!$I:$I,"&lt;&gt;")/COUNTIFS(Tasks!$A:$A,$A500,Tasks!$B:$B,$B500,Tasks!$C:$C,$G500)*100,0),"")</f>
        <v/>
      </c>
    </row>
    <row r="501" spans="1:8" ht="15" hidden="1" customHeight="1">
      <c r="A501" t="s">
        <v>93</v>
      </c>
      <c r="B501" t="s">
        <v>95</v>
      </c>
      <c r="C501">
        <v>32</v>
      </c>
      <c r="D501">
        <v>8</v>
      </c>
      <c r="E501">
        <v>2</v>
      </c>
      <c r="F501">
        <v>5</v>
      </c>
      <c r="G501" t="s">
        <v>119</v>
      </c>
      <c r="H501" t="str">
        <f>IFERROR(ROUND(COUNTIFS(Tasks!$A:$A,$A501,Tasks!$B:$B,$B501,Tasks!$C:$C,$G501,Tasks!$I:$I,"&lt;="&amp;INDEX(Weeks!$D:$D,MATCH($C501,Weeks!$A:$A,0)),Tasks!$I:$I,"&lt;&gt;")/COUNTIFS(Tasks!$A:$A,$A501,Tasks!$B:$B,$B501,Tasks!$C:$C,$G501)*100,0),"")</f>
        <v/>
      </c>
    </row>
    <row r="502" spans="1:8" ht="15" hidden="1" customHeight="1">
      <c r="A502" t="s">
        <v>93</v>
      </c>
      <c r="B502" t="s">
        <v>95</v>
      </c>
      <c r="C502">
        <v>33</v>
      </c>
      <c r="D502">
        <v>8</v>
      </c>
      <c r="E502">
        <v>3</v>
      </c>
      <c r="F502">
        <v>5</v>
      </c>
      <c r="G502" t="s">
        <v>119</v>
      </c>
      <c r="H502" t="str">
        <f>IFERROR(ROUND(COUNTIFS(Tasks!$A:$A,$A502,Tasks!$B:$B,$B502,Tasks!$C:$C,$G502,Tasks!$I:$I,"&lt;="&amp;INDEX(Weeks!$D:$D,MATCH($C502,Weeks!$A:$A,0)),Tasks!$I:$I,"&lt;&gt;")/COUNTIFS(Tasks!$A:$A,$A502,Tasks!$B:$B,$B502,Tasks!$C:$C,$G502)*100,0),"")</f>
        <v/>
      </c>
    </row>
    <row r="503" spans="1:8" ht="15" hidden="1" customHeight="1">
      <c r="A503" t="s">
        <v>93</v>
      </c>
      <c r="B503" t="s">
        <v>95</v>
      </c>
      <c r="C503">
        <v>34</v>
      </c>
      <c r="D503">
        <v>8</v>
      </c>
      <c r="E503">
        <v>4</v>
      </c>
      <c r="F503">
        <v>5</v>
      </c>
      <c r="G503" t="s">
        <v>119</v>
      </c>
      <c r="H503" t="str">
        <f>IFERROR(ROUND(COUNTIFS(Tasks!$A:$A,$A503,Tasks!$B:$B,$B503,Tasks!$C:$C,$G503,Tasks!$I:$I,"&lt;="&amp;INDEX(Weeks!$D:$D,MATCH($C503,Weeks!$A:$A,0)),Tasks!$I:$I,"&lt;&gt;")/COUNTIFS(Tasks!$A:$A,$A503,Tasks!$B:$B,$B503,Tasks!$C:$C,$G503)*100,0),"")</f>
        <v/>
      </c>
    </row>
    <row r="504" spans="1:8" ht="15" hidden="1" customHeight="1">
      <c r="A504" t="s">
        <v>93</v>
      </c>
      <c r="B504" t="s">
        <v>95</v>
      </c>
      <c r="C504">
        <v>35</v>
      </c>
      <c r="D504">
        <v>8</v>
      </c>
      <c r="E504">
        <v>5</v>
      </c>
      <c r="F504">
        <v>5</v>
      </c>
      <c r="G504" t="s">
        <v>119</v>
      </c>
      <c r="H504" t="str">
        <f>IFERROR(ROUND(COUNTIFS(Tasks!$A:$A,$A504,Tasks!$B:$B,$B504,Tasks!$C:$C,$G504,Tasks!$I:$I,"&lt;="&amp;INDEX(Weeks!$D:$D,MATCH($C504,Weeks!$A:$A,0)),Tasks!$I:$I,"&lt;&gt;")/COUNTIFS(Tasks!$A:$A,$A504,Tasks!$B:$B,$B504,Tasks!$C:$C,$G504)*100,0),"")</f>
        <v/>
      </c>
    </row>
    <row r="505" spans="1:8" ht="15" hidden="1" customHeight="1">
      <c r="A505" t="s">
        <v>93</v>
      </c>
      <c r="B505" t="s">
        <v>95</v>
      </c>
      <c r="C505">
        <v>36</v>
      </c>
      <c r="D505">
        <v>9</v>
      </c>
      <c r="E505">
        <v>1</v>
      </c>
      <c r="F505">
        <v>5</v>
      </c>
      <c r="G505" t="s">
        <v>119</v>
      </c>
      <c r="H505" t="str">
        <f>IFERROR(ROUND(COUNTIFS(Tasks!$A:$A,$A505,Tasks!$B:$B,$B505,Tasks!$C:$C,$G505,Tasks!$I:$I,"&lt;="&amp;INDEX(Weeks!$D:$D,MATCH($C505,Weeks!$A:$A,0)),Tasks!$I:$I,"&lt;&gt;")/COUNTIFS(Tasks!$A:$A,$A505,Tasks!$B:$B,$B505,Tasks!$C:$C,$G505)*100,0),"")</f>
        <v/>
      </c>
    </row>
    <row r="506" spans="1:8" ht="15" hidden="1" customHeight="1">
      <c r="A506" t="s">
        <v>93</v>
      </c>
      <c r="B506" t="s">
        <v>95</v>
      </c>
      <c r="C506">
        <v>37</v>
      </c>
      <c r="D506">
        <v>9</v>
      </c>
      <c r="E506">
        <v>2</v>
      </c>
      <c r="F506">
        <v>5</v>
      </c>
      <c r="G506" t="s">
        <v>119</v>
      </c>
      <c r="H506" t="str">
        <f>IFERROR(ROUND(COUNTIFS(Tasks!$A:$A,$A506,Tasks!$B:$B,$B506,Tasks!$C:$C,$G506,Tasks!$I:$I,"&lt;="&amp;INDEX(Weeks!$D:$D,MATCH($C506,Weeks!$A:$A,0)),Tasks!$I:$I,"&lt;&gt;")/COUNTIFS(Tasks!$A:$A,$A506,Tasks!$B:$B,$B506,Tasks!$C:$C,$G506)*100,0),"")</f>
        <v/>
      </c>
    </row>
    <row r="507" spans="1:8" ht="15" hidden="1" customHeight="1">
      <c r="A507" t="s">
        <v>93</v>
      </c>
      <c r="B507" t="s">
        <v>95</v>
      </c>
      <c r="C507">
        <v>38</v>
      </c>
      <c r="D507">
        <v>9</v>
      </c>
      <c r="E507">
        <v>3</v>
      </c>
      <c r="F507">
        <v>5</v>
      </c>
      <c r="G507" t="s">
        <v>119</v>
      </c>
      <c r="H507" t="str">
        <f>IFERROR(ROUND(COUNTIFS(Tasks!$A:$A,$A507,Tasks!$B:$B,$B507,Tasks!$C:$C,$G507,Tasks!$I:$I,"&lt;="&amp;INDEX(Weeks!$D:$D,MATCH($C507,Weeks!$A:$A,0)),Tasks!$I:$I,"&lt;&gt;")/COUNTIFS(Tasks!$A:$A,$A507,Tasks!$B:$B,$B507,Tasks!$C:$C,$G507)*100,0),"")</f>
        <v/>
      </c>
    </row>
    <row r="508" spans="1:8" ht="15" hidden="1" customHeight="1">
      <c r="A508" t="s">
        <v>93</v>
      </c>
      <c r="B508" t="s">
        <v>95</v>
      </c>
      <c r="C508">
        <v>39</v>
      </c>
      <c r="D508">
        <v>9</v>
      </c>
      <c r="E508">
        <v>4</v>
      </c>
      <c r="F508">
        <v>5</v>
      </c>
      <c r="G508" t="s">
        <v>119</v>
      </c>
      <c r="H508" t="str">
        <f>IFERROR(ROUND(COUNTIFS(Tasks!$A:$A,$A508,Tasks!$B:$B,$B508,Tasks!$C:$C,$G508,Tasks!$I:$I,"&lt;="&amp;INDEX(Weeks!$D:$D,MATCH($C508,Weeks!$A:$A,0)),Tasks!$I:$I,"&lt;&gt;")/COUNTIFS(Tasks!$A:$A,$A508,Tasks!$B:$B,$B508,Tasks!$C:$C,$G508)*100,0),"")</f>
        <v/>
      </c>
    </row>
    <row r="509" spans="1:8" ht="15" hidden="1" customHeight="1">
      <c r="A509" t="s">
        <v>93</v>
      </c>
      <c r="B509" t="s">
        <v>95</v>
      </c>
      <c r="C509">
        <v>40</v>
      </c>
      <c r="D509">
        <v>10</v>
      </c>
      <c r="E509">
        <v>1</v>
      </c>
      <c r="F509">
        <v>5</v>
      </c>
      <c r="G509" t="s">
        <v>119</v>
      </c>
      <c r="H509" t="str">
        <f>IFERROR(ROUND(COUNTIFS(Tasks!$A:$A,$A509,Tasks!$B:$B,$B509,Tasks!$C:$C,$G509,Tasks!$I:$I,"&lt;="&amp;INDEX(Weeks!$D:$D,MATCH($C509,Weeks!$A:$A,0)),Tasks!$I:$I,"&lt;&gt;")/COUNTIFS(Tasks!$A:$A,$A509,Tasks!$B:$B,$B509,Tasks!$C:$C,$G509)*100,0),"")</f>
        <v/>
      </c>
    </row>
    <row r="510" spans="1:8" ht="15" hidden="1" customHeight="1">
      <c r="A510" t="s">
        <v>93</v>
      </c>
      <c r="B510" t="s">
        <v>95</v>
      </c>
      <c r="C510">
        <v>41</v>
      </c>
      <c r="D510">
        <v>10</v>
      </c>
      <c r="E510">
        <v>2</v>
      </c>
      <c r="F510">
        <v>5</v>
      </c>
      <c r="G510" t="s">
        <v>119</v>
      </c>
      <c r="H510" t="str">
        <f>IFERROR(ROUND(COUNTIFS(Tasks!$A:$A,$A510,Tasks!$B:$B,$B510,Tasks!$C:$C,$G510,Tasks!$I:$I,"&lt;="&amp;INDEX(Weeks!$D:$D,MATCH($C510,Weeks!$A:$A,0)),Tasks!$I:$I,"&lt;&gt;")/COUNTIFS(Tasks!$A:$A,$A510,Tasks!$B:$B,$B510,Tasks!$C:$C,$G510)*100,0),"")</f>
        <v/>
      </c>
    </row>
    <row r="511" spans="1:8" ht="15" hidden="1" customHeight="1">
      <c r="A511" t="s">
        <v>93</v>
      </c>
      <c r="B511" t="s">
        <v>95</v>
      </c>
      <c r="C511">
        <v>42</v>
      </c>
      <c r="D511">
        <v>10</v>
      </c>
      <c r="E511">
        <v>3</v>
      </c>
      <c r="F511">
        <v>5</v>
      </c>
      <c r="G511" t="s">
        <v>119</v>
      </c>
      <c r="H511" t="str">
        <f>IFERROR(ROUND(COUNTIFS(Tasks!$A:$A,$A511,Tasks!$B:$B,$B511,Tasks!$C:$C,$G511,Tasks!$I:$I,"&lt;="&amp;INDEX(Weeks!$D:$D,MATCH($C511,Weeks!$A:$A,0)),Tasks!$I:$I,"&lt;&gt;")/COUNTIFS(Tasks!$A:$A,$A511,Tasks!$B:$B,$B511,Tasks!$C:$C,$G511)*100,0),"")</f>
        <v/>
      </c>
    </row>
    <row r="512" spans="1:8" ht="15" hidden="1" customHeight="1">
      <c r="A512" t="s">
        <v>93</v>
      </c>
      <c r="B512" t="s">
        <v>95</v>
      </c>
      <c r="C512">
        <v>43</v>
      </c>
      <c r="D512">
        <v>10</v>
      </c>
      <c r="E512">
        <v>4</v>
      </c>
      <c r="F512">
        <v>5</v>
      </c>
      <c r="G512" t="s">
        <v>119</v>
      </c>
      <c r="H512" t="str">
        <f>IFERROR(ROUND(COUNTIFS(Tasks!$A:$A,$A512,Tasks!$B:$B,$B512,Tasks!$C:$C,$G512,Tasks!$I:$I,"&lt;="&amp;INDEX(Weeks!$D:$D,MATCH($C512,Weeks!$A:$A,0)),Tasks!$I:$I,"&lt;&gt;")/COUNTIFS(Tasks!$A:$A,$A512,Tasks!$B:$B,$B512,Tasks!$C:$C,$G512)*100,0),"")</f>
        <v/>
      </c>
    </row>
    <row r="513" spans="1:8" ht="15" hidden="1" customHeight="1">
      <c r="A513" t="s">
        <v>93</v>
      </c>
      <c r="B513" t="s">
        <v>95</v>
      </c>
      <c r="C513">
        <v>44</v>
      </c>
      <c r="D513">
        <v>10</v>
      </c>
      <c r="E513">
        <v>5</v>
      </c>
      <c r="F513">
        <v>5</v>
      </c>
      <c r="G513" t="s">
        <v>119</v>
      </c>
      <c r="H513" t="str">
        <f>IFERROR(ROUND(COUNTIFS(Tasks!$A:$A,$A513,Tasks!$B:$B,$B513,Tasks!$C:$C,$G513,Tasks!$I:$I,"&lt;="&amp;INDEX(Weeks!$D:$D,MATCH($C513,Weeks!$A:$A,0)),Tasks!$I:$I,"&lt;&gt;")/COUNTIFS(Tasks!$A:$A,$A513,Tasks!$B:$B,$B513,Tasks!$C:$C,$G513)*100,0),"")</f>
        <v/>
      </c>
    </row>
    <row r="514" spans="1:8" ht="15" hidden="1" customHeight="1">
      <c r="A514" t="s">
        <v>93</v>
      </c>
      <c r="B514" t="s">
        <v>95</v>
      </c>
      <c r="C514">
        <v>45</v>
      </c>
      <c r="D514">
        <v>11</v>
      </c>
      <c r="E514">
        <v>1</v>
      </c>
      <c r="F514">
        <v>5</v>
      </c>
      <c r="G514" t="s">
        <v>119</v>
      </c>
      <c r="H514" t="str">
        <f>IFERROR(ROUND(COUNTIFS(Tasks!$A:$A,$A514,Tasks!$B:$B,$B514,Tasks!$C:$C,$G514,Tasks!$I:$I,"&lt;="&amp;INDEX(Weeks!$D:$D,MATCH($C514,Weeks!$A:$A,0)),Tasks!$I:$I,"&lt;&gt;")/COUNTIFS(Tasks!$A:$A,$A514,Tasks!$B:$B,$B514,Tasks!$C:$C,$G514)*100,0),"")</f>
        <v/>
      </c>
    </row>
    <row r="515" spans="1:8" ht="15" hidden="1" customHeight="1">
      <c r="A515" t="s">
        <v>93</v>
      </c>
      <c r="B515" t="s">
        <v>95</v>
      </c>
      <c r="C515">
        <v>46</v>
      </c>
      <c r="D515">
        <v>11</v>
      </c>
      <c r="E515">
        <v>2</v>
      </c>
      <c r="F515">
        <v>5</v>
      </c>
      <c r="G515" t="s">
        <v>119</v>
      </c>
      <c r="H515" t="str">
        <f>IFERROR(ROUND(COUNTIFS(Tasks!$A:$A,$A515,Tasks!$B:$B,$B515,Tasks!$C:$C,$G515,Tasks!$I:$I,"&lt;="&amp;INDEX(Weeks!$D:$D,MATCH($C515,Weeks!$A:$A,0)),Tasks!$I:$I,"&lt;&gt;")/COUNTIFS(Tasks!$A:$A,$A515,Tasks!$B:$B,$B515,Tasks!$C:$C,$G515)*100,0),"")</f>
        <v/>
      </c>
    </row>
    <row r="516" spans="1:8" ht="15" hidden="1" customHeight="1">
      <c r="A516" t="s">
        <v>93</v>
      </c>
      <c r="B516" t="s">
        <v>95</v>
      </c>
      <c r="C516">
        <v>47</v>
      </c>
      <c r="D516">
        <v>11</v>
      </c>
      <c r="E516">
        <v>3</v>
      </c>
      <c r="F516">
        <v>5</v>
      </c>
      <c r="G516" t="s">
        <v>119</v>
      </c>
      <c r="H516" t="str">
        <f>IFERROR(ROUND(COUNTIFS(Tasks!$A:$A,$A516,Tasks!$B:$B,$B516,Tasks!$C:$C,$G516,Tasks!$I:$I,"&lt;="&amp;INDEX(Weeks!$D:$D,MATCH($C516,Weeks!$A:$A,0)),Tasks!$I:$I,"&lt;&gt;")/COUNTIFS(Tasks!$A:$A,$A516,Tasks!$B:$B,$B516,Tasks!$C:$C,$G516)*100,0),"")</f>
        <v/>
      </c>
    </row>
    <row r="517" spans="1:8" ht="15" hidden="1" customHeight="1">
      <c r="A517" t="s">
        <v>93</v>
      </c>
      <c r="B517" t="s">
        <v>95</v>
      </c>
      <c r="C517">
        <v>48</v>
      </c>
      <c r="D517">
        <v>11</v>
      </c>
      <c r="E517">
        <v>4</v>
      </c>
      <c r="F517">
        <v>5</v>
      </c>
      <c r="G517" t="s">
        <v>119</v>
      </c>
      <c r="H517" t="str">
        <f>IFERROR(ROUND(COUNTIFS(Tasks!$A:$A,$A517,Tasks!$B:$B,$B517,Tasks!$C:$C,$G517,Tasks!$I:$I,"&lt;="&amp;INDEX(Weeks!$D:$D,MATCH($C517,Weeks!$A:$A,0)),Tasks!$I:$I,"&lt;&gt;")/COUNTIFS(Tasks!$A:$A,$A517,Tasks!$B:$B,$B517,Tasks!$C:$C,$G517)*100,0),"")</f>
        <v/>
      </c>
    </row>
    <row r="518" spans="1:8" ht="15" hidden="1" customHeight="1">
      <c r="A518" t="s">
        <v>93</v>
      </c>
      <c r="B518" t="s">
        <v>95</v>
      </c>
      <c r="C518">
        <v>49</v>
      </c>
      <c r="D518">
        <v>12</v>
      </c>
      <c r="E518">
        <v>1</v>
      </c>
      <c r="F518">
        <v>5</v>
      </c>
      <c r="G518" t="s">
        <v>119</v>
      </c>
      <c r="H518" t="str">
        <f>IFERROR(ROUND(COUNTIFS(Tasks!$A:$A,$A518,Tasks!$B:$B,$B518,Tasks!$C:$C,$G518,Tasks!$I:$I,"&lt;="&amp;INDEX(Weeks!$D:$D,MATCH($C518,Weeks!$A:$A,0)),Tasks!$I:$I,"&lt;&gt;")/COUNTIFS(Tasks!$A:$A,$A518,Tasks!$B:$B,$B518,Tasks!$C:$C,$G518)*100,0),"")</f>
        <v/>
      </c>
    </row>
    <row r="519" spans="1:8" ht="15" hidden="1" customHeight="1">
      <c r="A519" t="s">
        <v>93</v>
      </c>
      <c r="B519" t="s">
        <v>95</v>
      </c>
      <c r="C519">
        <v>50</v>
      </c>
      <c r="D519">
        <v>12</v>
      </c>
      <c r="E519">
        <v>2</v>
      </c>
      <c r="F519">
        <v>5</v>
      </c>
      <c r="G519" t="s">
        <v>119</v>
      </c>
      <c r="H519" t="str">
        <f>IFERROR(ROUND(COUNTIFS(Tasks!$A:$A,$A519,Tasks!$B:$B,$B519,Tasks!$C:$C,$G519,Tasks!$I:$I,"&lt;="&amp;INDEX(Weeks!$D:$D,MATCH($C519,Weeks!$A:$A,0)),Tasks!$I:$I,"&lt;&gt;")/COUNTIFS(Tasks!$A:$A,$A519,Tasks!$B:$B,$B519,Tasks!$C:$C,$G519)*100,0),"")</f>
        <v/>
      </c>
    </row>
    <row r="520" spans="1:8" ht="15" hidden="1" customHeight="1">
      <c r="A520" t="s">
        <v>93</v>
      </c>
      <c r="B520" t="s">
        <v>95</v>
      </c>
      <c r="C520">
        <v>51</v>
      </c>
      <c r="D520">
        <v>12</v>
      </c>
      <c r="E520">
        <v>3</v>
      </c>
      <c r="F520">
        <v>5</v>
      </c>
      <c r="G520" t="s">
        <v>119</v>
      </c>
      <c r="H520" t="str">
        <f>IFERROR(ROUND(COUNTIFS(Tasks!$A:$A,$A520,Tasks!$B:$B,$B520,Tasks!$C:$C,$G520,Tasks!$I:$I,"&lt;="&amp;INDEX(Weeks!$D:$D,MATCH($C520,Weeks!$A:$A,0)),Tasks!$I:$I,"&lt;&gt;")/COUNTIFS(Tasks!$A:$A,$A520,Tasks!$B:$B,$B520,Tasks!$C:$C,$G520)*100,0),"")</f>
        <v/>
      </c>
    </row>
    <row r="521" spans="1:8" ht="15" hidden="1" customHeight="1">
      <c r="A521" t="s">
        <v>93</v>
      </c>
      <c r="B521" t="s">
        <v>95</v>
      </c>
      <c r="C521">
        <v>52</v>
      </c>
      <c r="D521">
        <v>12</v>
      </c>
      <c r="E521">
        <v>4</v>
      </c>
      <c r="F521">
        <v>5</v>
      </c>
      <c r="G521" t="s">
        <v>119</v>
      </c>
      <c r="H521" t="str">
        <f>IFERROR(ROUND(COUNTIFS(Tasks!$A:$A,$A521,Tasks!$B:$B,$B521,Tasks!$C:$C,$G521,Tasks!$I:$I,"&lt;="&amp;INDEX(Weeks!$D:$D,MATCH($C521,Weeks!$A:$A,0)),Tasks!$I:$I,"&lt;&gt;")/COUNTIFS(Tasks!$A:$A,$A521,Tasks!$B:$B,$B521,Tasks!$C:$C,$G521)*100,0),"")</f>
        <v/>
      </c>
    </row>
    <row r="522" spans="1:8" ht="15" hidden="1" customHeight="1">
      <c r="A522" t="s">
        <v>93</v>
      </c>
      <c r="B522" t="s">
        <v>96</v>
      </c>
      <c r="C522">
        <v>1</v>
      </c>
      <c r="D522">
        <v>1</v>
      </c>
      <c r="E522">
        <v>1</v>
      </c>
      <c r="F522">
        <v>1</v>
      </c>
      <c r="G522" t="s">
        <v>115</v>
      </c>
      <c r="H522" t="str">
        <f>IFERROR(ROUND(COUNTIFS(Tasks!$A:$A,$A522,Tasks!$B:$B,$B522,Tasks!$C:$C,$G522,Tasks!$I:$I,"&lt;="&amp;INDEX(Weeks!$D:$D,MATCH($C522,Weeks!$A:$A,0)),Tasks!$I:$I,"&lt;&gt;")/COUNTIFS(Tasks!$A:$A,$A522,Tasks!$B:$B,$B522,Tasks!$C:$C,$G522)*100,0),"")</f>
        <v/>
      </c>
    </row>
    <row r="523" spans="1:8" ht="15" hidden="1" customHeight="1">
      <c r="A523" t="s">
        <v>93</v>
      </c>
      <c r="B523" t="s">
        <v>96</v>
      </c>
      <c r="C523">
        <v>2</v>
      </c>
      <c r="D523">
        <v>1</v>
      </c>
      <c r="E523">
        <v>2</v>
      </c>
      <c r="F523">
        <v>1</v>
      </c>
      <c r="G523" t="s">
        <v>115</v>
      </c>
      <c r="H523" t="str">
        <f>IFERROR(ROUND(COUNTIFS(Tasks!$A:$A,$A523,Tasks!$B:$B,$B523,Tasks!$C:$C,$G523,Tasks!$I:$I,"&lt;="&amp;INDEX(Weeks!$D:$D,MATCH($C523,Weeks!$A:$A,0)),Tasks!$I:$I,"&lt;&gt;")/COUNTIFS(Tasks!$A:$A,$A523,Tasks!$B:$B,$B523,Tasks!$C:$C,$G523)*100,0),"")</f>
        <v/>
      </c>
    </row>
    <row r="524" spans="1:8" ht="15" hidden="1" customHeight="1">
      <c r="A524" t="s">
        <v>93</v>
      </c>
      <c r="B524" t="s">
        <v>96</v>
      </c>
      <c r="C524">
        <v>3</v>
      </c>
      <c r="D524">
        <v>1</v>
      </c>
      <c r="E524">
        <v>3</v>
      </c>
      <c r="F524">
        <v>1</v>
      </c>
      <c r="G524" t="s">
        <v>115</v>
      </c>
      <c r="H524" t="str">
        <f>IFERROR(ROUND(COUNTIFS(Tasks!$A:$A,$A524,Tasks!$B:$B,$B524,Tasks!$C:$C,$G524,Tasks!$I:$I,"&lt;="&amp;INDEX(Weeks!$D:$D,MATCH($C524,Weeks!$A:$A,0)),Tasks!$I:$I,"&lt;&gt;")/COUNTIFS(Tasks!$A:$A,$A524,Tasks!$B:$B,$B524,Tasks!$C:$C,$G524)*100,0),"")</f>
        <v/>
      </c>
    </row>
    <row r="525" spans="1:8" ht="15" hidden="1" customHeight="1">
      <c r="A525" t="s">
        <v>93</v>
      </c>
      <c r="B525" t="s">
        <v>96</v>
      </c>
      <c r="C525">
        <v>4</v>
      </c>
      <c r="D525">
        <v>1</v>
      </c>
      <c r="E525">
        <v>4</v>
      </c>
      <c r="F525">
        <v>1</v>
      </c>
      <c r="G525" t="s">
        <v>115</v>
      </c>
      <c r="H525" t="str">
        <f>IFERROR(ROUND(COUNTIFS(Tasks!$A:$A,$A525,Tasks!$B:$B,$B525,Tasks!$C:$C,$G525,Tasks!$I:$I,"&lt;="&amp;INDEX(Weeks!$D:$D,MATCH($C525,Weeks!$A:$A,0)),Tasks!$I:$I,"&lt;&gt;")/COUNTIFS(Tasks!$A:$A,$A525,Tasks!$B:$B,$B525,Tasks!$C:$C,$G525)*100,0),"")</f>
        <v/>
      </c>
    </row>
    <row r="526" spans="1:8" ht="15" hidden="1" customHeight="1">
      <c r="A526" t="s">
        <v>93</v>
      </c>
      <c r="B526" t="s">
        <v>96</v>
      </c>
      <c r="C526">
        <v>5</v>
      </c>
      <c r="D526">
        <v>1</v>
      </c>
      <c r="E526">
        <v>5</v>
      </c>
      <c r="F526">
        <v>1</v>
      </c>
      <c r="G526" t="s">
        <v>115</v>
      </c>
      <c r="H526" t="str">
        <f>IFERROR(ROUND(COUNTIFS(Tasks!$A:$A,$A526,Tasks!$B:$B,$B526,Tasks!$C:$C,$G526,Tasks!$I:$I,"&lt;="&amp;INDEX(Weeks!$D:$D,MATCH($C526,Weeks!$A:$A,0)),Tasks!$I:$I,"&lt;&gt;")/COUNTIFS(Tasks!$A:$A,$A526,Tasks!$B:$B,$B526,Tasks!$C:$C,$G526)*100,0),"")</f>
        <v/>
      </c>
    </row>
    <row r="527" spans="1:8" ht="15" hidden="1" customHeight="1">
      <c r="A527" t="s">
        <v>93</v>
      </c>
      <c r="B527" t="s">
        <v>96</v>
      </c>
      <c r="C527">
        <v>6</v>
      </c>
      <c r="D527">
        <v>2</v>
      </c>
      <c r="E527">
        <v>1</v>
      </c>
      <c r="F527">
        <v>1</v>
      </c>
      <c r="G527" t="s">
        <v>115</v>
      </c>
      <c r="H527" t="str">
        <f>IFERROR(ROUND(COUNTIFS(Tasks!$A:$A,$A527,Tasks!$B:$B,$B527,Tasks!$C:$C,$G527,Tasks!$I:$I,"&lt;="&amp;INDEX(Weeks!$D:$D,MATCH($C527,Weeks!$A:$A,0)),Tasks!$I:$I,"&lt;&gt;")/COUNTIFS(Tasks!$A:$A,$A527,Tasks!$B:$B,$B527,Tasks!$C:$C,$G527)*100,0),"")</f>
        <v/>
      </c>
    </row>
    <row r="528" spans="1:8" ht="15" hidden="1" customHeight="1">
      <c r="A528" t="s">
        <v>93</v>
      </c>
      <c r="B528" t="s">
        <v>96</v>
      </c>
      <c r="C528">
        <v>7</v>
      </c>
      <c r="D528">
        <v>2</v>
      </c>
      <c r="E528">
        <v>2</v>
      </c>
      <c r="F528">
        <v>1</v>
      </c>
      <c r="G528" t="s">
        <v>115</v>
      </c>
      <c r="H528" t="str">
        <f>IFERROR(ROUND(COUNTIFS(Tasks!$A:$A,$A528,Tasks!$B:$B,$B528,Tasks!$C:$C,$G528,Tasks!$I:$I,"&lt;="&amp;INDEX(Weeks!$D:$D,MATCH($C528,Weeks!$A:$A,0)),Tasks!$I:$I,"&lt;&gt;")/COUNTIFS(Tasks!$A:$A,$A528,Tasks!$B:$B,$B528,Tasks!$C:$C,$G528)*100,0),"")</f>
        <v/>
      </c>
    </row>
    <row r="529" spans="1:8" ht="15" hidden="1" customHeight="1">
      <c r="A529" t="s">
        <v>93</v>
      </c>
      <c r="B529" t="s">
        <v>96</v>
      </c>
      <c r="C529">
        <v>8</v>
      </c>
      <c r="D529">
        <v>2</v>
      </c>
      <c r="E529">
        <v>3</v>
      </c>
      <c r="F529">
        <v>1</v>
      </c>
      <c r="G529" t="s">
        <v>115</v>
      </c>
      <c r="H529" t="str">
        <f>IFERROR(ROUND(COUNTIFS(Tasks!$A:$A,$A529,Tasks!$B:$B,$B529,Tasks!$C:$C,$G529,Tasks!$I:$I,"&lt;="&amp;INDEX(Weeks!$D:$D,MATCH($C529,Weeks!$A:$A,0)),Tasks!$I:$I,"&lt;&gt;")/COUNTIFS(Tasks!$A:$A,$A529,Tasks!$B:$B,$B529,Tasks!$C:$C,$G529)*100,0),"")</f>
        <v/>
      </c>
    </row>
    <row r="530" spans="1:8" ht="15" hidden="1" customHeight="1">
      <c r="A530" t="s">
        <v>93</v>
      </c>
      <c r="B530" t="s">
        <v>96</v>
      </c>
      <c r="C530">
        <v>9</v>
      </c>
      <c r="D530">
        <v>2</v>
      </c>
      <c r="E530">
        <v>4</v>
      </c>
      <c r="F530">
        <v>1</v>
      </c>
      <c r="G530" t="s">
        <v>115</v>
      </c>
      <c r="H530" t="str">
        <f>IFERROR(ROUND(COUNTIFS(Tasks!$A:$A,$A530,Tasks!$B:$B,$B530,Tasks!$C:$C,$G530,Tasks!$I:$I,"&lt;="&amp;INDEX(Weeks!$D:$D,MATCH($C530,Weeks!$A:$A,0)),Tasks!$I:$I,"&lt;&gt;")/COUNTIFS(Tasks!$A:$A,$A530,Tasks!$B:$B,$B530,Tasks!$C:$C,$G530)*100,0),"")</f>
        <v/>
      </c>
    </row>
    <row r="531" spans="1:8" ht="15" hidden="1" customHeight="1">
      <c r="A531" t="s">
        <v>93</v>
      </c>
      <c r="B531" t="s">
        <v>96</v>
      </c>
      <c r="C531">
        <v>10</v>
      </c>
      <c r="D531">
        <v>3</v>
      </c>
      <c r="E531">
        <v>1</v>
      </c>
      <c r="F531">
        <v>1</v>
      </c>
      <c r="G531" t="s">
        <v>115</v>
      </c>
      <c r="H531" t="str">
        <f>IFERROR(ROUND(COUNTIFS(Tasks!$A:$A,$A531,Tasks!$B:$B,$B531,Tasks!$C:$C,$G531,Tasks!$I:$I,"&lt;="&amp;INDEX(Weeks!$D:$D,MATCH($C531,Weeks!$A:$A,0)),Tasks!$I:$I,"&lt;&gt;")/COUNTIFS(Tasks!$A:$A,$A531,Tasks!$B:$B,$B531,Tasks!$C:$C,$G531)*100,0),"")</f>
        <v/>
      </c>
    </row>
    <row r="532" spans="1:8" ht="15" hidden="1" customHeight="1">
      <c r="A532" t="s">
        <v>93</v>
      </c>
      <c r="B532" t="s">
        <v>96</v>
      </c>
      <c r="C532">
        <v>11</v>
      </c>
      <c r="D532">
        <v>3</v>
      </c>
      <c r="E532">
        <v>2</v>
      </c>
      <c r="F532">
        <v>1</v>
      </c>
      <c r="G532" t="s">
        <v>115</v>
      </c>
      <c r="H532" t="str">
        <f>IFERROR(ROUND(COUNTIFS(Tasks!$A:$A,$A532,Tasks!$B:$B,$B532,Tasks!$C:$C,$G532,Tasks!$I:$I,"&lt;="&amp;INDEX(Weeks!$D:$D,MATCH($C532,Weeks!$A:$A,0)),Tasks!$I:$I,"&lt;&gt;")/COUNTIFS(Tasks!$A:$A,$A532,Tasks!$B:$B,$B532,Tasks!$C:$C,$G532)*100,0),"")</f>
        <v/>
      </c>
    </row>
    <row r="533" spans="1:8" ht="15" hidden="1" customHeight="1">
      <c r="A533" t="s">
        <v>93</v>
      </c>
      <c r="B533" t="s">
        <v>96</v>
      </c>
      <c r="C533">
        <v>12</v>
      </c>
      <c r="D533">
        <v>3</v>
      </c>
      <c r="E533">
        <v>3</v>
      </c>
      <c r="F533">
        <v>1</v>
      </c>
      <c r="G533" t="s">
        <v>115</v>
      </c>
      <c r="H533" t="str">
        <f>IFERROR(ROUND(COUNTIFS(Tasks!$A:$A,$A533,Tasks!$B:$B,$B533,Tasks!$C:$C,$G533,Tasks!$I:$I,"&lt;="&amp;INDEX(Weeks!$D:$D,MATCH($C533,Weeks!$A:$A,0)),Tasks!$I:$I,"&lt;&gt;")/COUNTIFS(Tasks!$A:$A,$A533,Tasks!$B:$B,$B533,Tasks!$C:$C,$G533)*100,0),"")</f>
        <v/>
      </c>
    </row>
    <row r="534" spans="1:8" ht="15" hidden="1" customHeight="1">
      <c r="A534" t="s">
        <v>93</v>
      </c>
      <c r="B534" t="s">
        <v>96</v>
      </c>
      <c r="C534">
        <v>13</v>
      </c>
      <c r="D534">
        <v>3</v>
      </c>
      <c r="E534">
        <v>4</v>
      </c>
      <c r="F534">
        <v>1</v>
      </c>
      <c r="G534" t="s">
        <v>115</v>
      </c>
      <c r="H534" t="str">
        <f>IFERROR(ROUND(COUNTIFS(Tasks!$A:$A,$A534,Tasks!$B:$B,$B534,Tasks!$C:$C,$G534,Tasks!$I:$I,"&lt;="&amp;INDEX(Weeks!$D:$D,MATCH($C534,Weeks!$A:$A,0)),Tasks!$I:$I,"&lt;&gt;")/COUNTIFS(Tasks!$A:$A,$A534,Tasks!$B:$B,$B534,Tasks!$C:$C,$G534)*100,0),"")</f>
        <v/>
      </c>
    </row>
    <row r="535" spans="1:8" ht="15" hidden="1" customHeight="1">
      <c r="A535" t="s">
        <v>93</v>
      </c>
      <c r="B535" t="s">
        <v>96</v>
      </c>
      <c r="C535">
        <v>14</v>
      </c>
      <c r="D535">
        <v>4</v>
      </c>
      <c r="E535">
        <v>1</v>
      </c>
      <c r="F535">
        <v>1</v>
      </c>
      <c r="G535" t="s">
        <v>115</v>
      </c>
      <c r="H535" t="str">
        <f>IFERROR(ROUND(COUNTIFS(Tasks!$A:$A,$A535,Tasks!$B:$B,$B535,Tasks!$C:$C,$G535,Tasks!$I:$I,"&lt;="&amp;INDEX(Weeks!$D:$D,MATCH($C535,Weeks!$A:$A,0)),Tasks!$I:$I,"&lt;&gt;")/COUNTIFS(Tasks!$A:$A,$A535,Tasks!$B:$B,$B535,Tasks!$C:$C,$G535)*100,0),"")</f>
        <v/>
      </c>
    </row>
    <row r="536" spans="1:8" ht="15" hidden="1" customHeight="1">
      <c r="A536" t="s">
        <v>93</v>
      </c>
      <c r="B536" t="s">
        <v>96</v>
      </c>
      <c r="C536">
        <v>15</v>
      </c>
      <c r="D536">
        <v>4</v>
      </c>
      <c r="E536">
        <v>2</v>
      </c>
      <c r="F536">
        <v>1</v>
      </c>
      <c r="G536" t="s">
        <v>115</v>
      </c>
      <c r="H536" t="str">
        <f>IFERROR(ROUND(COUNTIFS(Tasks!$A:$A,$A536,Tasks!$B:$B,$B536,Tasks!$C:$C,$G536,Tasks!$I:$I,"&lt;="&amp;INDEX(Weeks!$D:$D,MATCH($C536,Weeks!$A:$A,0)),Tasks!$I:$I,"&lt;&gt;")/COUNTIFS(Tasks!$A:$A,$A536,Tasks!$B:$B,$B536,Tasks!$C:$C,$G536)*100,0),"")</f>
        <v/>
      </c>
    </row>
    <row r="537" spans="1:8" ht="15" hidden="1" customHeight="1">
      <c r="A537" t="s">
        <v>93</v>
      </c>
      <c r="B537" t="s">
        <v>96</v>
      </c>
      <c r="C537">
        <v>16</v>
      </c>
      <c r="D537">
        <v>4</v>
      </c>
      <c r="E537">
        <v>3</v>
      </c>
      <c r="F537">
        <v>1</v>
      </c>
      <c r="G537" t="s">
        <v>115</v>
      </c>
      <c r="H537" t="str">
        <f>IFERROR(ROUND(COUNTIFS(Tasks!$A:$A,$A537,Tasks!$B:$B,$B537,Tasks!$C:$C,$G537,Tasks!$I:$I,"&lt;="&amp;INDEX(Weeks!$D:$D,MATCH($C537,Weeks!$A:$A,0)),Tasks!$I:$I,"&lt;&gt;")/COUNTIFS(Tasks!$A:$A,$A537,Tasks!$B:$B,$B537,Tasks!$C:$C,$G537)*100,0),"")</f>
        <v/>
      </c>
    </row>
    <row r="538" spans="1:8" ht="15" hidden="1" customHeight="1">
      <c r="A538" t="s">
        <v>93</v>
      </c>
      <c r="B538" t="s">
        <v>96</v>
      </c>
      <c r="C538">
        <v>17</v>
      </c>
      <c r="D538">
        <v>4</v>
      </c>
      <c r="E538">
        <v>4</v>
      </c>
      <c r="F538">
        <v>1</v>
      </c>
      <c r="G538" t="s">
        <v>115</v>
      </c>
      <c r="H538" t="str">
        <f>IFERROR(ROUND(COUNTIFS(Tasks!$A:$A,$A538,Tasks!$B:$B,$B538,Tasks!$C:$C,$G538,Tasks!$I:$I,"&lt;="&amp;INDEX(Weeks!$D:$D,MATCH($C538,Weeks!$A:$A,0)),Tasks!$I:$I,"&lt;&gt;")/COUNTIFS(Tasks!$A:$A,$A538,Tasks!$B:$B,$B538,Tasks!$C:$C,$G538)*100,0),"")</f>
        <v/>
      </c>
    </row>
    <row r="539" spans="1:8" ht="15" hidden="1" customHeight="1">
      <c r="A539" t="s">
        <v>93</v>
      </c>
      <c r="B539" t="s">
        <v>96</v>
      </c>
      <c r="C539">
        <v>18</v>
      </c>
      <c r="D539">
        <v>5</v>
      </c>
      <c r="E539">
        <v>1</v>
      </c>
      <c r="F539">
        <v>1</v>
      </c>
      <c r="G539" t="s">
        <v>115</v>
      </c>
      <c r="H539" t="str">
        <f>IFERROR(ROUND(COUNTIFS(Tasks!$A:$A,$A539,Tasks!$B:$B,$B539,Tasks!$C:$C,$G539,Tasks!$I:$I,"&lt;="&amp;INDEX(Weeks!$D:$D,MATCH($C539,Weeks!$A:$A,0)),Tasks!$I:$I,"&lt;&gt;")/COUNTIFS(Tasks!$A:$A,$A539,Tasks!$B:$B,$B539,Tasks!$C:$C,$G539)*100,0),"")</f>
        <v/>
      </c>
    </row>
    <row r="540" spans="1:8" ht="15" hidden="1" customHeight="1">
      <c r="A540" t="s">
        <v>93</v>
      </c>
      <c r="B540" t="s">
        <v>96</v>
      </c>
      <c r="C540">
        <v>19</v>
      </c>
      <c r="D540">
        <v>5</v>
      </c>
      <c r="E540">
        <v>2</v>
      </c>
      <c r="F540">
        <v>1</v>
      </c>
      <c r="G540" t="s">
        <v>115</v>
      </c>
      <c r="H540" t="str">
        <f>IFERROR(ROUND(COUNTIFS(Tasks!$A:$A,$A540,Tasks!$B:$B,$B540,Tasks!$C:$C,$G540,Tasks!$I:$I,"&lt;="&amp;INDEX(Weeks!$D:$D,MATCH($C540,Weeks!$A:$A,0)),Tasks!$I:$I,"&lt;&gt;")/COUNTIFS(Tasks!$A:$A,$A540,Tasks!$B:$B,$B540,Tasks!$C:$C,$G540)*100,0),"")</f>
        <v/>
      </c>
    </row>
    <row r="541" spans="1:8" ht="15" hidden="1" customHeight="1">
      <c r="A541" t="s">
        <v>93</v>
      </c>
      <c r="B541" t="s">
        <v>96</v>
      </c>
      <c r="C541">
        <v>20</v>
      </c>
      <c r="D541">
        <v>5</v>
      </c>
      <c r="E541">
        <v>3</v>
      </c>
      <c r="F541">
        <v>1</v>
      </c>
      <c r="G541" t="s">
        <v>115</v>
      </c>
      <c r="H541" t="str">
        <f>IFERROR(ROUND(COUNTIFS(Tasks!$A:$A,$A541,Tasks!$B:$B,$B541,Tasks!$C:$C,$G541,Tasks!$I:$I,"&lt;="&amp;INDEX(Weeks!$D:$D,MATCH($C541,Weeks!$A:$A,0)),Tasks!$I:$I,"&lt;&gt;")/COUNTIFS(Tasks!$A:$A,$A541,Tasks!$B:$B,$B541,Tasks!$C:$C,$G541)*100,0),"")</f>
        <v/>
      </c>
    </row>
    <row r="542" spans="1:8" ht="15" hidden="1" customHeight="1">
      <c r="A542" t="s">
        <v>93</v>
      </c>
      <c r="B542" t="s">
        <v>96</v>
      </c>
      <c r="C542">
        <v>21</v>
      </c>
      <c r="D542">
        <v>5</v>
      </c>
      <c r="E542">
        <v>4</v>
      </c>
      <c r="F542">
        <v>1</v>
      </c>
      <c r="G542" t="s">
        <v>115</v>
      </c>
      <c r="H542" t="str">
        <f>IFERROR(ROUND(COUNTIFS(Tasks!$A:$A,$A542,Tasks!$B:$B,$B542,Tasks!$C:$C,$G542,Tasks!$I:$I,"&lt;="&amp;INDEX(Weeks!$D:$D,MATCH($C542,Weeks!$A:$A,0)),Tasks!$I:$I,"&lt;&gt;")/COUNTIFS(Tasks!$A:$A,$A542,Tasks!$B:$B,$B542,Tasks!$C:$C,$G542)*100,0),"")</f>
        <v/>
      </c>
    </row>
    <row r="543" spans="1:8" ht="15" hidden="1" customHeight="1">
      <c r="A543" t="s">
        <v>93</v>
      </c>
      <c r="B543" t="s">
        <v>96</v>
      </c>
      <c r="C543">
        <v>22</v>
      </c>
      <c r="D543">
        <v>5</v>
      </c>
      <c r="E543">
        <v>5</v>
      </c>
      <c r="F543">
        <v>1</v>
      </c>
      <c r="G543" t="s">
        <v>115</v>
      </c>
      <c r="H543" t="str">
        <f>IFERROR(ROUND(COUNTIFS(Tasks!$A:$A,$A543,Tasks!$B:$B,$B543,Tasks!$C:$C,$G543,Tasks!$I:$I,"&lt;="&amp;INDEX(Weeks!$D:$D,MATCH($C543,Weeks!$A:$A,0)),Tasks!$I:$I,"&lt;&gt;")/COUNTIFS(Tasks!$A:$A,$A543,Tasks!$B:$B,$B543,Tasks!$C:$C,$G543)*100,0),"")</f>
        <v/>
      </c>
    </row>
    <row r="544" spans="1:8" ht="15" hidden="1" customHeight="1">
      <c r="A544" t="s">
        <v>93</v>
      </c>
      <c r="B544" t="s">
        <v>96</v>
      </c>
      <c r="C544">
        <v>23</v>
      </c>
      <c r="D544">
        <v>6</v>
      </c>
      <c r="E544">
        <v>1</v>
      </c>
      <c r="F544">
        <v>1</v>
      </c>
      <c r="G544" t="s">
        <v>115</v>
      </c>
      <c r="H544" t="str">
        <f>IFERROR(ROUND(COUNTIFS(Tasks!$A:$A,$A544,Tasks!$B:$B,$B544,Tasks!$C:$C,$G544,Tasks!$I:$I,"&lt;="&amp;INDEX(Weeks!$D:$D,MATCH($C544,Weeks!$A:$A,0)),Tasks!$I:$I,"&lt;&gt;")/COUNTIFS(Tasks!$A:$A,$A544,Tasks!$B:$B,$B544,Tasks!$C:$C,$G544)*100,0),"")</f>
        <v/>
      </c>
    </row>
    <row r="545" spans="1:8" ht="15" hidden="1" customHeight="1">
      <c r="A545" t="s">
        <v>93</v>
      </c>
      <c r="B545" t="s">
        <v>96</v>
      </c>
      <c r="C545">
        <v>24</v>
      </c>
      <c r="D545">
        <v>6</v>
      </c>
      <c r="E545">
        <v>2</v>
      </c>
      <c r="F545">
        <v>1</v>
      </c>
      <c r="G545" t="s">
        <v>115</v>
      </c>
      <c r="H545" t="str">
        <f>IFERROR(ROUND(COUNTIFS(Tasks!$A:$A,$A545,Tasks!$B:$B,$B545,Tasks!$C:$C,$G545,Tasks!$I:$I,"&lt;="&amp;INDEX(Weeks!$D:$D,MATCH($C545,Weeks!$A:$A,0)),Tasks!$I:$I,"&lt;&gt;")/COUNTIFS(Tasks!$A:$A,$A545,Tasks!$B:$B,$B545,Tasks!$C:$C,$G545)*100,0),"")</f>
        <v/>
      </c>
    </row>
    <row r="546" spans="1:8" ht="15" hidden="1" customHeight="1">
      <c r="A546" t="s">
        <v>93</v>
      </c>
      <c r="B546" t="s">
        <v>96</v>
      </c>
      <c r="C546">
        <v>25</v>
      </c>
      <c r="D546">
        <v>6</v>
      </c>
      <c r="E546">
        <v>3</v>
      </c>
      <c r="F546">
        <v>1</v>
      </c>
      <c r="G546" t="s">
        <v>115</v>
      </c>
      <c r="H546" t="str">
        <f>IFERROR(ROUND(COUNTIFS(Tasks!$A:$A,$A546,Tasks!$B:$B,$B546,Tasks!$C:$C,$G546,Tasks!$I:$I,"&lt;="&amp;INDEX(Weeks!$D:$D,MATCH($C546,Weeks!$A:$A,0)),Tasks!$I:$I,"&lt;&gt;")/COUNTIFS(Tasks!$A:$A,$A546,Tasks!$B:$B,$B546,Tasks!$C:$C,$G546)*100,0),"")</f>
        <v/>
      </c>
    </row>
    <row r="547" spans="1:8" ht="15" hidden="1" customHeight="1">
      <c r="A547" t="s">
        <v>93</v>
      </c>
      <c r="B547" t="s">
        <v>96</v>
      </c>
      <c r="C547">
        <v>26</v>
      </c>
      <c r="D547">
        <v>6</v>
      </c>
      <c r="E547">
        <v>4</v>
      </c>
      <c r="F547">
        <v>1</v>
      </c>
      <c r="G547" t="s">
        <v>115</v>
      </c>
      <c r="H547" t="str">
        <f>IFERROR(ROUND(COUNTIFS(Tasks!$A:$A,$A547,Tasks!$B:$B,$B547,Tasks!$C:$C,$G547,Tasks!$I:$I,"&lt;="&amp;INDEX(Weeks!$D:$D,MATCH($C547,Weeks!$A:$A,0)),Tasks!$I:$I,"&lt;&gt;")/COUNTIFS(Tasks!$A:$A,$A547,Tasks!$B:$B,$B547,Tasks!$C:$C,$G547)*100,0),"")</f>
        <v/>
      </c>
    </row>
    <row r="548" spans="1:8" ht="15" hidden="1" customHeight="1">
      <c r="A548" t="s">
        <v>93</v>
      </c>
      <c r="B548" t="s">
        <v>96</v>
      </c>
      <c r="C548">
        <v>27</v>
      </c>
      <c r="D548">
        <v>7</v>
      </c>
      <c r="E548">
        <v>1</v>
      </c>
      <c r="F548">
        <v>1</v>
      </c>
      <c r="G548" t="s">
        <v>115</v>
      </c>
      <c r="H548" t="str">
        <f>IFERROR(ROUND(COUNTIFS(Tasks!$A:$A,$A548,Tasks!$B:$B,$B548,Tasks!$C:$C,$G548,Tasks!$I:$I,"&lt;="&amp;INDEX(Weeks!$D:$D,MATCH($C548,Weeks!$A:$A,0)),Tasks!$I:$I,"&lt;&gt;")/COUNTIFS(Tasks!$A:$A,$A548,Tasks!$B:$B,$B548,Tasks!$C:$C,$G548)*100,0),"")</f>
        <v/>
      </c>
    </row>
    <row r="549" spans="1:8" ht="15" hidden="1" customHeight="1">
      <c r="A549" t="s">
        <v>93</v>
      </c>
      <c r="B549" t="s">
        <v>96</v>
      </c>
      <c r="C549">
        <v>28</v>
      </c>
      <c r="D549">
        <v>7</v>
      </c>
      <c r="E549">
        <v>2</v>
      </c>
      <c r="F549">
        <v>1</v>
      </c>
      <c r="G549" t="s">
        <v>115</v>
      </c>
      <c r="H549" t="str">
        <f>IFERROR(ROUND(COUNTIFS(Tasks!$A:$A,$A549,Tasks!$B:$B,$B549,Tasks!$C:$C,$G549,Tasks!$I:$I,"&lt;="&amp;INDEX(Weeks!$D:$D,MATCH($C549,Weeks!$A:$A,0)),Tasks!$I:$I,"&lt;&gt;")/COUNTIFS(Tasks!$A:$A,$A549,Tasks!$B:$B,$B549,Tasks!$C:$C,$G549)*100,0),"")</f>
        <v/>
      </c>
    </row>
    <row r="550" spans="1:8" ht="15" hidden="1" customHeight="1">
      <c r="A550" t="s">
        <v>93</v>
      </c>
      <c r="B550" t="s">
        <v>96</v>
      </c>
      <c r="C550">
        <v>29</v>
      </c>
      <c r="D550">
        <v>7</v>
      </c>
      <c r="E550">
        <v>3</v>
      </c>
      <c r="F550">
        <v>1</v>
      </c>
      <c r="G550" t="s">
        <v>115</v>
      </c>
      <c r="H550" t="str">
        <f>IFERROR(ROUND(COUNTIFS(Tasks!$A:$A,$A550,Tasks!$B:$B,$B550,Tasks!$C:$C,$G550,Tasks!$I:$I,"&lt;="&amp;INDEX(Weeks!$D:$D,MATCH($C550,Weeks!$A:$A,0)),Tasks!$I:$I,"&lt;&gt;")/COUNTIFS(Tasks!$A:$A,$A550,Tasks!$B:$B,$B550,Tasks!$C:$C,$G550)*100,0),"")</f>
        <v/>
      </c>
    </row>
    <row r="551" spans="1:8" ht="15" hidden="1" customHeight="1">
      <c r="A551" t="s">
        <v>93</v>
      </c>
      <c r="B551" t="s">
        <v>96</v>
      </c>
      <c r="C551">
        <v>30</v>
      </c>
      <c r="D551">
        <v>7</v>
      </c>
      <c r="E551">
        <v>4</v>
      </c>
      <c r="F551">
        <v>1</v>
      </c>
      <c r="G551" t="s">
        <v>115</v>
      </c>
      <c r="H551" t="str">
        <f>IFERROR(ROUND(COUNTIFS(Tasks!$A:$A,$A551,Tasks!$B:$B,$B551,Tasks!$C:$C,$G551,Tasks!$I:$I,"&lt;="&amp;INDEX(Weeks!$D:$D,MATCH($C551,Weeks!$A:$A,0)),Tasks!$I:$I,"&lt;&gt;")/COUNTIFS(Tasks!$A:$A,$A551,Tasks!$B:$B,$B551,Tasks!$C:$C,$G551)*100,0),"")</f>
        <v/>
      </c>
    </row>
    <row r="552" spans="1:8" ht="15" hidden="1" customHeight="1">
      <c r="A552" t="s">
        <v>93</v>
      </c>
      <c r="B552" t="s">
        <v>96</v>
      </c>
      <c r="C552">
        <v>31</v>
      </c>
      <c r="D552">
        <v>8</v>
      </c>
      <c r="E552">
        <v>1</v>
      </c>
      <c r="F552">
        <v>1</v>
      </c>
      <c r="G552" t="s">
        <v>115</v>
      </c>
      <c r="H552" t="str">
        <f>IFERROR(ROUND(COUNTIFS(Tasks!$A:$A,$A552,Tasks!$B:$B,$B552,Tasks!$C:$C,$G552,Tasks!$I:$I,"&lt;="&amp;INDEX(Weeks!$D:$D,MATCH($C552,Weeks!$A:$A,0)),Tasks!$I:$I,"&lt;&gt;")/COUNTIFS(Tasks!$A:$A,$A552,Tasks!$B:$B,$B552,Tasks!$C:$C,$G552)*100,0),"")</f>
        <v/>
      </c>
    </row>
    <row r="553" spans="1:8" ht="15" hidden="1" customHeight="1">
      <c r="A553" t="s">
        <v>93</v>
      </c>
      <c r="B553" t="s">
        <v>96</v>
      </c>
      <c r="C553">
        <v>32</v>
      </c>
      <c r="D553">
        <v>8</v>
      </c>
      <c r="E553">
        <v>2</v>
      </c>
      <c r="F553">
        <v>1</v>
      </c>
      <c r="G553" t="s">
        <v>115</v>
      </c>
      <c r="H553" t="str">
        <f>IFERROR(ROUND(COUNTIFS(Tasks!$A:$A,$A553,Tasks!$B:$B,$B553,Tasks!$C:$C,$G553,Tasks!$I:$I,"&lt;="&amp;INDEX(Weeks!$D:$D,MATCH($C553,Weeks!$A:$A,0)),Tasks!$I:$I,"&lt;&gt;")/COUNTIFS(Tasks!$A:$A,$A553,Tasks!$B:$B,$B553,Tasks!$C:$C,$G553)*100,0),"")</f>
        <v/>
      </c>
    </row>
    <row r="554" spans="1:8" ht="15" hidden="1" customHeight="1">
      <c r="A554" t="s">
        <v>93</v>
      </c>
      <c r="B554" t="s">
        <v>96</v>
      </c>
      <c r="C554">
        <v>33</v>
      </c>
      <c r="D554">
        <v>8</v>
      </c>
      <c r="E554">
        <v>3</v>
      </c>
      <c r="F554">
        <v>1</v>
      </c>
      <c r="G554" t="s">
        <v>115</v>
      </c>
      <c r="H554" t="str">
        <f>IFERROR(ROUND(COUNTIFS(Tasks!$A:$A,$A554,Tasks!$B:$B,$B554,Tasks!$C:$C,$G554,Tasks!$I:$I,"&lt;="&amp;INDEX(Weeks!$D:$D,MATCH($C554,Weeks!$A:$A,0)),Tasks!$I:$I,"&lt;&gt;")/COUNTIFS(Tasks!$A:$A,$A554,Tasks!$B:$B,$B554,Tasks!$C:$C,$G554)*100,0),"")</f>
        <v/>
      </c>
    </row>
    <row r="555" spans="1:8" ht="15" hidden="1" customHeight="1">
      <c r="A555" t="s">
        <v>93</v>
      </c>
      <c r="B555" t="s">
        <v>96</v>
      </c>
      <c r="C555">
        <v>34</v>
      </c>
      <c r="D555">
        <v>8</v>
      </c>
      <c r="E555">
        <v>4</v>
      </c>
      <c r="F555">
        <v>1</v>
      </c>
      <c r="G555" t="s">
        <v>115</v>
      </c>
      <c r="H555" t="str">
        <f>IFERROR(ROUND(COUNTIFS(Tasks!$A:$A,$A555,Tasks!$B:$B,$B555,Tasks!$C:$C,$G555,Tasks!$I:$I,"&lt;="&amp;INDEX(Weeks!$D:$D,MATCH($C555,Weeks!$A:$A,0)),Tasks!$I:$I,"&lt;&gt;")/COUNTIFS(Tasks!$A:$A,$A555,Tasks!$B:$B,$B555,Tasks!$C:$C,$G555)*100,0),"")</f>
        <v/>
      </c>
    </row>
    <row r="556" spans="1:8" ht="15" hidden="1" customHeight="1">
      <c r="A556" t="s">
        <v>93</v>
      </c>
      <c r="B556" t="s">
        <v>96</v>
      </c>
      <c r="C556">
        <v>35</v>
      </c>
      <c r="D556">
        <v>8</v>
      </c>
      <c r="E556">
        <v>5</v>
      </c>
      <c r="F556">
        <v>1</v>
      </c>
      <c r="G556" t="s">
        <v>115</v>
      </c>
      <c r="H556" t="str">
        <f>IFERROR(ROUND(COUNTIFS(Tasks!$A:$A,$A556,Tasks!$B:$B,$B556,Tasks!$C:$C,$G556,Tasks!$I:$I,"&lt;="&amp;INDEX(Weeks!$D:$D,MATCH($C556,Weeks!$A:$A,0)),Tasks!$I:$I,"&lt;&gt;")/COUNTIFS(Tasks!$A:$A,$A556,Tasks!$B:$B,$B556,Tasks!$C:$C,$G556)*100,0),"")</f>
        <v/>
      </c>
    </row>
    <row r="557" spans="1:8" ht="15" hidden="1" customHeight="1">
      <c r="A557" t="s">
        <v>93</v>
      </c>
      <c r="B557" t="s">
        <v>96</v>
      </c>
      <c r="C557">
        <v>36</v>
      </c>
      <c r="D557">
        <v>9</v>
      </c>
      <c r="E557">
        <v>1</v>
      </c>
      <c r="F557">
        <v>1</v>
      </c>
      <c r="G557" t="s">
        <v>115</v>
      </c>
      <c r="H557" t="str">
        <f>IFERROR(ROUND(COUNTIFS(Tasks!$A:$A,$A557,Tasks!$B:$B,$B557,Tasks!$C:$C,$G557,Tasks!$I:$I,"&lt;="&amp;INDEX(Weeks!$D:$D,MATCH($C557,Weeks!$A:$A,0)),Tasks!$I:$I,"&lt;&gt;")/COUNTIFS(Tasks!$A:$A,$A557,Tasks!$B:$B,$B557,Tasks!$C:$C,$G557)*100,0),"")</f>
        <v/>
      </c>
    </row>
    <row r="558" spans="1:8" ht="15" hidden="1" customHeight="1">
      <c r="A558" t="s">
        <v>93</v>
      </c>
      <c r="B558" t="s">
        <v>96</v>
      </c>
      <c r="C558">
        <v>37</v>
      </c>
      <c r="D558">
        <v>9</v>
      </c>
      <c r="E558">
        <v>2</v>
      </c>
      <c r="F558">
        <v>1</v>
      </c>
      <c r="G558" t="s">
        <v>115</v>
      </c>
      <c r="H558" t="str">
        <f>IFERROR(ROUND(COUNTIFS(Tasks!$A:$A,$A558,Tasks!$B:$B,$B558,Tasks!$C:$C,$G558,Tasks!$I:$I,"&lt;="&amp;INDEX(Weeks!$D:$D,MATCH($C558,Weeks!$A:$A,0)),Tasks!$I:$I,"&lt;&gt;")/COUNTIFS(Tasks!$A:$A,$A558,Tasks!$B:$B,$B558,Tasks!$C:$C,$G558)*100,0),"")</f>
        <v/>
      </c>
    </row>
    <row r="559" spans="1:8" ht="15" hidden="1" customHeight="1">
      <c r="A559" t="s">
        <v>93</v>
      </c>
      <c r="B559" t="s">
        <v>96</v>
      </c>
      <c r="C559">
        <v>38</v>
      </c>
      <c r="D559">
        <v>9</v>
      </c>
      <c r="E559">
        <v>3</v>
      </c>
      <c r="F559">
        <v>1</v>
      </c>
      <c r="G559" t="s">
        <v>115</v>
      </c>
      <c r="H559" t="str">
        <f>IFERROR(ROUND(COUNTIFS(Tasks!$A:$A,$A559,Tasks!$B:$B,$B559,Tasks!$C:$C,$G559,Tasks!$I:$I,"&lt;="&amp;INDEX(Weeks!$D:$D,MATCH($C559,Weeks!$A:$A,0)),Tasks!$I:$I,"&lt;&gt;")/COUNTIFS(Tasks!$A:$A,$A559,Tasks!$B:$B,$B559,Tasks!$C:$C,$G559)*100,0),"")</f>
        <v/>
      </c>
    </row>
    <row r="560" spans="1:8" ht="15" hidden="1" customHeight="1">
      <c r="A560" t="s">
        <v>93</v>
      </c>
      <c r="B560" t="s">
        <v>96</v>
      </c>
      <c r="C560">
        <v>39</v>
      </c>
      <c r="D560">
        <v>9</v>
      </c>
      <c r="E560">
        <v>4</v>
      </c>
      <c r="F560">
        <v>1</v>
      </c>
      <c r="G560" t="s">
        <v>115</v>
      </c>
      <c r="H560" t="str">
        <f>IFERROR(ROUND(COUNTIFS(Tasks!$A:$A,$A560,Tasks!$B:$B,$B560,Tasks!$C:$C,$G560,Tasks!$I:$I,"&lt;="&amp;INDEX(Weeks!$D:$D,MATCH($C560,Weeks!$A:$A,0)),Tasks!$I:$I,"&lt;&gt;")/COUNTIFS(Tasks!$A:$A,$A560,Tasks!$B:$B,$B560,Tasks!$C:$C,$G560)*100,0),"")</f>
        <v/>
      </c>
    </row>
    <row r="561" spans="1:8" ht="15" hidden="1" customHeight="1">
      <c r="A561" t="s">
        <v>93</v>
      </c>
      <c r="B561" t="s">
        <v>96</v>
      </c>
      <c r="C561">
        <v>40</v>
      </c>
      <c r="D561">
        <v>10</v>
      </c>
      <c r="E561">
        <v>1</v>
      </c>
      <c r="F561">
        <v>1</v>
      </c>
      <c r="G561" t="s">
        <v>115</v>
      </c>
      <c r="H561" t="str">
        <f>IFERROR(ROUND(COUNTIFS(Tasks!$A:$A,$A561,Tasks!$B:$B,$B561,Tasks!$C:$C,$G561,Tasks!$I:$I,"&lt;="&amp;INDEX(Weeks!$D:$D,MATCH($C561,Weeks!$A:$A,0)),Tasks!$I:$I,"&lt;&gt;")/COUNTIFS(Tasks!$A:$A,$A561,Tasks!$B:$B,$B561,Tasks!$C:$C,$G561)*100,0),"")</f>
        <v/>
      </c>
    </row>
    <row r="562" spans="1:8" ht="15" hidden="1" customHeight="1">
      <c r="A562" t="s">
        <v>93</v>
      </c>
      <c r="B562" t="s">
        <v>96</v>
      </c>
      <c r="C562">
        <v>41</v>
      </c>
      <c r="D562">
        <v>10</v>
      </c>
      <c r="E562">
        <v>2</v>
      </c>
      <c r="F562">
        <v>1</v>
      </c>
      <c r="G562" t="s">
        <v>115</v>
      </c>
      <c r="H562" t="str">
        <f>IFERROR(ROUND(COUNTIFS(Tasks!$A:$A,$A562,Tasks!$B:$B,$B562,Tasks!$C:$C,$G562,Tasks!$I:$I,"&lt;="&amp;INDEX(Weeks!$D:$D,MATCH($C562,Weeks!$A:$A,0)),Tasks!$I:$I,"&lt;&gt;")/COUNTIFS(Tasks!$A:$A,$A562,Tasks!$B:$B,$B562,Tasks!$C:$C,$G562)*100,0),"")</f>
        <v/>
      </c>
    </row>
    <row r="563" spans="1:8" ht="15" hidden="1" customHeight="1">
      <c r="A563" t="s">
        <v>93</v>
      </c>
      <c r="B563" t="s">
        <v>96</v>
      </c>
      <c r="C563">
        <v>42</v>
      </c>
      <c r="D563">
        <v>10</v>
      </c>
      <c r="E563">
        <v>3</v>
      </c>
      <c r="F563">
        <v>1</v>
      </c>
      <c r="G563" t="s">
        <v>115</v>
      </c>
      <c r="H563" t="str">
        <f>IFERROR(ROUND(COUNTIFS(Tasks!$A:$A,$A563,Tasks!$B:$B,$B563,Tasks!$C:$C,$G563,Tasks!$I:$I,"&lt;="&amp;INDEX(Weeks!$D:$D,MATCH($C563,Weeks!$A:$A,0)),Tasks!$I:$I,"&lt;&gt;")/COUNTIFS(Tasks!$A:$A,$A563,Tasks!$B:$B,$B563,Tasks!$C:$C,$G563)*100,0),"")</f>
        <v/>
      </c>
    </row>
    <row r="564" spans="1:8" ht="15" hidden="1" customHeight="1">
      <c r="A564" t="s">
        <v>93</v>
      </c>
      <c r="B564" t="s">
        <v>96</v>
      </c>
      <c r="C564">
        <v>43</v>
      </c>
      <c r="D564">
        <v>10</v>
      </c>
      <c r="E564">
        <v>4</v>
      </c>
      <c r="F564">
        <v>1</v>
      </c>
      <c r="G564" t="s">
        <v>115</v>
      </c>
      <c r="H564" t="str">
        <f>IFERROR(ROUND(COUNTIFS(Tasks!$A:$A,$A564,Tasks!$B:$B,$B564,Tasks!$C:$C,$G564,Tasks!$I:$I,"&lt;="&amp;INDEX(Weeks!$D:$D,MATCH($C564,Weeks!$A:$A,0)),Tasks!$I:$I,"&lt;&gt;")/COUNTIFS(Tasks!$A:$A,$A564,Tasks!$B:$B,$B564,Tasks!$C:$C,$G564)*100,0),"")</f>
        <v/>
      </c>
    </row>
    <row r="565" spans="1:8" ht="15" hidden="1" customHeight="1">
      <c r="A565" t="s">
        <v>93</v>
      </c>
      <c r="B565" t="s">
        <v>96</v>
      </c>
      <c r="C565">
        <v>44</v>
      </c>
      <c r="D565">
        <v>10</v>
      </c>
      <c r="E565">
        <v>5</v>
      </c>
      <c r="F565">
        <v>1</v>
      </c>
      <c r="G565" t="s">
        <v>115</v>
      </c>
      <c r="H565" t="str">
        <f>IFERROR(ROUND(COUNTIFS(Tasks!$A:$A,$A565,Tasks!$B:$B,$B565,Tasks!$C:$C,$G565,Tasks!$I:$I,"&lt;="&amp;INDEX(Weeks!$D:$D,MATCH($C565,Weeks!$A:$A,0)),Tasks!$I:$I,"&lt;&gt;")/COUNTIFS(Tasks!$A:$A,$A565,Tasks!$B:$B,$B565,Tasks!$C:$C,$G565)*100,0),"")</f>
        <v/>
      </c>
    </row>
    <row r="566" spans="1:8" ht="15" hidden="1" customHeight="1">
      <c r="A566" t="s">
        <v>93</v>
      </c>
      <c r="B566" t="s">
        <v>96</v>
      </c>
      <c r="C566">
        <v>45</v>
      </c>
      <c r="D566">
        <v>11</v>
      </c>
      <c r="E566">
        <v>1</v>
      </c>
      <c r="F566">
        <v>1</v>
      </c>
      <c r="G566" t="s">
        <v>115</v>
      </c>
      <c r="H566" t="str">
        <f>IFERROR(ROUND(COUNTIFS(Tasks!$A:$A,$A566,Tasks!$B:$B,$B566,Tasks!$C:$C,$G566,Tasks!$I:$I,"&lt;="&amp;INDEX(Weeks!$D:$D,MATCH($C566,Weeks!$A:$A,0)),Tasks!$I:$I,"&lt;&gt;")/COUNTIFS(Tasks!$A:$A,$A566,Tasks!$B:$B,$B566,Tasks!$C:$C,$G566)*100,0),"")</f>
        <v/>
      </c>
    </row>
    <row r="567" spans="1:8" ht="15" hidden="1" customHeight="1">
      <c r="A567" t="s">
        <v>93</v>
      </c>
      <c r="B567" t="s">
        <v>96</v>
      </c>
      <c r="C567">
        <v>46</v>
      </c>
      <c r="D567">
        <v>11</v>
      </c>
      <c r="E567">
        <v>2</v>
      </c>
      <c r="F567">
        <v>1</v>
      </c>
      <c r="G567" t="s">
        <v>115</v>
      </c>
      <c r="H567" t="str">
        <f>IFERROR(ROUND(COUNTIFS(Tasks!$A:$A,$A567,Tasks!$B:$B,$B567,Tasks!$C:$C,$G567,Tasks!$I:$I,"&lt;="&amp;INDEX(Weeks!$D:$D,MATCH($C567,Weeks!$A:$A,0)),Tasks!$I:$I,"&lt;&gt;")/COUNTIFS(Tasks!$A:$A,$A567,Tasks!$B:$B,$B567,Tasks!$C:$C,$G567)*100,0),"")</f>
        <v/>
      </c>
    </row>
    <row r="568" spans="1:8" ht="15" hidden="1" customHeight="1">
      <c r="A568" t="s">
        <v>93</v>
      </c>
      <c r="B568" t="s">
        <v>96</v>
      </c>
      <c r="C568">
        <v>47</v>
      </c>
      <c r="D568">
        <v>11</v>
      </c>
      <c r="E568">
        <v>3</v>
      </c>
      <c r="F568">
        <v>1</v>
      </c>
      <c r="G568" t="s">
        <v>115</v>
      </c>
      <c r="H568" t="str">
        <f>IFERROR(ROUND(COUNTIFS(Tasks!$A:$A,$A568,Tasks!$B:$B,$B568,Tasks!$C:$C,$G568,Tasks!$I:$I,"&lt;="&amp;INDEX(Weeks!$D:$D,MATCH($C568,Weeks!$A:$A,0)),Tasks!$I:$I,"&lt;&gt;")/COUNTIFS(Tasks!$A:$A,$A568,Tasks!$B:$B,$B568,Tasks!$C:$C,$G568)*100,0),"")</f>
        <v/>
      </c>
    </row>
    <row r="569" spans="1:8" ht="15" hidden="1" customHeight="1">
      <c r="A569" t="s">
        <v>93</v>
      </c>
      <c r="B569" t="s">
        <v>96</v>
      </c>
      <c r="C569">
        <v>48</v>
      </c>
      <c r="D569">
        <v>11</v>
      </c>
      <c r="E569">
        <v>4</v>
      </c>
      <c r="F569">
        <v>1</v>
      </c>
      <c r="G569" t="s">
        <v>115</v>
      </c>
      <c r="H569" t="str">
        <f>IFERROR(ROUND(COUNTIFS(Tasks!$A:$A,$A569,Tasks!$B:$B,$B569,Tasks!$C:$C,$G569,Tasks!$I:$I,"&lt;="&amp;INDEX(Weeks!$D:$D,MATCH($C569,Weeks!$A:$A,0)),Tasks!$I:$I,"&lt;&gt;")/COUNTIFS(Tasks!$A:$A,$A569,Tasks!$B:$B,$B569,Tasks!$C:$C,$G569)*100,0),"")</f>
        <v/>
      </c>
    </row>
    <row r="570" spans="1:8" ht="15" hidden="1" customHeight="1">
      <c r="A570" t="s">
        <v>93</v>
      </c>
      <c r="B570" t="s">
        <v>96</v>
      </c>
      <c r="C570">
        <v>49</v>
      </c>
      <c r="D570">
        <v>12</v>
      </c>
      <c r="E570">
        <v>1</v>
      </c>
      <c r="F570">
        <v>1</v>
      </c>
      <c r="G570" t="s">
        <v>115</v>
      </c>
      <c r="H570" t="str">
        <f>IFERROR(ROUND(COUNTIFS(Tasks!$A:$A,$A570,Tasks!$B:$B,$B570,Tasks!$C:$C,$G570,Tasks!$I:$I,"&lt;="&amp;INDEX(Weeks!$D:$D,MATCH($C570,Weeks!$A:$A,0)),Tasks!$I:$I,"&lt;&gt;")/COUNTIFS(Tasks!$A:$A,$A570,Tasks!$B:$B,$B570,Tasks!$C:$C,$G570)*100,0),"")</f>
        <v/>
      </c>
    </row>
    <row r="571" spans="1:8" ht="15" hidden="1" customHeight="1">
      <c r="A571" t="s">
        <v>93</v>
      </c>
      <c r="B571" t="s">
        <v>96</v>
      </c>
      <c r="C571">
        <v>50</v>
      </c>
      <c r="D571">
        <v>12</v>
      </c>
      <c r="E571">
        <v>2</v>
      </c>
      <c r="F571">
        <v>1</v>
      </c>
      <c r="G571" t="s">
        <v>115</v>
      </c>
      <c r="H571" t="str">
        <f>IFERROR(ROUND(COUNTIFS(Tasks!$A:$A,$A571,Tasks!$B:$B,$B571,Tasks!$C:$C,$G571,Tasks!$I:$I,"&lt;="&amp;INDEX(Weeks!$D:$D,MATCH($C571,Weeks!$A:$A,0)),Tasks!$I:$I,"&lt;&gt;")/COUNTIFS(Tasks!$A:$A,$A571,Tasks!$B:$B,$B571,Tasks!$C:$C,$G571)*100,0),"")</f>
        <v/>
      </c>
    </row>
    <row r="572" spans="1:8" ht="15" hidden="1" customHeight="1">
      <c r="A572" t="s">
        <v>93</v>
      </c>
      <c r="B572" t="s">
        <v>96</v>
      </c>
      <c r="C572">
        <v>51</v>
      </c>
      <c r="D572">
        <v>12</v>
      </c>
      <c r="E572">
        <v>3</v>
      </c>
      <c r="F572">
        <v>1</v>
      </c>
      <c r="G572" t="s">
        <v>115</v>
      </c>
      <c r="H572" t="str">
        <f>IFERROR(ROUND(COUNTIFS(Tasks!$A:$A,$A572,Tasks!$B:$B,$B572,Tasks!$C:$C,$G572,Tasks!$I:$I,"&lt;="&amp;INDEX(Weeks!$D:$D,MATCH($C572,Weeks!$A:$A,0)),Tasks!$I:$I,"&lt;&gt;")/COUNTIFS(Tasks!$A:$A,$A572,Tasks!$B:$B,$B572,Tasks!$C:$C,$G572)*100,0),"")</f>
        <v/>
      </c>
    </row>
    <row r="573" spans="1:8" ht="15" hidden="1" customHeight="1">
      <c r="A573" t="s">
        <v>93</v>
      </c>
      <c r="B573" t="s">
        <v>96</v>
      </c>
      <c r="C573">
        <v>52</v>
      </c>
      <c r="D573">
        <v>12</v>
      </c>
      <c r="E573">
        <v>4</v>
      </c>
      <c r="F573">
        <v>1</v>
      </c>
      <c r="G573" t="s">
        <v>115</v>
      </c>
      <c r="H573" t="str">
        <f>IFERROR(ROUND(COUNTIFS(Tasks!$A:$A,$A573,Tasks!$B:$B,$B573,Tasks!$C:$C,$G573,Tasks!$I:$I,"&lt;="&amp;INDEX(Weeks!$D:$D,MATCH($C573,Weeks!$A:$A,0)),Tasks!$I:$I,"&lt;&gt;")/COUNTIFS(Tasks!$A:$A,$A573,Tasks!$B:$B,$B573,Tasks!$C:$C,$G573)*100,0),"")</f>
        <v/>
      </c>
    </row>
    <row r="574" spans="1:8" ht="15" hidden="1" customHeight="1">
      <c r="A574" t="s">
        <v>93</v>
      </c>
      <c r="B574" t="s">
        <v>96</v>
      </c>
      <c r="C574">
        <v>1</v>
      </c>
      <c r="D574">
        <v>1</v>
      </c>
      <c r="E574">
        <v>1</v>
      </c>
      <c r="F574">
        <v>2</v>
      </c>
      <c r="G574" t="s">
        <v>116</v>
      </c>
      <c r="H574" t="str">
        <f>IFERROR(ROUND(COUNTIFS(Tasks!$A:$A,$A574,Tasks!$B:$B,$B574,Tasks!$C:$C,$G574,Tasks!$I:$I,"&lt;="&amp;INDEX(Weeks!$D:$D,MATCH($C574,Weeks!$A:$A,0)),Tasks!$I:$I,"&lt;&gt;")/COUNTIFS(Tasks!$A:$A,$A574,Tasks!$B:$B,$B574,Tasks!$C:$C,$G574)*100,0),"")</f>
        <v/>
      </c>
    </row>
    <row r="575" spans="1:8" ht="15" hidden="1" customHeight="1">
      <c r="A575" t="s">
        <v>93</v>
      </c>
      <c r="B575" t="s">
        <v>96</v>
      </c>
      <c r="C575">
        <v>2</v>
      </c>
      <c r="D575">
        <v>1</v>
      </c>
      <c r="E575">
        <v>2</v>
      </c>
      <c r="F575">
        <v>2</v>
      </c>
      <c r="G575" t="s">
        <v>116</v>
      </c>
      <c r="H575" t="str">
        <f>IFERROR(ROUND(COUNTIFS(Tasks!$A:$A,$A575,Tasks!$B:$B,$B575,Tasks!$C:$C,$G575,Tasks!$I:$I,"&lt;="&amp;INDEX(Weeks!$D:$D,MATCH($C575,Weeks!$A:$A,0)),Tasks!$I:$I,"&lt;&gt;")/COUNTIFS(Tasks!$A:$A,$A575,Tasks!$B:$B,$B575,Tasks!$C:$C,$G575)*100,0),"")</f>
        <v/>
      </c>
    </row>
    <row r="576" spans="1:8" ht="15" hidden="1" customHeight="1">
      <c r="A576" t="s">
        <v>93</v>
      </c>
      <c r="B576" t="s">
        <v>96</v>
      </c>
      <c r="C576">
        <v>3</v>
      </c>
      <c r="D576">
        <v>1</v>
      </c>
      <c r="E576">
        <v>3</v>
      </c>
      <c r="F576">
        <v>2</v>
      </c>
      <c r="G576" t="s">
        <v>116</v>
      </c>
      <c r="H576" t="str">
        <f>IFERROR(ROUND(COUNTIFS(Tasks!$A:$A,$A576,Tasks!$B:$B,$B576,Tasks!$C:$C,$G576,Tasks!$I:$I,"&lt;="&amp;INDEX(Weeks!$D:$D,MATCH($C576,Weeks!$A:$A,0)),Tasks!$I:$I,"&lt;&gt;")/COUNTIFS(Tasks!$A:$A,$A576,Tasks!$B:$B,$B576,Tasks!$C:$C,$G576)*100,0),"")</f>
        <v/>
      </c>
    </row>
    <row r="577" spans="1:8" ht="15" hidden="1" customHeight="1">
      <c r="A577" t="s">
        <v>93</v>
      </c>
      <c r="B577" t="s">
        <v>96</v>
      </c>
      <c r="C577">
        <v>4</v>
      </c>
      <c r="D577">
        <v>1</v>
      </c>
      <c r="E577">
        <v>4</v>
      </c>
      <c r="F577">
        <v>2</v>
      </c>
      <c r="G577" t="s">
        <v>116</v>
      </c>
      <c r="H577" t="str">
        <f>IFERROR(ROUND(COUNTIFS(Tasks!$A:$A,$A577,Tasks!$B:$B,$B577,Tasks!$C:$C,$G577,Tasks!$I:$I,"&lt;="&amp;INDEX(Weeks!$D:$D,MATCH($C577,Weeks!$A:$A,0)),Tasks!$I:$I,"&lt;&gt;")/COUNTIFS(Tasks!$A:$A,$A577,Tasks!$B:$B,$B577,Tasks!$C:$C,$G577)*100,0),"")</f>
        <v/>
      </c>
    </row>
    <row r="578" spans="1:8" ht="15" hidden="1" customHeight="1">
      <c r="A578" t="s">
        <v>93</v>
      </c>
      <c r="B578" t="s">
        <v>96</v>
      </c>
      <c r="C578">
        <v>5</v>
      </c>
      <c r="D578">
        <v>1</v>
      </c>
      <c r="E578">
        <v>5</v>
      </c>
      <c r="F578">
        <v>2</v>
      </c>
      <c r="G578" t="s">
        <v>116</v>
      </c>
      <c r="H578" t="str">
        <f>IFERROR(ROUND(COUNTIFS(Tasks!$A:$A,$A578,Tasks!$B:$B,$B578,Tasks!$C:$C,$G578,Tasks!$I:$I,"&lt;="&amp;INDEX(Weeks!$D:$D,MATCH($C578,Weeks!$A:$A,0)),Tasks!$I:$I,"&lt;&gt;")/COUNTIFS(Tasks!$A:$A,$A578,Tasks!$B:$B,$B578,Tasks!$C:$C,$G578)*100,0),"")</f>
        <v/>
      </c>
    </row>
    <row r="579" spans="1:8" ht="15" hidden="1" customHeight="1">
      <c r="A579" t="s">
        <v>93</v>
      </c>
      <c r="B579" t="s">
        <v>96</v>
      </c>
      <c r="C579">
        <v>6</v>
      </c>
      <c r="D579">
        <v>2</v>
      </c>
      <c r="E579">
        <v>1</v>
      </c>
      <c r="F579">
        <v>2</v>
      </c>
      <c r="G579" t="s">
        <v>116</v>
      </c>
      <c r="H579" t="str">
        <f>IFERROR(ROUND(COUNTIFS(Tasks!$A:$A,$A579,Tasks!$B:$B,$B579,Tasks!$C:$C,$G579,Tasks!$I:$I,"&lt;="&amp;INDEX(Weeks!$D:$D,MATCH($C579,Weeks!$A:$A,0)),Tasks!$I:$I,"&lt;&gt;")/COUNTIFS(Tasks!$A:$A,$A579,Tasks!$B:$B,$B579,Tasks!$C:$C,$G579)*100,0),"")</f>
        <v/>
      </c>
    </row>
    <row r="580" spans="1:8" ht="15" hidden="1" customHeight="1">
      <c r="A580" t="s">
        <v>93</v>
      </c>
      <c r="B580" t="s">
        <v>96</v>
      </c>
      <c r="C580">
        <v>7</v>
      </c>
      <c r="D580">
        <v>2</v>
      </c>
      <c r="E580">
        <v>2</v>
      </c>
      <c r="F580">
        <v>2</v>
      </c>
      <c r="G580" t="s">
        <v>116</v>
      </c>
      <c r="H580" t="str">
        <f>IFERROR(ROUND(COUNTIFS(Tasks!$A:$A,$A580,Tasks!$B:$B,$B580,Tasks!$C:$C,$G580,Tasks!$I:$I,"&lt;="&amp;INDEX(Weeks!$D:$D,MATCH($C580,Weeks!$A:$A,0)),Tasks!$I:$I,"&lt;&gt;")/COUNTIFS(Tasks!$A:$A,$A580,Tasks!$B:$B,$B580,Tasks!$C:$C,$G580)*100,0),"")</f>
        <v/>
      </c>
    </row>
    <row r="581" spans="1:8" ht="15" hidden="1" customHeight="1">
      <c r="A581" t="s">
        <v>93</v>
      </c>
      <c r="B581" t="s">
        <v>96</v>
      </c>
      <c r="C581">
        <v>8</v>
      </c>
      <c r="D581">
        <v>2</v>
      </c>
      <c r="E581">
        <v>3</v>
      </c>
      <c r="F581">
        <v>2</v>
      </c>
      <c r="G581" t="s">
        <v>116</v>
      </c>
      <c r="H581" t="str">
        <f>IFERROR(ROUND(COUNTIFS(Tasks!$A:$A,$A581,Tasks!$B:$B,$B581,Tasks!$C:$C,$G581,Tasks!$I:$I,"&lt;="&amp;INDEX(Weeks!$D:$D,MATCH($C581,Weeks!$A:$A,0)),Tasks!$I:$I,"&lt;&gt;")/COUNTIFS(Tasks!$A:$A,$A581,Tasks!$B:$B,$B581,Tasks!$C:$C,$G581)*100,0),"")</f>
        <v/>
      </c>
    </row>
    <row r="582" spans="1:8" ht="15" hidden="1" customHeight="1">
      <c r="A582" t="s">
        <v>93</v>
      </c>
      <c r="B582" t="s">
        <v>96</v>
      </c>
      <c r="C582">
        <v>9</v>
      </c>
      <c r="D582">
        <v>2</v>
      </c>
      <c r="E582">
        <v>4</v>
      </c>
      <c r="F582">
        <v>2</v>
      </c>
      <c r="G582" t="s">
        <v>116</v>
      </c>
      <c r="H582" t="str">
        <f>IFERROR(ROUND(COUNTIFS(Tasks!$A:$A,$A582,Tasks!$B:$B,$B582,Tasks!$C:$C,$G582,Tasks!$I:$I,"&lt;="&amp;INDEX(Weeks!$D:$D,MATCH($C582,Weeks!$A:$A,0)),Tasks!$I:$I,"&lt;&gt;")/COUNTIFS(Tasks!$A:$A,$A582,Tasks!$B:$B,$B582,Tasks!$C:$C,$G582)*100,0),"")</f>
        <v/>
      </c>
    </row>
    <row r="583" spans="1:8" ht="15" hidden="1" customHeight="1">
      <c r="A583" t="s">
        <v>93</v>
      </c>
      <c r="B583" t="s">
        <v>96</v>
      </c>
      <c r="C583">
        <v>10</v>
      </c>
      <c r="D583">
        <v>3</v>
      </c>
      <c r="E583">
        <v>1</v>
      </c>
      <c r="F583">
        <v>2</v>
      </c>
      <c r="G583" t="s">
        <v>116</v>
      </c>
      <c r="H583" t="str">
        <f>IFERROR(ROUND(COUNTIFS(Tasks!$A:$A,$A583,Tasks!$B:$B,$B583,Tasks!$C:$C,$G583,Tasks!$I:$I,"&lt;="&amp;INDEX(Weeks!$D:$D,MATCH($C583,Weeks!$A:$A,0)),Tasks!$I:$I,"&lt;&gt;")/COUNTIFS(Tasks!$A:$A,$A583,Tasks!$B:$B,$B583,Tasks!$C:$C,$G583)*100,0),"")</f>
        <v/>
      </c>
    </row>
    <row r="584" spans="1:8" ht="15" hidden="1" customHeight="1">
      <c r="A584" t="s">
        <v>93</v>
      </c>
      <c r="B584" t="s">
        <v>96</v>
      </c>
      <c r="C584">
        <v>11</v>
      </c>
      <c r="D584">
        <v>3</v>
      </c>
      <c r="E584">
        <v>2</v>
      </c>
      <c r="F584">
        <v>2</v>
      </c>
      <c r="G584" t="s">
        <v>116</v>
      </c>
      <c r="H584" t="str">
        <f>IFERROR(ROUND(COUNTIFS(Tasks!$A:$A,$A584,Tasks!$B:$B,$B584,Tasks!$C:$C,$G584,Tasks!$I:$I,"&lt;="&amp;INDEX(Weeks!$D:$D,MATCH($C584,Weeks!$A:$A,0)),Tasks!$I:$I,"&lt;&gt;")/COUNTIFS(Tasks!$A:$A,$A584,Tasks!$B:$B,$B584,Tasks!$C:$C,$G584)*100,0),"")</f>
        <v/>
      </c>
    </row>
    <row r="585" spans="1:8" ht="15" hidden="1" customHeight="1">
      <c r="A585" t="s">
        <v>93</v>
      </c>
      <c r="B585" t="s">
        <v>96</v>
      </c>
      <c r="C585">
        <v>12</v>
      </c>
      <c r="D585">
        <v>3</v>
      </c>
      <c r="E585">
        <v>3</v>
      </c>
      <c r="F585">
        <v>2</v>
      </c>
      <c r="G585" t="s">
        <v>116</v>
      </c>
      <c r="H585" t="str">
        <f>IFERROR(ROUND(COUNTIFS(Tasks!$A:$A,$A585,Tasks!$B:$B,$B585,Tasks!$C:$C,$G585,Tasks!$I:$I,"&lt;="&amp;INDEX(Weeks!$D:$D,MATCH($C585,Weeks!$A:$A,0)),Tasks!$I:$I,"&lt;&gt;")/COUNTIFS(Tasks!$A:$A,$A585,Tasks!$B:$B,$B585,Tasks!$C:$C,$G585)*100,0),"")</f>
        <v/>
      </c>
    </row>
    <row r="586" spans="1:8" ht="15" hidden="1" customHeight="1">
      <c r="A586" t="s">
        <v>93</v>
      </c>
      <c r="B586" t="s">
        <v>96</v>
      </c>
      <c r="C586">
        <v>13</v>
      </c>
      <c r="D586">
        <v>3</v>
      </c>
      <c r="E586">
        <v>4</v>
      </c>
      <c r="F586">
        <v>2</v>
      </c>
      <c r="G586" t="s">
        <v>116</v>
      </c>
      <c r="H586" t="str">
        <f>IFERROR(ROUND(COUNTIFS(Tasks!$A:$A,$A586,Tasks!$B:$B,$B586,Tasks!$C:$C,$G586,Tasks!$I:$I,"&lt;="&amp;INDEX(Weeks!$D:$D,MATCH($C586,Weeks!$A:$A,0)),Tasks!$I:$I,"&lt;&gt;")/COUNTIFS(Tasks!$A:$A,$A586,Tasks!$B:$B,$B586,Tasks!$C:$C,$G586)*100,0),"")</f>
        <v/>
      </c>
    </row>
    <row r="587" spans="1:8" ht="15" hidden="1" customHeight="1">
      <c r="A587" t="s">
        <v>93</v>
      </c>
      <c r="B587" t="s">
        <v>96</v>
      </c>
      <c r="C587">
        <v>14</v>
      </c>
      <c r="D587">
        <v>4</v>
      </c>
      <c r="E587">
        <v>1</v>
      </c>
      <c r="F587">
        <v>2</v>
      </c>
      <c r="G587" t="s">
        <v>116</v>
      </c>
      <c r="H587" t="str">
        <f>IFERROR(ROUND(COUNTIFS(Tasks!$A:$A,$A587,Tasks!$B:$B,$B587,Tasks!$C:$C,$G587,Tasks!$I:$I,"&lt;="&amp;INDEX(Weeks!$D:$D,MATCH($C587,Weeks!$A:$A,0)),Tasks!$I:$I,"&lt;&gt;")/COUNTIFS(Tasks!$A:$A,$A587,Tasks!$B:$B,$B587,Tasks!$C:$C,$G587)*100,0),"")</f>
        <v/>
      </c>
    </row>
    <row r="588" spans="1:8" ht="15" hidden="1" customHeight="1">
      <c r="A588" t="s">
        <v>93</v>
      </c>
      <c r="B588" t="s">
        <v>96</v>
      </c>
      <c r="C588">
        <v>15</v>
      </c>
      <c r="D588">
        <v>4</v>
      </c>
      <c r="E588">
        <v>2</v>
      </c>
      <c r="F588">
        <v>2</v>
      </c>
      <c r="G588" t="s">
        <v>116</v>
      </c>
      <c r="H588" t="str">
        <f>IFERROR(ROUND(COUNTIFS(Tasks!$A:$A,$A588,Tasks!$B:$B,$B588,Tasks!$C:$C,$G588,Tasks!$I:$I,"&lt;="&amp;INDEX(Weeks!$D:$D,MATCH($C588,Weeks!$A:$A,0)),Tasks!$I:$I,"&lt;&gt;")/COUNTIFS(Tasks!$A:$A,$A588,Tasks!$B:$B,$B588,Tasks!$C:$C,$G588)*100,0),"")</f>
        <v/>
      </c>
    </row>
    <row r="589" spans="1:8" ht="15" hidden="1" customHeight="1">
      <c r="A589" t="s">
        <v>93</v>
      </c>
      <c r="B589" t="s">
        <v>96</v>
      </c>
      <c r="C589">
        <v>16</v>
      </c>
      <c r="D589">
        <v>4</v>
      </c>
      <c r="E589">
        <v>3</v>
      </c>
      <c r="F589">
        <v>2</v>
      </c>
      <c r="G589" t="s">
        <v>116</v>
      </c>
      <c r="H589" t="str">
        <f>IFERROR(ROUND(COUNTIFS(Tasks!$A:$A,$A589,Tasks!$B:$B,$B589,Tasks!$C:$C,$G589,Tasks!$I:$I,"&lt;="&amp;INDEX(Weeks!$D:$D,MATCH($C589,Weeks!$A:$A,0)),Tasks!$I:$I,"&lt;&gt;")/COUNTIFS(Tasks!$A:$A,$A589,Tasks!$B:$B,$B589,Tasks!$C:$C,$G589)*100,0),"")</f>
        <v/>
      </c>
    </row>
    <row r="590" spans="1:8" ht="15" hidden="1" customHeight="1">
      <c r="A590" t="s">
        <v>93</v>
      </c>
      <c r="B590" t="s">
        <v>96</v>
      </c>
      <c r="C590">
        <v>17</v>
      </c>
      <c r="D590">
        <v>4</v>
      </c>
      <c r="E590">
        <v>4</v>
      </c>
      <c r="F590">
        <v>2</v>
      </c>
      <c r="G590" t="s">
        <v>116</v>
      </c>
      <c r="H590" t="str">
        <f>IFERROR(ROUND(COUNTIFS(Tasks!$A:$A,$A590,Tasks!$B:$B,$B590,Tasks!$C:$C,$G590,Tasks!$I:$I,"&lt;="&amp;INDEX(Weeks!$D:$D,MATCH($C590,Weeks!$A:$A,0)),Tasks!$I:$I,"&lt;&gt;")/COUNTIFS(Tasks!$A:$A,$A590,Tasks!$B:$B,$B590,Tasks!$C:$C,$G590)*100,0),"")</f>
        <v/>
      </c>
    </row>
    <row r="591" spans="1:8" ht="15" hidden="1" customHeight="1">
      <c r="A591" t="s">
        <v>93</v>
      </c>
      <c r="B591" t="s">
        <v>96</v>
      </c>
      <c r="C591">
        <v>18</v>
      </c>
      <c r="D591">
        <v>5</v>
      </c>
      <c r="E591">
        <v>1</v>
      </c>
      <c r="F591">
        <v>2</v>
      </c>
      <c r="G591" t="s">
        <v>116</v>
      </c>
      <c r="H591" t="str">
        <f>IFERROR(ROUND(COUNTIFS(Tasks!$A:$A,$A591,Tasks!$B:$B,$B591,Tasks!$C:$C,$G591,Tasks!$I:$I,"&lt;="&amp;INDEX(Weeks!$D:$D,MATCH($C591,Weeks!$A:$A,0)),Tasks!$I:$I,"&lt;&gt;")/COUNTIFS(Tasks!$A:$A,$A591,Tasks!$B:$B,$B591,Tasks!$C:$C,$G591)*100,0),"")</f>
        <v/>
      </c>
    </row>
    <row r="592" spans="1:8" ht="15" hidden="1" customHeight="1">
      <c r="A592" t="s">
        <v>93</v>
      </c>
      <c r="B592" t="s">
        <v>96</v>
      </c>
      <c r="C592">
        <v>19</v>
      </c>
      <c r="D592">
        <v>5</v>
      </c>
      <c r="E592">
        <v>2</v>
      </c>
      <c r="F592">
        <v>2</v>
      </c>
      <c r="G592" t="s">
        <v>116</v>
      </c>
      <c r="H592" t="str">
        <f>IFERROR(ROUND(COUNTIFS(Tasks!$A:$A,$A592,Tasks!$B:$B,$B592,Tasks!$C:$C,$G592,Tasks!$I:$I,"&lt;="&amp;INDEX(Weeks!$D:$D,MATCH($C592,Weeks!$A:$A,0)),Tasks!$I:$I,"&lt;&gt;")/COUNTIFS(Tasks!$A:$A,$A592,Tasks!$B:$B,$B592,Tasks!$C:$C,$G592)*100,0),"")</f>
        <v/>
      </c>
    </row>
    <row r="593" spans="1:8" ht="15" hidden="1" customHeight="1">
      <c r="A593" t="s">
        <v>93</v>
      </c>
      <c r="B593" t="s">
        <v>96</v>
      </c>
      <c r="C593">
        <v>20</v>
      </c>
      <c r="D593">
        <v>5</v>
      </c>
      <c r="E593">
        <v>3</v>
      </c>
      <c r="F593">
        <v>2</v>
      </c>
      <c r="G593" t="s">
        <v>116</v>
      </c>
      <c r="H593" t="str">
        <f>IFERROR(ROUND(COUNTIFS(Tasks!$A:$A,$A593,Tasks!$B:$B,$B593,Tasks!$C:$C,$G593,Tasks!$I:$I,"&lt;="&amp;INDEX(Weeks!$D:$D,MATCH($C593,Weeks!$A:$A,0)),Tasks!$I:$I,"&lt;&gt;")/COUNTIFS(Tasks!$A:$A,$A593,Tasks!$B:$B,$B593,Tasks!$C:$C,$G593)*100,0),"")</f>
        <v/>
      </c>
    </row>
    <row r="594" spans="1:8" ht="15" hidden="1" customHeight="1">
      <c r="A594" t="s">
        <v>93</v>
      </c>
      <c r="B594" t="s">
        <v>96</v>
      </c>
      <c r="C594">
        <v>21</v>
      </c>
      <c r="D594">
        <v>5</v>
      </c>
      <c r="E594">
        <v>4</v>
      </c>
      <c r="F594">
        <v>2</v>
      </c>
      <c r="G594" t="s">
        <v>116</v>
      </c>
      <c r="H594" t="str">
        <f>IFERROR(ROUND(COUNTIFS(Tasks!$A:$A,$A594,Tasks!$B:$B,$B594,Tasks!$C:$C,$G594,Tasks!$I:$I,"&lt;="&amp;INDEX(Weeks!$D:$D,MATCH($C594,Weeks!$A:$A,0)),Tasks!$I:$I,"&lt;&gt;")/COUNTIFS(Tasks!$A:$A,$A594,Tasks!$B:$B,$B594,Tasks!$C:$C,$G594)*100,0),"")</f>
        <v/>
      </c>
    </row>
    <row r="595" spans="1:8" ht="15" hidden="1" customHeight="1">
      <c r="A595" t="s">
        <v>93</v>
      </c>
      <c r="B595" t="s">
        <v>96</v>
      </c>
      <c r="C595">
        <v>22</v>
      </c>
      <c r="D595">
        <v>5</v>
      </c>
      <c r="E595">
        <v>5</v>
      </c>
      <c r="F595">
        <v>2</v>
      </c>
      <c r="G595" t="s">
        <v>116</v>
      </c>
      <c r="H595" t="str">
        <f>IFERROR(ROUND(COUNTIFS(Tasks!$A:$A,$A595,Tasks!$B:$B,$B595,Tasks!$C:$C,$G595,Tasks!$I:$I,"&lt;="&amp;INDEX(Weeks!$D:$D,MATCH($C595,Weeks!$A:$A,0)),Tasks!$I:$I,"&lt;&gt;")/COUNTIFS(Tasks!$A:$A,$A595,Tasks!$B:$B,$B595,Tasks!$C:$C,$G595)*100,0),"")</f>
        <v/>
      </c>
    </row>
    <row r="596" spans="1:8" ht="15" hidden="1" customHeight="1">
      <c r="A596" t="s">
        <v>93</v>
      </c>
      <c r="B596" t="s">
        <v>96</v>
      </c>
      <c r="C596">
        <v>23</v>
      </c>
      <c r="D596">
        <v>6</v>
      </c>
      <c r="E596">
        <v>1</v>
      </c>
      <c r="F596">
        <v>2</v>
      </c>
      <c r="G596" t="s">
        <v>116</v>
      </c>
      <c r="H596" t="str">
        <f>IFERROR(ROUND(COUNTIFS(Tasks!$A:$A,$A596,Tasks!$B:$B,$B596,Tasks!$C:$C,$G596,Tasks!$I:$I,"&lt;="&amp;INDEX(Weeks!$D:$D,MATCH($C596,Weeks!$A:$A,0)),Tasks!$I:$I,"&lt;&gt;")/COUNTIFS(Tasks!$A:$A,$A596,Tasks!$B:$B,$B596,Tasks!$C:$C,$G596)*100,0),"")</f>
        <v/>
      </c>
    </row>
    <row r="597" spans="1:8" ht="15" hidden="1" customHeight="1">
      <c r="A597" t="s">
        <v>93</v>
      </c>
      <c r="B597" t="s">
        <v>96</v>
      </c>
      <c r="C597">
        <v>24</v>
      </c>
      <c r="D597">
        <v>6</v>
      </c>
      <c r="E597">
        <v>2</v>
      </c>
      <c r="F597">
        <v>2</v>
      </c>
      <c r="G597" t="s">
        <v>116</v>
      </c>
      <c r="H597" t="str">
        <f>IFERROR(ROUND(COUNTIFS(Tasks!$A:$A,$A597,Tasks!$B:$B,$B597,Tasks!$C:$C,$G597,Tasks!$I:$I,"&lt;="&amp;INDEX(Weeks!$D:$D,MATCH($C597,Weeks!$A:$A,0)),Tasks!$I:$I,"&lt;&gt;")/COUNTIFS(Tasks!$A:$A,$A597,Tasks!$B:$B,$B597,Tasks!$C:$C,$G597)*100,0),"")</f>
        <v/>
      </c>
    </row>
    <row r="598" spans="1:8" ht="15" hidden="1" customHeight="1">
      <c r="A598" t="s">
        <v>93</v>
      </c>
      <c r="B598" t="s">
        <v>96</v>
      </c>
      <c r="C598">
        <v>25</v>
      </c>
      <c r="D598">
        <v>6</v>
      </c>
      <c r="E598">
        <v>3</v>
      </c>
      <c r="F598">
        <v>2</v>
      </c>
      <c r="G598" t="s">
        <v>116</v>
      </c>
      <c r="H598" t="str">
        <f>IFERROR(ROUND(COUNTIFS(Tasks!$A:$A,$A598,Tasks!$B:$B,$B598,Tasks!$C:$C,$G598,Tasks!$I:$I,"&lt;="&amp;INDEX(Weeks!$D:$D,MATCH($C598,Weeks!$A:$A,0)),Tasks!$I:$I,"&lt;&gt;")/COUNTIFS(Tasks!$A:$A,$A598,Tasks!$B:$B,$B598,Tasks!$C:$C,$G598)*100,0),"")</f>
        <v/>
      </c>
    </row>
    <row r="599" spans="1:8" ht="15" hidden="1" customHeight="1">
      <c r="A599" t="s">
        <v>93</v>
      </c>
      <c r="B599" t="s">
        <v>96</v>
      </c>
      <c r="C599">
        <v>26</v>
      </c>
      <c r="D599">
        <v>6</v>
      </c>
      <c r="E599">
        <v>4</v>
      </c>
      <c r="F599">
        <v>2</v>
      </c>
      <c r="G599" t="s">
        <v>116</v>
      </c>
      <c r="H599" t="str">
        <f>IFERROR(ROUND(COUNTIFS(Tasks!$A:$A,$A599,Tasks!$B:$B,$B599,Tasks!$C:$C,$G599,Tasks!$I:$I,"&lt;="&amp;INDEX(Weeks!$D:$D,MATCH($C599,Weeks!$A:$A,0)),Tasks!$I:$I,"&lt;&gt;")/COUNTIFS(Tasks!$A:$A,$A599,Tasks!$B:$B,$B599,Tasks!$C:$C,$G599)*100,0),"")</f>
        <v/>
      </c>
    </row>
    <row r="600" spans="1:8" ht="15" hidden="1" customHeight="1">
      <c r="A600" t="s">
        <v>93</v>
      </c>
      <c r="B600" t="s">
        <v>96</v>
      </c>
      <c r="C600">
        <v>27</v>
      </c>
      <c r="D600">
        <v>7</v>
      </c>
      <c r="E600">
        <v>1</v>
      </c>
      <c r="F600">
        <v>2</v>
      </c>
      <c r="G600" t="s">
        <v>116</v>
      </c>
      <c r="H600" t="str">
        <f>IFERROR(ROUND(COUNTIFS(Tasks!$A:$A,$A600,Tasks!$B:$B,$B600,Tasks!$C:$C,$G600,Tasks!$I:$I,"&lt;="&amp;INDEX(Weeks!$D:$D,MATCH($C600,Weeks!$A:$A,0)),Tasks!$I:$I,"&lt;&gt;")/COUNTIFS(Tasks!$A:$A,$A600,Tasks!$B:$B,$B600,Tasks!$C:$C,$G600)*100,0),"")</f>
        <v/>
      </c>
    </row>
    <row r="601" spans="1:8" ht="15" hidden="1" customHeight="1">
      <c r="A601" t="s">
        <v>93</v>
      </c>
      <c r="B601" t="s">
        <v>96</v>
      </c>
      <c r="C601">
        <v>28</v>
      </c>
      <c r="D601">
        <v>7</v>
      </c>
      <c r="E601">
        <v>2</v>
      </c>
      <c r="F601">
        <v>2</v>
      </c>
      <c r="G601" t="s">
        <v>116</v>
      </c>
      <c r="H601" t="str">
        <f>IFERROR(ROUND(COUNTIFS(Tasks!$A:$A,$A601,Tasks!$B:$B,$B601,Tasks!$C:$C,$G601,Tasks!$I:$I,"&lt;="&amp;INDEX(Weeks!$D:$D,MATCH($C601,Weeks!$A:$A,0)),Tasks!$I:$I,"&lt;&gt;")/COUNTIFS(Tasks!$A:$A,$A601,Tasks!$B:$B,$B601,Tasks!$C:$C,$G601)*100,0),"")</f>
        <v/>
      </c>
    </row>
    <row r="602" spans="1:8" ht="15" hidden="1" customHeight="1">
      <c r="A602" t="s">
        <v>93</v>
      </c>
      <c r="B602" t="s">
        <v>96</v>
      </c>
      <c r="C602">
        <v>29</v>
      </c>
      <c r="D602">
        <v>7</v>
      </c>
      <c r="E602">
        <v>3</v>
      </c>
      <c r="F602">
        <v>2</v>
      </c>
      <c r="G602" t="s">
        <v>116</v>
      </c>
      <c r="H602" t="str">
        <f>IFERROR(ROUND(COUNTIFS(Tasks!$A:$A,$A602,Tasks!$B:$B,$B602,Tasks!$C:$C,$G602,Tasks!$I:$I,"&lt;="&amp;INDEX(Weeks!$D:$D,MATCH($C602,Weeks!$A:$A,0)),Tasks!$I:$I,"&lt;&gt;")/COUNTIFS(Tasks!$A:$A,$A602,Tasks!$B:$B,$B602,Tasks!$C:$C,$G602)*100,0),"")</f>
        <v/>
      </c>
    </row>
    <row r="603" spans="1:8" ht="15" hidden="1" customHeight="1">
      <c r="A603" t="s">
        <v>93</v>
      </c>
      <c r="B603" t="s">
        <v>96</v>
      </c>
      <c r="C603">
        <v>30</v>
      </c>
      <c r="D603">
        <v>7</v>
      </c>
      <c r="E603">
        <v>4</v>
      </c>
      <c r="F603">
        <v>2</v>
      </c>
      <c r="G603" t="s">
        <v>116</v>
      </c>
      <c r="H603" t="str">
        <f>IFERROR(ROUND(COUNTIFS(Tasks!$A:$A,$A603,Tasks!$B:$B,$B603,Tasks!$C:$C,$G603,Tasks!$I:$I,"&lt;="&amp;INDEX(Weeks!$D:$D,MATCH($C603,Weeks!$A:$A,0)),Tasks!$I:$I,"&lt;&gt;")/COUNTIFS(Tasks!$A:$A,$A603,Tasks!$B:$B,$B603,Tasks!$C:$C,$G603)*100,0),"")</f>
        <v/>
      </c>
    </row>
    <row r="604" spans="1:8" ht="15" hidden="1" customHeight="1">
      <c r="A604" t="s">
        <v>93</v>
      </c>
      <c r="B604" t="s">
        <v>96</v>
      </c>
      <c r="C604">
        <v>31</v>
      </c>
      <c r="D604">
        <v>8</v>
      </c>
      <c r="E604">
        <v>1</v>
      </c>
      <c r="F604">
        <v>2</v>
      </c>
      <c r="G604" t="s">
        <v>116</v>
      </c>
      <c r="H604" t="str">
        <f>IFERROR(ROUND(COUNTIFS(Tasks!$A:$A,$A604,Tasks!$B:$B,$B604,Tasks!$C:$C,$G604,Tasks!$I:$I,"&lt;="&amp;INDEX(Weeks!$D:$D,MATCH($C604,Weeks!$A:$A,0)),Tasks!$I:$I,"&lt;&gt;")/COUNTIFS(Tasks!$A:$A,$A604,Tasks!$B:$B,$B604,Tasks!$C:$C,$G604)*100,0),"")</f>
        <v/>
      </c>
    </row>
    <row r="605" spans="1:8" ht="15" hidden="1" customHeight="1">
      <c r="A605" t="s">
        <v>93</v>
      </c>
      <c r="B605" t="s">
        <v>96</v>
      </c>
      <c r="C605">
        <v>32</v>
      </c>
      <c r="D605">
        <v>8</v>
      </c>
      <c r="E605">
        <v>2</v>
      </c>
      <c r="F605">
        <v>2</v>
      </c>
      <c r="G605" t="s">
        <v>116</v>
      </c>
      <c r="H605" t="str">
        <f>IFERROR(ROUND(COUNTIFS(Tasks!$A:$A,$A605,Tasks!$B:$B,$B605,Tasks!$C:$C,$G605,Tasks!$I:$I,"&lt;="&amp;INDEX(Weeks!$D:$D,MATCH($C605,Weeks!$A:$A,0)),Tasks!$I:$I,"&lt;&gt;")/COUNTIFS(Tasks!$A:$A,$A605,Tasks!$B:$B,$B605,Tasks!$C:$C,$G605)*100,0),"")</f>
        <v/>
      </c>
    </row>
    <row r="606" spans="1:8" ht="15" hidden="1" customHeight="1">
      <c r="A606" t="s">
        <v>93</v>
      </c>
      <c r="B606" t="s">
        <v>96</v>
      </c>
      <c r="C606">
        <v>33</v>
      </c>
      <c r="D606">
        <v>8</v>
      </c>
      <c r="E606">
        <v>3</v>
      </c>
      <c r="F606">
        <v>2</v>
      </c>
      <c r="G606" t="s">
        <v>116</v>
      </c>
      <c r="H606" t="str">
        <f>IFERROR(ROUND(COUNTIFS(Tasks!$A:$A,$A606,Tasks!$B:$B,$B606,Tasks!$C:$C,$G606,Tasks!$I:$I,"&lt;="&amp;INDEX(Weeks!$D:$D,MATCH($C606,Weeks!$A:$A,0)),Tasks!$I:$I,"&lt;&gt;")/COUNTIFS(Tasks!$A:$A,$A606,Tasks!$B:$B,$B606,Tasks!$C:$C,$G606)*100,0),"")</f>
        <v/>
      </c>
    </row>
    <row r="607" spans="1:8" ht="15" hidden="1" customHeight="1">
      <c r="A607" t="s">
        <v>93</v>
      </c>
      <c r="B607" t="s">
        <v>96</v>
      </c>
      <c r="C607">
        <v>34</v>
      </c>
      <c r="D607">
        <v>8</v>
      </c>
      <c r="E607">
        <v>4</v>
      </c>
      <c r="F607">
        <v>2</v>
      </c>
      <c r="G607" t="s">
        <v>116</v>
      </c>
      <c r="H607" t="str">
        <f>IFERROR(ROUND(COUNTIFS(Tasks!$A:$A,$A607,Tasks!$B:$B,$B607,Tasks!$C:$C,$G607,Tasks!$I:$I,"&lt;="&amp;INDEX(Weeks!$D:$D,MATCH($C607,Weeks!$A:$A,0)),Tasks!$I:$I,"&lt;&gt;")/COUNTIFS(Tasks!$A:$A,$A607,Tasks!$B:$B,$B607,Tasks!$C:$C,$G607)*100,0),"")</f>
        <v/>
      </c>
    </row>
    <row r="608" spans="1:8" ht="15" hidden="1" customHeight="1">
      <c r="A608" t="s">
        <v>93</v>
      </c>
      <c r="B608" t="s">
        <v>96</v>
      </c>
      <c r="C608">
        <v>35</v>
      </c>
      <c r="D608">
        <v>8</v>
      </c>
      <c r="E608">
        <v>5</v>
      </c>
      <c r="F608">
        <v>2</v>
      </c>
      <c r="G608" t="s">
        <v>116</v>
      </c>
      <c r="H608" t="str">
        <f>IFERROR(ROUND(COUNTIFS(Tasks!$A:$A,$A608,Tasks!$B:$B,$B608,Tasks!$C:$C,$G608,Tasks!$I:$I,"&lt;="&amp;INDEX(Weeks!$D:$D,MATCH($C608,Weeks!$A:$A,0)),Tasks!$I:$I,"&lt;&gt;")/COUNTIFS(Tasks!$A:$A,$A608,Tasks!$B:$B,$B608,Tasks!$C:$C,$G608)*100,0),"")</f>
        <v/>
      </c>
    </row>
    <row r="609" spans="1:8" ht="15" hidden="1" customHeight="1">
      <c r="A609" t="s">
        <v>93</v>
      </c>
      <c r="B609" t="s">
        <v>96</v>
      </c>
      <c r="C609">
        <v>36</v>
      </c>
      <c r="D609">
        <v>9</v>
      </c>
      <c r="E609">
        <v>1</v>
      </c>
      <c r="F609">
        <v>2</v>
      </c>
      <c r="G609" t="s">
        <v>116</v>
      </c>
      <c r="H609" t="str">
        <f>IFERROR(ROUND(COUNTIFS(Tasks!$A:$A,$A609,Tasks!$B:$B,$B609,Tasks!$C:$C,$G609,Tasks!$I:$I,"&lt;="&amp;INDEX(Weeks!$D:$D,MATCH($C609,Weeks!$A:$A,0)),Tasks!$I:$I,"&lt;&gt;")/COUNTIFS(Tasks!$A:$A,$A609,Tasks!$B:$B,$B609,Tasks!$C:$C,$G609)*100,0),"")</f>
        <v/>
      </c>
    </row>
    <row r="610" spans="1:8" ht="15" hidden="1" customHeight="1">
      <c r="A610" t="s">
        <v>93</v>
      </c>
      <c r="B610" t="s">
        <v>96</v>
      </c>
      <c r="C610">
        <v>37</v>
      </c>
      <c r="D610">
        <v>9</v>
      </c>
      <c r="E610">
        <v>2</v>
      </c>
      <c r="F610">
        <v>2</v>
      </c>
      <c r="G610" t="s">
        <v>116</v>
      </c>
      <c r="H610" t="str">
        <f>IFERROR(ROUND(COUNTIFS(Tasks!$A:$A,$A610,Tasks!$B:$B,$B610,Tasks!$C:$C,$G610,Tasks!$I:$I,"&lt;="&amp;INDEX(Weeks!$D:$D,MATCH($C610,Weeks!$A:$A,0)),Tasks!$I:$I,"&lt;&gt;")/COUNTIFS(Tasks!$A:$A,$A610,Tasks!$B:$B,$B610,Tasks!$C:$C,$G610)*100,0),"")</f>
        <v/>
      </c>
    </row>
    <row r="611" spans="1:8" ht="15" hidden="1" customHeight="1">
      <c r="A611" t="s">
        <v>93</v>
      </c>
      <c r="B611" t="s">
        <v>96</v>
      </c>
      <c r="C611">
        <v>38</v>
      </c>
      <c r="D611">
        <v>9</v>
      </c>
      <c r="E611">
        <v>3</v>
      </c>
      <c r="F611">
        <v>2</v>
      </c>
      <c r="G611" t="s">
        <v>116</v>
      </c>
      <c r="H611" t="str">
        <f>IFERROR(ROUND(COUNTIFS(Tasks!$A:$A,$A611,Tasks!$B:$B,$B611,Tasks!$C:$C,$G611,Tasks!$I:$I,"&lt;="&amp;INDEX(Weeks!$D:$D,MATCH($C611,Weeks!$A:$A,0)),Tasks!$I:$I,"&lt;&gt;")/COUNTIFS(Tasks!$A:$A,$A611,Tasks!$B:$B,$B611,Tasks!$C:$C,$G611)*100,0),"")</f>
        <v/>
      </c>
    </row>
    <row r="612" spans="1:8" ht="15" hidden="1" customHeight="1">
      <c r="A612" t="s">
        <v>93</v>
      </c>
      <c r="B612" t="s">
        <v>96</v>
      </c>
      <c r="C612">
        <v>39</v>
      </c>
      <c r="D612">
        <v>9</v>
      </c>
      <c r="E612">
        <v>4</v>
      </c>
      <c r="F612">
        <v>2</v>
      </c>
      <c r="G612" t="s">
        <v>116</v>
      </c>
      <c r="H612" t="str">
        <f>IFERROR(ROUND(COUNTIFS(Tasks!$A:$A,$A612,Tasks!$B:$B,$B612,Tasks!$C:$C,$G612,Tasks!$I:$I,"&lt;="&amp;INDEX(Weeks!$D:$D,MATCH($C612,Weeks!$A:$A,0)),Tasks!$I:$I,"&lt;&gt;")/COUNTIFS(Tasks!$A:$A,$A612,Tasks!$B:$B,$B612,Tasks!$C:$C,$G612)*100,0),"")</f>
        <v/>
      </c>
    </row>
    <row r="613" spans="1:8" ht="15" hidden="1" customHeight="1">
      <c r="A613" t="s">
        <v>93</v>
      </c>
      <c r="B613" t="s">
        <v>96</v>
      </c>
      <c r="C613">
        <v>40</v>
      </c>
      <c r="D613">
        <v>10</v>
      </c>
      <c r="E613">
        <v>1</v>
      </c>
      <c r="F613">
        <v>2</v>
      </c>
      <c r="G613" t="s">
        <v>116</v>
      </c>
      <c r="H613" t="str">
        <f>IFERROR(ROUND(COUNTIFS(Tasks!$A:$A,$A613,Tasks!$B:$B,$B613,Tasks!$C:$C,$G613,Tasks!$I:$I,"&lt;="&amp;INDEX(Weeks!$D:$D,MATCH($C613,Weeks!$A:$A,0)),Tasks!$I:$I,"&lt;&gt;")/COUNTIFS(Tasks!$A:$A,$A613,Tasks!$B:$B,$B613,Tasks!$C:$C,$G613)*100,0),"")</f>
        <v/>
      </c>
    </row>
    <row r="614" spans="1:8" ht="15" hidden="1" customHeight="1">
      <c r="A614" t="s">
        <v>93</v>
      </c>
      <c r="B614" t="s">
        <v>96</v>
      </c>
      <c r="C614">
        <v>41</v>
      </c>
      <c r="D614">
        <v>10</v>
      </c>
      <c r="E614">
        <v>2</v>
      </c>
      <c r="F614">
        <v>2</v>
      </c>
      <c r="G614" t="s">
        <v>116</v>
      </c>
      <c r="H614" t="str">
        <f>IFERROR(ROUND(COUNTIFS(Tasks!$A:$A,$A614,Tasks!$B:$B,$B614,Tasks!$C:$C,$G614,Tasks!$I:$I,"&lt;="&amp;INDEX(Weeks!$D:$D,MATCH($C614,Weeks!$A:$A,0)),Tasks!$I:$I,"&lt;&gt;")/COUNTIFS(Tasks!$A:$A,$A614,Tasks!$B:$B,$B614,Tasks!$C:$C,$G614)*100,0),"")</f>
        <v/>
      </c>
    </row>
    <row r="615" spans="1:8" ht="15" hidden="1" customHeight="1">
      <c r="A615" t="s">
        <v>93</v>
      </c>
      <c r="B615" t="s">
        <v>96</v>
      </c>
      <c r="C615">
        <v>42</v>
      </c>
      <c r="D615">
        <v>10</v>
      </c>
      <c r="E615">
        <v>3</v>
      </c>
      <c r="F615">
        <v>2</v>
      </c>
      <c r="G615" t="s">
        <v>116</v>
      </c>
      <c r="H615" t="str">
        <f>IFERROR(ROUND(COUNTIFS(Tasks!$A:$A,$A615,Tasks!$B:$B,$B615,Tasks!$C:$C,$G615,Tasks!$I:$I,"&lt;="&amp;INDEX(Weeks!$D:$D,MATCH($C615,Weeks!$A:$A,0)),Tasks!$I:$I,"&lt;&gt;")/COUNTIFS(Tasks!$A:$A,$A615,Tasks!$B:$B,$B615,Tasks!$C:$C,$G615)*100,0),"")</f>
        <v/>
      </c>
    </row>
    <row r="616" spans="1:8" ht="15" hidden="1" customHeight="1">
      <c r="A616" t="s">
        <v>93</v>
      </c>
      <c r="B616" t="s">
        <v>96</v>
      </c>
      <c r="C616">
        <v>43</v>
      </c>
      <c r="D616">
        <v>10</v>
      </c>
      <c r="E616">
        <v>4</v>
      </c>
      <c r="F616">
        <v>2</v>
      </c>
      <c r="G616" t="s">
        <v>116</v>
      </c>
      <c r="H616" t="str">
        <f>IFERROR(ROUND(COUNTIFS(Tasks!$A:$A,$A616,Tasks!$B:$B,$B616,Tasks!$C:$C,$G616,Tasks!$I:$I,"&lt;="&amp;INDEX(Weeks!$D:$D,MATCH($C616,Weeks!$A:$A,0)),Tasks!$I:$I,"&lt;&gt;")/COUNTIFS(Tasks!$A:$A,$A616,Tasks!$B:$B,$B616,Tasks!$C:$C,$G616)*100,0),"")</f>
        <v/>
      </c>
    </row>
    <row r="617" spans="1:8" ht="15" hidden="1" customHeight="1">
      <c r="A617" t="s">
        <v>93</v>
      </c>
      <c r="B617" t="s">
        <v>96</v>
      </c>
      <c r="C617">
        <v>44</v>
      </c>
      <c r="D617">
        <v>10</v>
      </c>
      <c r="E617">
        <v>5</v>
      </c>
      <c r="F617">
        <v>2</v>
      </c>
      <c r="G617" t="s">
        <v>116</v>
      </c>
      <c r="H617" t="str">
        <f>IFERROR(ROUND(COUNTIFS(Tasks!$A:$A,$A617,Tasks!$B:$B,$B617,Tasks!$C:$C,$G617,Tasks!$I:$I,"&lt;="&amp;INDEX(Weeks!$D:$D,MATCH($C617,Weeks!$A:$A,0)),Tasks!$I:$I,"&lt;&gt;")/COUNTIFS(Tasks!$A:$A,$A617,Tasks!$B:$B,$B617,Tasks!$C:$C,$G617)*100,0),"")</f>
        <v/>
      </c>
    </row>
    <row r="618" spans="1:8" ht="15" hidden="1" customHeight="1">
      <c r="A618" t="s">
        <v>93</v>
      </c>
      <c r="B618" t="s">
        <v>96</v>
      </c>
      <c r="C618">
        <v>45</v>
      </c>
      <c r="D618">
        <v>11</v>
      </c>
      <c r="E618">
        <v>1</v>
      </c>
      <c r="F618">
        <v>2</v>
      </c>
      <c r="G618" t="s">
        <v>116</v>
      </c>
      <c r="H618" t="str">
        <f>IFERROR(ROUND(COUNTIFS(Tasks!$A:$A,$A618,Tasks!$B:$B,$B618,Tasks!$C:$C,$G618,Tasks!$I:$I,"&lt;="&amp;INDEX(Weeks!$D:$D,MATCH($C618,Weeks!$A:$A,0)),Tasks!$I:$I,"&lt;&gt;")/COUNTIFS(Tasks!$A:$A,$A618,Tasks!$B:$B,$B618,Tasks!$C:$C,$G618)*100,0),"")</f>
        <v/>
      </c>
    </row>
    <row r="619" spans="1:8" ht="15" hidden="1" customHeight="1">
      <c r="A619" t="s">
        <v>93</v>
      </c>
      <c r="B619" t="s">
        <v>96</v>
      </c>
      <c r="C619">
        <v>46</v>
      </c>
      <c r="D619">
        <v>11</v>
      </c>
      <c r="E619">
        <v>2</v>
      </c>
      <c r="F619">
        <v>2</v>
      </c>
      <c r="G619" t="s">
        <v>116</v>
      </c>
      <c r="H619" t="str">
        <f>IFERROR(ROUND(COUNTIFS(Tasks!$A:$A,$A619,Tasks!$B:$B,$B619,Tasks!$C:$C,$G619,Tasks!$I:$I,"&lt;="&amp;INDEX(Weeks!$D:$D,MATCH($C619,Weeks!$A:$A,0)),Tasks!$I:$I,"&lt;&gt;")/COUNTIFS(Tasks!$A:$A,$A619,Tasks!$B:$B,$B619,Tasks!$C:$C,$G619)*100,0),"")</f>
        <v/>
      </c>
    </row>
    <row r="620" spans="1:8" ht="15" hidden="1" customHeight="1">
      <c r="A620" t="s">
        <v>93</v>
      </c>
      <c r="B620" t="s">
        <v>96</v>
      </c>
      <c r="C620">
        <v>47</v>
      </c>
      <c r="D620">
        <v>11</v>
      </c>
      <c r="E620">
        <v>3</v>
      </c>
      <c r="F620">
        <v>2</v>
      </c>
      <c r="G620" t="s">
        <v>116</v>
      </c>
      <c r="H620" t="str">
        <f>IFERROR(ROUND(COUNTIFS(Tasks!$A:$A,$A620,Tasks!$B:$B,$B620,Tasks!$C:$C,$G620,Tasks!$I:$I,"&lt;="&amp;INDEX(Weeks!$D:$D,MATCH($C620,Weeks!$A:$A,0)),Tasks!$I:$I,"&lt;&gt;")/COUNTIFS(Tasks!$A:$A,$A620,Tasks!$B:$B,$B620,Tasks!$C:$C,$G620)*100,0),"")</f>
        <v/>
      </c>
    </row>
    <row r="621" spans="1:8" ht="15" hidden="1" customHeight="1">
      <c r="A621" t="s">
        <v>93</v>
      </c>
      <c r="B621" t="s">
        <v>96</v>
      </c>
      <c r="C621">
        <v>48</v>
      </c>
      <c r="D621">
        <v>11</v>
      </c>
      <c r="E621">
        <v>4</v>
      </c>
      <c r="F621">
        <v>2</v>
      </c>
      <c r="G621" t="s">
        <v>116</v>
      </c>
      <c r="H621" t="str">
        <f>IFERROR(ROUND(COUNTIFS(Tasks!$A:$A,$A621,Tasks!$B:$B,$B621,Tasks!$C:$C,$G621,Tasks!$I:$I,"&lt;="&amp;INDEX(Weeks!$D:$D,MATCH($C621,Weeks!$A:$A,0)),Tasks!$I:$I,"&lt;&gt;")/COUNTIFS(Tasks!$A:$A,$A621,Tasks!$B:$B,$B621,Tasks!$C:$C,$G621)*100,0),"")</f>
        <v/>
      </c>
    </row>
    <row r="622" spans="1:8" ht="15" hidden="1" customHeight="1">
      <c r="A622" t="s">
        <v>93</v>
      </c>
      <c r="B622" t="s">
        <v>96</v>
      </c>
      <c r="C622">
        <v>49</v>
      </c>
      <c r="D622">
        <v>12</v>
      </c>
      <c r="E622">
        <v>1</v>
      </c>
      <c r="F622">
        <v>2</v>
      </c>
      <c r="G622" t="s">
        <v>116</v>
      </c>
      <c r="H622" t="str">
        <f>IFERROR(ROUND(COUNTIFS(Tasks!$A:$A,$A622,Tasks!$B:$B,$B622,Tasks!$C:$C,$G622,Tasks!$I:$I,"&lt;="&amp;INDEX(Weeks!$D:$D,MATCH($C622,Weeks!$A:$A,0)),Tasks!$I:$I,"&lt;&gt;")/COUNTIFS(Tasks!$A:$A,$A622,Tasks!$B:$B,$B622,Tasks!$C:$C,$G622)*100,0),"")</f>
        <v/>
      </c>
    </row>
    <row r="623" spans="1:8" ht="15" hidden="1" customHeight="1">
      <c r="A623" t="s">
        <v>93</v>
      </c>
      <c r="B623" t="s">
        <v>96</v>
      </c>
      <c r="C623">
        <v>50</v>
      </c>
      <c r="D623">
        <v>12</v>
      </c>
      <c r="E623">
        <v>2</v>
      </c>
      <c r="F623">
        <v>2</v>
      </c>
      <c r="G623" t="s">
        <v>116</v>
      </c>
      <c r="H623" t="str">
        <f>IFERROR(ROUND(COUNTIFS(Tasks!$A:$A,$A623,Tasks!$B:$B,$B623,Tasks!$C:$C,$G623,Tasks!$I:$I,"&lt;="&amp;INDEX(Weeks!$D:$D,MATCH($C623,Weeks!$A:$A,0)),Tasks!$I:$I,"&lt;&gt;")/COUNTIFS(Tasks!$A:$A,$A623,Tasks!$B:$B,$B623,Tasks!$C:$C,$G623)*100,0),"")</f>
        <v/>
      </c>
    </row>
    <row r="624" spans="1:8" ht="15" hidden="1" customHeight="1">
      <c r="A624" t="s">
        <v>93</v>
      </c>
      <c r="B624" t="s">
        <v>96</v>
      </c>
      <c r="C624">
        <v>51</v>
      </c>
      <c r="D624">
        <v>12</v>
      </c>
      <c r="E624">
        <v>3</v>
      </c>
      <c r="F624">
        <v>2</v>
      </c>
      <c r="G624" t="s">
        <v>116</v>
      </c>
      <c r="H624" t="str">
        <f>IFERROR(ROUND(COUNTIFS(Tasks!$A:$A,$A624,Tasks!$B:$B,$B624,Tasks!$C:$C,$G624,Tasks!$I:$I,"&lt;="&amp;INDEX(Weeks!$D:$D,MATCH($C624,Weeks!$A:$A,0)),Tasks!$I:$I,"&lt;&gt;")/COUNTIFS(Tasks!$A:$A,$A624,Tasks!$B:$B,$B624,Tasks!$C:$C,$G624)*100,0),"")</f>
        <v/>
      </c>
    </row>
    <row r="625" spans="1:8" ht="15" hidden="1" customHeight="1">
      <c r="A625" t="s">
        <v>93</v>
      </c>
      <c r="B625" t="s">
        <v>96</v>
      </c>
      <c r="C625">
        <v>52</v>
      </c>
      <c r="D625">
        <v>12</v>
      </c>
      <c r="E625">
        <v>4</v>
      </c>
      <c r="F625">
        <v>2</v>
      </c>
      <c r="G625" t="s">
        <v>116</v>
      </c>
      <c r="H625" t="str">
        <f>IFERROR(ROUND(COUNTIFS(Tasks!$A:$A,$A625,Tasks!$B:$B,$B625,Tasks!$C:$C,$G625,Tasks!$I:$I,"&lt;="&amp;INDEX(Weeks!$D:$D,MATCH($C625,Weeks!$A:$A,0)),Tasks!$I:$I,"&lt;&gt;")/COUNTIFS(Tasks!$A:$A,$A625,Tasks!$B:$B,$B625,Tasks!$C:$C,$G625)*100,0),"")</f>
        <v/>
      </c>
    </row>
    <row r="626" spans="1:8" ht="15" hidden="1" customHeight="1">
      <c r="A626" t="s">
        <v>93</v>
      </c>
      <c r="B626" t="s">
        <v>96</v>
      </c>
      <c r="C626">
        <v>1</v>
      </c>
      <c r="D626">
        <v>1</v>
      </c>
      <c r="E626">
        <v>1</v>
      </c>
      <c r="F626">
        <v>3</v>
      </c>
      <c r="G626" t="s">
        <v>117</v>
      </c>
      <c r="H626" t="str">
        <f>IFERROR(ROUND(COUNTIFS(Tasks!$A:$A,$A626,Tasks!$B:$B,$B626,Tasks!$C:$C,$G626,Tasks!$I:$I,"&lt;="&amp;INDEX(Weeks!$D:$D,MATCH($C626,Weeks!$A:$A,0)),Tasks!$I:$I,"&lt;&gt;")/COUNTIFS(Tasks!$A:$A,$A626,Tasks!$B:$B,$B626,Tasks!$C:$C,$G626)*100,0),"")</f>
        <v/>
      </c>
    </row>
    <row r="627" spans="1:8" ht="15" hidden="1" customHeight="1">
      <c r="A627" t="s">
        <v>93</v>
      </c>
      <c r="B627" t="s">
        <v>96</v>
      </c>
      <c r="C627">
        <v>2</v>
      </c>
      <c r="D627">
        <v>1</v>
      </c>
      <c r="E627">
        <v>2</v>
      </c>
      <c r="F627">
        <v>3</v>
      </c>
      <c r="G627" t="s">
        <v>117</v>
      </c>
      <c r="H627" t="str">
        <f>IFERROR(ROUND(COUNTIFS(Tasks!$A:$A,$A627,Tasks!$B:$B,$B627,Tasks!$C:$C,$G627,Tasks!$I:$I,"&lt;="&amp;INDEX(Weeks!$D:$D,MATCH($C627,Weeks!$A:$A,0)),Tasks!$I:$I,"&lt;&gt;")/COUNTIFS(Tasks!$A:$A,$A627,Tasks!$B:$B,$B627,Tasks!$C:$C,$G627)*100,0),"")</f>
        <v/>
      </c>
    </row>
    <row r="628" spans="1:8" ht="15" hidden="1" customHeight="1">
      <c r="A628" t="s">
        <v>93</v>
      </c>
      <c r="B628" t="s">
        <v>96</v>
      </c>
      <c r="C628">
        <v>3</v>
      </c>
      <c r="D628">
        <v>1</v>
      </c>
      <c r="E628">
        <v>3</v>
      </c>
      <c r="F628">
        <v>3</v>
      </c>
      <c r="G628" t="s">
        <v>117</v>
      </c>
      <c r="H628" t="str">
        <f>IFERROR(ROUND(COUNTIFS(Tasks!$A:$A,$A628,Tasks!$B:$B,$B628,Tasks!$C:$C,$G628,Tasks!$I:$I,"&lt;="&amp;INDEX(Weeks!$D:$D,MATCH($C628,Weeks!$A:$A,0)),Tasks!$I:$I,"&lt;&gt;")/COUNTIFS(Tasks!$A:$A,$A628,Tasks!$B:$B,$B628,Tasks!$C:$C,$G628)*100,0),"")</f>
        <v/>
      </c>
    </row>
    <row r="629" spans="1:8" ht="15" hidden="1" customHeight="1">
      <c r="A629" t="s">
        <v>93</v>
      </c>
      <c r="B629" t="s">
        <v>96</v>
      </c>
      <c r="C629">
        <v>4</v>
      </c>
      <c r="D629">
        <v>1</v>
      </c>
      <c r="E629">
        <v>4</v>
      </c>
      <c r="F629">
        <v>3</v>
      </c>
      <c r="G629" t="s">
        <v>117</v>
      </c>
      <c r="H629" t="str">
        <f>IFERROR(ROUND(COUNTIFS(Tasks!$A:$A,$A629,Tasks!$B:$B,$B629,Tasks!$C:$C,$G629,Tasks!$I:$I,"&lt;="&amp;INDEX(Weeks!$D:$D,MATCH($C629,Weeks!$A:$A,0)),Tasks!$I:$I,"&lt;&gt;")/COUNTIFS(Tasks!$A:$A,$A629,Tasks!$B:$B,$B629,Tasks!$C:$C,$G629)*100,0),"")</f>
        <v/>
      </c>
    </row>
    <row r="630" spans="1:8" ht="15" hidden="1" customHeight="1">
      <c r="A630" t="s">
        <v>93</v>
      </c>
      <c r="B630" t="s">
        <v>96</v>
      </c>
      <c r="C630">
        <v>5</v>
      </c>
      <c r="D630">
        <v>1</v>
      </c>
      <c r="E630">
        <v>5</v>
      </c>
      <c r="F630">
        <v>3</v>
      </c>
      <c r="G630" t="s">
        <v>117</v>
      </c>
      <c r="H630" t="str">
        <f>IFERROR(ROUND(COUNTIFS(Tasks!$A:$A,$A630,Tasks!$B:$B,$B630,Tasks!$C:$C,$G630,Tasks!$I:$I,"&lt;="&amp;INDEX(Weeks!$D:$D,MATCH($C630,Weeks!$A:$A,0)),Tasks!$I:$I,"&lt;&gt;")/COUNTIFS(Tasks!$A:$A,$A630,Tasks!$B:$B,$B630,Tasks!$C:$C,$G630)*100,0),"")</f>
        <v/>
      </c>
    </row>
    <row r="631" spans="1:8" ht="15" hidden="1" customHeight="1">
      <c r="A631" t="s">
        <v>93</v>
      </c>
      <c r="B631" t="s">
        <v>96</v>
      </c>
      <c r="C631">
        <v>6</v>
      </c>
      <c r="D631">
        <v>2</v>
      </c>
      <c r="E631">
        <v>1</v>
      </c>
      <c r="F631">
        <v>3</v>
      </c>
      <c r="G631" t="s">
        <v>117</v>
      </c>
      <c r="H631" t="str">
        <f>IFERROR(ROUND(COUNTIFS(Tasks!$A:$A,$A631,Tasks!$B:$B,$B631,Tasks!$C:$C,$G631,Tasks!$I:$I,"&lt;="&amp;INDEX(Weeks!$D:$D,MATCH($C631,Weeks!$A:$A,0)),Tasks!$I:$I,"&lt;&gt;")/COUNTIFS(Tasks!$A:$A,$A631,Tasks!$B:$B,$B631,Tasks!$C:$C,$G631)*100,0),"")</f>
        <v/>
      </c>
    </row>
    <row r="632" spans="1:8" ht="15" hidden="1" customHeight="1">
      <c r="A632" t="s">
        <v>93</v>
      </c>
      <c r="B632" t="s">
        <v>96</v>
      </c>
      <c r="C632">
        <v>7</v>
      </c>
      <c r="D632">
        <v>2</v>
      </c>
      <c r="E632">
        <v>2</v>
      </c>
      <c r="F632">
        <v>3</v>
      </c>
      <c r="G632" t="s">
        <v>117</v>
      </c>
      <c r="H632" t="str">
        <f>IFERROR(ROUND(COUNTIFS(Tasks!$A:$A,$A632,Tasks!$B:$B,$B632,Tasks!$C:$C,$G632,Tasks!$I:$I,"&lt;="&amp;INDEX(Weeks!$D:$D,MATCH($C632,Weeks!$A:$A,0)),Tasks!$I:$I,"&lt;&gt;")/COUNTIFS(Tasks!$A:$A,$A632,Tasks!$B:$B,$B632,Tasks!$C:$C,$G632)*100,0),"")</f>
        <v/>
      </c>
    </row>
    <row r="633" spans="1:8" ht="15" hidden="1" customHeight="1">
      <c r="A633" t="s">
        <v>93</v>
      </c>
      <c r="B633" t="s">
        <v>96</v>
      </c>
      <c r="C633">
        <v>8</v>
      </c>
      <c r="D633">
        <v>2</v>
      </c>
      <c r="E633">
        <v>3</v>
      </c>
      <c r="F633">
        <v>3</v>
      </c>
      <c r="G633" t="s">
        <v>117</v>
      </c>
      <c r="H633" t="str">
        <f>IFERROR(ROUND(COUNTIFS(Tasks!$A:$A,$A633,Tasks!$B:$B,$B633,Tasks!$C:$C,$G633,Tasks!$I:$I,"&lt;="&amp;INDEX(Weeks!$D:$D,MATCH($C633,Weeks!$A:$A,0)),Tasks!$I:$I,"&lt;&gt;")/COUNTIFS(Tasks!$A:$A,$A633,Tasks!$B:$B,$B633,Tasks!$C:$C,$G633)*100,0),"")</f>
        <v/>
      </c>
    </row>
    <row r="634" spans="1:8" ht="15" hidden="1" customHeight="1">
      <c r="A634" t="s">
        <v>93</v>
      </c>
      <c r="B634" t="s">
        <v>96</v>
      </c>
      <c r="C634">
        <v>9</v>
      </c>
      <c r="D634">
        <v>2</v>
      </c>
      <c r="E634">
        <v>4</v>
      </c>
      <c r="F634">
        <v>3</v>
      </c>
      <c r="G634" t="s">
        <v>117</v>
      </c>
      <c r="H634" t="str">
        <f>IFERROR(ROUND(COUNTIFS(Tasks!$A:$A,$A634,Tasks!$B:$B,$B634,Tasks!$C:$C,$G634,Tasks!$I:$I,"&lt;="&amp;INDEX(Weeks!$D:$D,MATCH($C634,Weeks!$A:$A,0)),Tasks!$I:$I,"&lt;&gt;")/COUNTIFS(Tasks!$A:$A,$A634,Tasks!$B:$B,$B634,Tasks!$C:$C,$G634)*100,0),"")</f>
        <v/>
      </c>
    </row>
    <row r="635" spans="1:8" ht="15" hidden="1" customHeight="1">
      <c r="A635" t="s">
        <v>93</v>
      </c>
      <c r="B635" t="s">
        <v>96</v>
      </c>
      <c r="C635">
        <v>10</v>
      </c>
      <c r="D635">
        <v>3</v>
      </c>
      <c r="E635">
        <v>1</v>
      </c>
      <c r="F635">
        <v>3</v>
      </c>
      <c r="G635" t="s">
        <v>117</v>
      </c>
      <c r="H635" t="str">
        <f>IFERROR(ROUND(COUNTIFS(Tasks!$A:$A,$A635,Tasks!$B:$B,$B635,Tasks!$C:$C,$G635,Tasks!$I:$I,"&lt;="&amp;INDEX(Weeks!$D:$D,MATCH($C635,Weeks!$A:$A,0)),Tasks!$I:$I,"&lt;&gt;")/COUNTIFS(Tasks!$A:$A,$A635,Tasks!$B:$B,$B635,Tasks!$C:$C,$G635)*100,0),"")</f>
        <v/>
      </c>
    </row>
    <row r="636" spans="1:8" ht="15" hidden="1" customHeight="1">
      <c r="A636" t="s">
        <v>93</v>
      </c>
      <c r="B636" t="s">
        <v>96</v>
      </c>
      <c r="C636">
        <v>11</v>
      </c>
      <c r="D636">
        <v>3</v>
      </c>
      <c r="E636">
        <v>2</v>
      </c>
      <c r="F636">
        <v>3</v>
      </c>
      <c r="G636" t="s">
        <v>117</v>
      </c>
      <c r="H636" t="str">
        <f>IFERROR(ROUND(COUNTIFS(Tasks!$A:$A,$A636,Tasks!$B:$B,$B636,Tasks!$C:$C,$G636,Tasks!$I:$I,"&lt;="&amp;INDEX(Weeks!$D:$D,MATCH($C636,Weeks!$A:$A,0)),Tasks!$I:$I,"&lt;&gt;")/COUNTIFS(Tasks!$A:$A,$A636,Tasks!$B:$B,$B636,Tasks!$C:$C,$G636)*100,0),"")</f>
        <v/>
      </c>
    </row>
    <row r="637" spans="1:8" ht="15" hidden="1" customHeight="1">
      <c r="A637" t="s">
        <v>93</v>
      </c>
      <c r="B637" t="s">
        <v>96</v>
      </c>
      <c r="C637">
        <v>12</v>
      </c>
      <c r="D637">
        <v>3</v>
      </c>
      <c r="E637">
        <v>3</v>
      </c>
      <c r="F637">
        <v>3</v>
      </c>
      <c r="G637" t="s">
        <v>117</v>
      </c>
      <c r="H637" t="str">
        <f>IFERROR(ROUND(COUNTIFS(Tasks!$A:$A,$A637,Tasks!$B:$B,$B637,Tasks!$C:$C,$G637,Tasks!$I:$I,"&lt;="&amp;INDEX(Weeks!$D:$D,MATCH($C637,Weeks!$A:$A,0)),Tasks!$I:$I,"&lt;&gt;")/COUNTIFS(Tasks!$A:$A,$A637,Tasks!$B:$B,$B637,Tasks!$C:$C,$G637)*100,0),"")</f>
        <v/>
      </c>
    </row>
    <row r="638" spans="1:8" ht="15" hidden="1" customHeight="1">
      <c r="A638" t="s">
        <v>93</v>
      </c>
      <c r="B638" t="s">
        <v>96</v>
      </c>
      <c r="C638">
        <v>13</v>
      </c>
      <c r="D638">
        <v>3</v>
      </c>
      <c r="E638">
        <v>4</v>
      </c>
      <c r="F638">
        <v>3</v>
      </c>
      <c r="G638" t="s">
        <v>117</v>
      </c>
      <c r="H638" t="str">
        <f>IFERROR(ROUND(COUNTIFS(Tasks!$A:$A,$A638,Tasks!$B:$B,$B638,Tasks!$C:$C,$G638,Tasks!$I:$I,"&lt;="&amp;INDEX(Weeks!$D:$D,MATCH($C638,Weeks!$A:$A,0)),Tasks!$I:$I,"&lt;&gt;")/COUNTIFS(Tasks!$A:$A,$A638,Tasks!$B:$B,$B638,Tasks!$C:$C,$G638)*100,0),"")</f>
        <v/>
      </c>
    </row>
    <row r="639" spans="1:8" ht="15" hidden="1" customHeight="1">
      <c r="A639" t="s">
        <v>93</v>
      </c>
      <c r="B639" t="s">
        <v>96</v>
      </c>
      <c r="C639">
        <v>14</v>
      </c>
      <c r="D639">
        <v>4</v>
      </c>
      <c r="E639">
        <v>1</v>
      </c>
      <c r="F639">
        <v>3</v>
      </c>
      <c r="G639" t="s">
        <v>117</v>
      </c>
      <c r="H639" t="str">
        <f>IFERROR(ROUND(COUNTIFS(Tasks!$A:$A,$A639,Tasks!$B:$B,$B639,Tasks!$C:$C,$G639,Tasks!$I:$I,"&lt;="&amp;INDEX(Weeks!$D:$D,MATCH($C639,Weeks!$A:$A,0)),Tasks!$I:$I,"&lt;&gt;")/COUNTIFS(Tasks!$A:$A,$A639,Tasks!$B:$B,$B639,Tasks!$C:$C,$G639)*100,0),"")</f>
        <v/>
      </c>
    </row>
    <row r="640" spans="1:8" ht="15" hidden="1" customHeight="1">
      <c r="A640" t="s">
        <v>93</v>
      </c>
      <c r="B640" t="s">
        <v>96</v>
      </c>
      <c r="C640">
        <v>15</v>
      </c>
      <c r="D640">
        <v>4</v>
      </c>
      <c r="E640">
        <v>2</v>
      </c>
      <c r="F640">
        <v>3</v>
      </c>
      <c r="G640" t="s">
        <v>117</v>
      </c>
      <c r="H640" t="str">
        <f>IFERROR(ROUND(COUNTIFS(Tasks!$A:$A,$A640,Tasks!$B:$B,$B640,Tasks!$C:$C,$G640,Tasks!$I:$I,"&lt;="&amp;INDEX(Weeks!$D:$D,MATCH($C640,Weeks!$A:$A,0)),Tasks!$I:$I,"&lt;&gt;")/COUNTIFS(Tasks!$A:$A,$A640,Tasks!$B:$B,$B640,Tasks!$C:$C,$G640)*100,0),"")</f>
        <v/>
      </c>
    </row>
    <row r="641" spans="1:8" ht="15" hidden="1" customHeight="1">
      <c r="A641" t="s">
        <v>93</v>
      </c>
      <c r="B641" t="s">
        <v>96</v>
      </c>
      <c r="C641">
        <v>16</v>
      </c>
      <c r="D641">
        <v>4</v>
      </c>
      <c r="E641">
        <v>3</v>
      </c>
      <c r="F641">
        <v>3</v>
      </c>
      <c r="G641" t="s">
        <v>117</v>
      </c>
      <c r="H641" t="str">
        <f>IFERROR(ROUND(COUNTIFS(Tasks!$A:$A,$A641,Tasks!$B:$B,$B641,Tasks!$C:$C,$G641,Tasks!$I:$I,"&lt;="&amp;INDEX(Weeks!$D:$D,MATCH($C641,Weeks!$A:$A,0)),Tasks!$I:$I,"&lt;&gt;")/COUNTIFS(Tasks!$A:$A,$A641,Tasks!$B:$B,$B641,Tasks!$C:$C,$G641)*100,0),"")</f>
        <v/>
      </c>
    </row>
    <row r="642" spans="1:8" ht="15" hidden="1" customHeight="1">
      <c r="A642" t="s">
        <v>93</v>
      </c>
      <c r="B642" t="s">
        <v>96</v>
      </c>
      <c r="C642">
        <v>17</v>
      </c>
      <c r="D642">
        <v>4</v>
      </c>
      <c r="E642">
        <v>4</v>
      </c>
      <c r="F642">
        <v>3</v>
      </c>
      <c r="G642" t="s">
        <v>117</v>
      </c>
      <c r="H642" t="str">
        <f>IFERROR(ROUND(COUNTIFS(Tasks!$A:$A,$A642,Tasks!$B:$B,$B642,Tasks!$C:$C,$G642,Tasks!$I:$I,"&lt;="&amp;INDEX(Weeks!$D:$D,MATCH($C642,Weeks!$A:$A,0)),Tasks!$I:$I,"&lt;&gt;")/COUNTIFS(Tasks!$A:$A,$A642,Tasks!$B:$B,$B642,Tasks!$C:$C,$G642)*100,0),"")</f>
        <v/>
      </c>
    </row>
    <row r="643" spans="1:8" ht="15" hidden="1" customHeight="1">
      <c r="A643" t="s">
        <v>93</v>
      </c>
      <c r="B643" t="s">
        <v>96</v>
      </c>
      <c r="C643">
        <v>18</v>
      </c>
      <c r="D643">
        <v>5</v>
      </c>
      <c r="E643">
        <v>1</v>
      </c>
      <c r="F643">
        <v>3</v>
      </c>
      <c r="G643" t="s">
        <v>117</v>
      </c>
      <c r="H643" t="str">
        <f>IFERROR(ROUND(COUNTIFS(Tasks!$A:$A,$A643,Tasks!$B:$B,$B643,Tasks!$C:$C,$G643,Tasks!$I:$I,"&lt;="&amp;INDEX(Weeks!$D:$D,MATCH($C643,Weeks!$A:$A,0)),Tasks!$I:$I,"&lt;&gt;")/COUNTIFS(Tasks!$A:$A,$A643,Tasks!$B:$B,$B643,Tasks!$C:$C,$G643)*100,0),"")</f>
        <v/>
      </c>
    </row>
    <row r="644" spans="1:8" ht="15" hidden="1" customHeight="1">
      <c r="A644" t="s">
        <v>93</v>
      </c>
      <c r="B644" t="s">
        <v>96</v>
      </c>
      <c r="C644">
        <v>19</v>
      </c>
      <c r="D644">
        <v>5</v>
      </c>
      <c r="E644">
        <v>2</v>
      </c>
      <c r="F644">
        <v>3</v>
      </c>
      <c r="G644" t="s">
        <v>117</v>
      </c>
      <c r="H644" t="str">
        <f>IFERROR(ROUND(COUNTIFS(Tasks!$A:$A,$A644,Tasks!$B:$B,$B644,Tasks!$C:$C,$G644,Tasks!$I:$I,"&lt;="&amp;INDEX(Weeks!$D:$D,MATCH($C644,Weeks!$A:$A,0)),Tasks!$I:$I,"&lt;&gt;")/COUNTIFS(Tasks!$A:$A,$A644,Tasks!$B:$B,$B644,Tasks!$C:$C,$G644)*100,0),"")</f>
        <v/>
      </c>
    </row>
    <row r="645" spans="1:8" ht="15" hidden="1" customHeight="1">
      <c r="A645" t="s">
        <v>93</v>
      </c>
      <c r="B645" t="s">
        <v>96</v>
      </c>
      <c r="C645">
        <v>20</v>
      </c>
      <c r="D645">
        <v>5</v>
      </c>
      <c r="E645">
        <v>3</v>
      </c>
      <c r="F645">
        <v>3</v>
      </c>
      <c r="G645" t="s">
        <v>117</v>
      </c>
      <c r="H645" t="str">
        <f>IFERROR(ROUND(COUNTIFS(Tasks!$A:$A,$A645,Tasks!$B:$B,$B645,Tasks!$C:$C,$G645,Tasks!$I:$I,"&lt;="&amp;INDEX(Weeks!$D:$D,MATCH($C645,Weeks!$A:$A,0)),Tasks!$I:$I,"&lt;&gt;")/COUNTIFS(Tasks!$A:$A,$A645,Tasks!$B:$B,$B645,Tasks!$C:$C,$G645)*100,0),"")</f>
        <v/>
      </c>
    </row>
    <row r="646" spans="1:8" ht="15" hidden="1" customHeight="1">
      <c r="A646" t="s">
        <v>93</v>
      </c>
      <c r="B646" t="s">
        <v>96</v>
      </c>
      <c r="C646">
        <v>21</v>
      </c>
      <c r="D646">
        <v>5</v>
      </c>
      <c r="E646">
        <v>4</v>
      </c>
      <c r="F646">
        <v>3</v>
      </c>
      <c r="G646" t="s">
        <v>117</v>
      </c>
      <c r="H646" t="str">
        <f>IFERROR(ROUND(COUNTIFS(Tasks!$A:$A,$A646,Tasks!$B:$B,$B646,Tasks!$C:$C,$G646,Tasks!$I:$I,"&lt;="&amp;INDEX(Weeks!$D:$D,MATCH($C646,Weeks!$A:$A,0)),Tasks!$I:$I,"&lt;&gt;")/COUNTIFS(Tasks!$A:$A,$A646,Tasks!$B:$B,$B646,Tasks!$C:$C,$G646)*100,0),"")</f>
        <v/>
      </c>
    </row>
    <row r="647" spans="1:8" ht="15" hidden="1" customHeight="1">
      <c r="A647" t="s">
        <v>93</v>
      </c>
      <c r="B647" t="s">
        <v>96</v>
      </c>
      <c r="C647">
        <v>22</v>
      </c>
      <c r="D647">
        <v>5</v>
      </c>
      <c r="E647">
        <v>5</v>
      </c>
      <c r="F647">
        <v>3</v>
      </c>
      <c r="G647" t="s">
        <v>117</v>
      </c>
      <c r="H647" t="str">
        <f>IFERROR(ROUND(COUNTIFS(Tasks!$A:$A,$A647,Tasks!$B:$B,$B647,Tasks!$C:$C,$G647,Tasks!$I:$I,"&lt;="&amp;INDEX(Weeks!$D:$D,MATCH($C647,Weeks!$A:$A,0)),Tasks!$I:$I,"&lt;&gt;")/COUNTIFS(Tasks!$A:$A,$A647,Tasks!$B:$B,$B647,Tasks!$C:$C,$G647)*100,0),"")</f>
        <v/>
      </c>
    </row>
    <row r="648" spans="1:8" ht="15" hidden="1" customHeight="1">
      <c r="A648" t="s">
        <v>93</v>
      </c>
      <c r="B648" t="s">
        <v>96</v>
      </c>
      <c r="C648">
        <v>23</v>
      </c>
      <c r="D648">
        <v>6</v>
      </c>
      <c r="E648">
        <v>1</v>
      </c>
      <c r="F648">
        <v>3</v>
      </c>
      <c r="G648" t="s">
        <v>117</v>
      </c>
      <c r="H648" t="str">
        <f>IFERROR(ROUND(COUNTIFS(Tasks!$A:$A,$A648,Tasks!$B:$B,$B648,Tasks!$C:$C,$G648,Tasks!$I:$I,"&lt;="&amp;INDEX(Weeks!$D:$D,MATCH($C648,Weeks!$A:$A,0)),Tasks!$I:$I,"&lt;&gt;")/COUNTIFS(Tasks!$A:$A,$A648,Tasks!$B:$B,$B648,Tasks!$C:$C,$G648)*100,0),"")</f>
        <v/>
      </c>
    </row>
    <row r="649" spans="1:8" ht="15" hidden="1" customHeight="1">
      <c r="A649" t="s">
        <v>93</v>
      </c>
      <c r="B649" t="s">
        <v>96</v>
      </c>
      <c r="C649">
        <v>24</v>
      </c>
      <c r="D649">
        <v>6</v>
      </c>
      <c r="E649">
        <v>2</v>
      </c>
      <c r="F649">
        <v>3</v>
      </c>
      <c r="G649" t="s">
        <v>117</v>
      </c>
      <c r="H649" t="str">
        <f>IFERROR(ROUND(COUNTIFS(Tasks!$A:$A,$A649,Tasks!$B:$B,$B649,Tasks!$C:$C,$G649,Tasks!$I:$I,"&lt;="&amp;INDEX(Weeks!$D:$D,MATCH($C649,Weeks!$A:$A,0)),Tasks!$I:$I,"&lt;&gt;")/COUNTIFS(Tasks!$A:$A,$A649,Tasks!$B:$B,$B649,Tasks!$C:$C,$G649)*100,0),"")</f>
        <v/>
      </c>
    </row>
    <row r="650" spans="1:8" ht="15" hidden="1" customHeight="1">
      <c r="A650" t="s">
        <v>93</v>
      </c>
      <c r="B650" t="s">
        <v>96</v>
      </c>
      <c r="C650">
        <v>25</v>
      </c>
      <c r="D650">
        <v>6</v>
      </c>
      <c r="E650">
        <v>3</v>
      </c>
      <c r="F650">
        <v>3</v>
      </c>
      <c r="G650" t="s">
        <v>117</v>
      </c>
      <c r="H650" t="str">
        <f>IFERROR(ROUND(COUNTIFS(Tasks!$A:$A,$A650,Tasks!$B:$B,$B650,Tasks!$C:$C,$G650,Tasks!$I:$I,"&lt;="&amp;INDEX(Weeks!$D:$D,MATCH($C650,Weeks!$A:$A,0)),Tasks!$I:$I,"&lt;&gt;")/COUNTIFS(Tasks!$A:$A,$A650,Tasks!$B:$B,$B650,Tasks!$C:$C,$G650)*100,0),"")</f>
        <v/>
      </c>
    </row>
    <row r="651" spans="1:8" ht="15" hidden="1" customHeight="1">
      <c r="A651" t="s">
        <v>93</v>
      </c>
      <c r="B651" t="s">
        <v>96</v>
      </c>
      <c r="C651">
        <v>26</v>
      </c>
      <c r="D651">
        <v>6</v>
      </c>
      <c r="E651">
        <v>4</v>
      </c>
      <c r="F651">
        <v>3</v>
      </c>
      <c r="G651" t="s">
        <v>117</v>
      </c>
      <c r="H651" t="str">
        <f>IFERROR(ROUND(COUNTIFS(Tasks!$A:$A,$A651,Tasks!$B:$B,$B651,Tasks!$C:$C,$G651,Tasks!$I:$I,"&lt;="&amp;INDEX(Weeks!$D:$D,MATCH($C651,Weeks!$A:$A,0)),Tasks!$I:$I,"&lt;&gt;")/COUNTIFS(Tasks!$A:$A,$A651,Tasks!$B:$B,$B651,Tasks!$C:$C,$G651)*100,0),"")</f>
        <v/>
      </c>
    </row>
    <row r="652" spans="1:8" ht="15" hidden="1" customHeight="1">
      <c r="A652" t="s">
        <v>93</v>
      </c>
      <c r="B652" t="s">
        <v>96</v>
      </c>
      <c r="C652">
        <v>27</v>
      </c>
      <c r="D652">
        <v>7</v>
      </c>
      <c r="E652">
        <v>1</v>
      </c>
      <c r="F652">
        <v>3</v>
      </c>
      <c r="G652" t="s">
        <v>117</v>
      </c>
      <c r="H652" t="str">
        <f>IFERROR(ROUND(COUNTIFS(Tasks!$A:$A,$A652,Tasks!$B:$B,$B652,Tasks!$C:$C,$G652,Tasks!$I:$I,"&lt;="&amp;INDEX(Weeks!$D:$D,MATCH($C652,Weeks!$A:$A,0)),Tasks!$I:$I,"&lt;&gt;")/COUNTIFS(Tasks!$A:$A,$A652,Tasks!$B:$B,$B652,Tasks!$C:$C,$G652)*100,0),"")</f>
        <v/>
      </c>
    </row>
    <row r="653" spans="1:8" ht="15" hidden="1" customHeight="1">
      <c r="A653" t="s">
        <v>93</v>
      </c>
      <c r="B653" t="s">
        <v>96</v>
      </c>
      <c r="C653">
        <v>28</v>
      </c>
      <c r="D653">
        <v>7</v>
      </c>
      <c r="E653">
        <v>2</v>
      </c>
      <c r="F653">
        <v>3</v>
      </c>
      <c r="G653" t="s">
        <v>117</v>
      </c>
      <c r="H653" t="str">
        <f>IFERROR(ROUND(COUNTIFS(Tasks!$A:$A,$A653,Tasks!$B:$B,$B653,Tasks!$C:$C,$G653,Tasks!$I:$I,"&lt;="&amp;INDEX(Weeks!$D:$D,MATCH($C653,Weeks!$A:$A,0)),Tasks!$I:$I,"&lt;&gt;")/COUNTIFS(Tasks!$A:$A,$A653,Tasks!$B:$B,$B653,Tasks!$C:$C,$G653)*100,0),"")</f>
        <v/>
      </c>
    </row>
    <row r="654" spans="1:8" ht="15" hidden="1" customHeight="1">
      <c r="A654" t="s">
        <v>93</v>
      </c>
      <c r="B654" t="s">
        <v>96</v>
      </c>
      <c r="C654">
        <v>29</v>
      </c>
      <c r="D654">
        <v>7</v>
      </c>
      <c r="E654">
        <v>3</v>
      </c>
      <c r="F654">
        <v>3</v>
      </c>
      <c r="G654" t="s">
        <v>117</v>
      </c>
      <c r="H654" t="str">
        <f>IFERROR(ROUND(COUNTIFS(Tasks!$A:$A,$A654,Tasks!$B:$B,$B654,Tasks!$C:$C,$G654,Tasks!$I:$I,"&lt;="&amp;INDEX(Weeks!$D:$D,MATCH($C654,Weeks!$A:$A,0)),Tasks!$I:$I,"&lt;&gt;")/COUNTIFS(Tasks!$A:$A,$A654,Tasks!$B:$B,$B654,Tasks!$C:$C,$G654)*100,0),"")</f>
        <v/>
      </c>
    </row>
    <row r="655" spans="1:8" ht="15" hidden="1" customHeight="1">
      <c r="A655" t="s">
        <v>93</v>
      </c>
      <c r="B655" t="s">
        <v>96</v>
      </c>
      <c r="C655">
        <v>30</v>
      </c>
      <c r="D655">
        <v>7</v>
      </c>
      <c r="E655">
        <v>4</v>
      </c>
      <c r="F655">
        <v>3</v>
      </c>
      <c r="G655" t="s">
        <v>117</v>
      </c>
      <c r="H655" t="str">
        <f>IFERROR(ROUND(COUNTIFS(Tasks!$A:$A,$A655,Tasks!$B:$B,$B655,Tasks!$C:$C,$G655,Tasks!$I:$I,"&lt;="&amp;INDEX(Weeks!$D:$D,MATCH($C655,Weeks!$A:$A,0)),Tasks!$I:$I,"&lt;&gt;")/COUNTIFS(Tasks!$A:$A,$A655,Tasks!$B:$B,$B655,Tasks!$C:$C,$G655)*100,0),"")</f>
        <v/>
      </c>
    </row>
    <row r="656" spans="1:8" ht="15" hidden="1" customHeight="1">
      <c r="A656" t="s">
        <v>93</v>
      </c>
      <c r="B656" t="s">
        <v>96</v>
      </c>
      <c r="C656">
        <v>31</v>
      </c>
      <c r="D656">
        <v>8</v>
      </c>
      <c r="E656">
        <v>1</v>
      </c>
      <c r="F656">
        <v>3</v>
      </c>
      <c r="G656" t="s">
        <v>117</v>
      </c>
      <c r="H656" t="str">
        <f>IFERROR(ROUND(COUNTIFS(Tasks!$A:$A,$A656,Tasks!$B:$B,$B656,Tasks!$C:$C,$G656,Tasks!$I:$I,"&lt;="&amp;INDEX(Weeks!$D:$D,MATCH($C656,Weeks!$A:$A,0)),Tasks!$I:$I,"&lt;&gt;")/COUNTIFS(Tasks!$A:$A,$A656,Tasks!$B:$B,$B656,Tasks!$C:$C,$G656)*100,0),"")</f>
        <v/>
      </c>
    </row>
    <row r="657" spans="1:8" ht="15" hidden="1" customHeight="1">
      <c r="A657" t="s">
        <v>93</v>
      </c>
      <c r="B657" t="s">
        <v>96</v>
      </c>
      <c r="C657">
        <v>32</v>
      </c>
      <c r="D657">
        <v>8</v>
      </c>
      <c r="E657">
        <v>2</v>
      </c>
      <c r="F657">
        <v>3</v>
      </c>
      <c r="G657" t="s">
        <v>117</v>
      </c>
      <c r="H657" t="str">
        <f>IFERROR(ROUND(COUNTIFS(Tasks!$A:$A,$A657,Tasks!$B:$B,$B657,Tasks!$C:$C,$G657,Tasks!$I:$I,"&lt;="&amp;INDEX(Weeks!$D:$D,MATCH($C657,Weeks!$A:$A,0)),Tasks!$I:$I,"&lt;&gt;")/COUNTIFS(Tasks!$A:$A,$A657,Tasks!$B:$B,$B657,Tasks!$C:$C,$G657)*100,0),"")</f>
        <v/>
      </c>
    </row>
    <row r="658" spans="1:8" ht="15" hidden="1" customHeight="1">
      <c r="A658" t="s">
        <v>93</v>
      </c>
      <c r="B658" t="s">
        <v>96</v>
      </c>
      <c r="C658">
        <v>33</v>
      </c>
      <c r="D658">
        <v>8</v>
      </c>
      <c r="E658">
        <v>3</v>
      </c>
      <c r="F658">
        <v>3</v>
      </c>
      <c r="G658" t="s">
        <v>117</v>
      </c>
      <c r="H658" t="str">
        <f>IFERROR(ROUND(COUNTIFS(Tasks!$A:$A,$A658,Tasks!$B:$B,$B658,Tasks!$C:$C,$G658,Tasks!$I:$I,"&lt;="&amp;INDEX(Weeks!$D:$D,MATCH($C658,Weeks!$A:$A,0)),Tasks!$I:$I,"&lt;&gt;")/COUNTIFS(Tasks!$A:$A,$A658,Tasks!$B:$B,$B658,Tasks!$C:$C,$G658)*100,0),"")</f>
        <v/>
      </c>
    </row>
    <row r="659" spans="1:8" ht="15" hidden="1" customHeight="1">
      <c r="A659" t="s">
        <v>93</v>
      </c>
      <c r="B659" t="s">
        <v>96</v>
      </c>
      <c r="C659">
        <v>34</v>
      </c>
      <c r="D659">
        <v>8</v>
      </c>
      <c r="E659">
        <v>4</v>
      </c>
      <c r="F659">
        <v>3</v>
      </c>
      <c r="G659" t="s">
        <v>117</v>
      </c>
      <c r="H659" t="str">
        <f>IFERROR(ROUND(COUNTIFS(Tasks!$A:$A,$A659,Tasks!$B:$B,$B659,Tasks!$C:$C,$G659,Tasks!$I:$I,"&lt;="&amp;INDEX(Weeks!$D:$D,MATCH($C659,Weeks!$A:$A,0)),Tasks!$I:$I,"&lt;&gt;")/COUNTIFS(Tasks!$A:$A,$A659,Tasks!$B:$B,$B659,Tasks!$C:$C,$G659)*100,0),"")</f>
        <v/>
      </c>
    </row>
    <row r="660" spans="1:8" ht="15" hidden="1" customHeight="1">
      <c r="A660" t="s">
        <v>93</v>
      </c>
      <c r="B660" t="s">
        <v>96</v>
      </c>
      <c r="C660">
        <v>35</v>
      </c>
      <c r="D660">
        <v>8</v>
      </c>
      <c r="E660">
        <v>5</v>
      </c>
      <c r="F660">
        <v>3</v>
      </c>
      <c r="G660" t="s">
        <v>117</v>
      </c>
      <c r="H660" t="str">
        <f>IFERROR(ROUND(COUNTIFS(Tasks!$A:$A,$A660,Tasks!$B:$B,$B660,Tasks!$C:$C,$G660,Tasks!$I:$I,"&lt;="&amp;INDEX(Weeks!$D:$D,MATCH($C660,Weeks!$A:$A,0)),Tasks!$I:$I,"&lt;&gt;")/COUNTIFS(Tasks!$A:$A,$A660,Tasks!$B:$B,$B660,Tasks!$C:$C,$G660)*100,0),"")</f>
        <v/>
      </c>
    </row>
    <row r="661" spans="1:8" ht="15" hidden="1" customHeight="1">
      <c r="A661" t="s">
        <v>93</v>
      </c>
      <c r="B661" t="s">
        <v>96</v>
      </c>
      <c r="C661">
        <v>36</v>
      </c>
      <c r="D661">
        <v>9</v>
      </c>
      <c r="E661">
        <v>1</v>
      </c>
      <c r="F661">
        <v>3</v>
      </c>
      <c r="G661" t="s">
        <v>117</v>
      </c>
      <c r="H661" t="str">
        <f>IFERROR(ROUND(COUNTIFS(Tasks!$A:$A,$A661,Tasks!$B:$B,$B661,Tasks!$C:$C,$G661,Tasks!$I:$I,"&lt;="&amp;INDEX(Weeks!$D:$D,MATCH($C661,Weeks!$A:$A,0)),Tasks!$I:$I,"&lt;&gt;")/COUNTIFS(Tasks!$A:$A,$A661,Tasks!$B:$B,$B661,Tasks!$C:$C,$G661)*100,0),"")</f>
        <v/>
      </c>
    </row>
    <row r="662" spans="1:8" ht="15" hidden="1" customHeight="1">
      <c r="A662" t="s">
        <v>93</v>
      </c>
      <c r="B662" t="s">
        <v>96</v>
      </c>
      <c r="C662">
        <v>37</v>
      </c>
      <c r="D662">
        <v>9</v>
      </c>
      <c r="E662">
        <v>2</v>
      </c>
      <c r="F662">
        <v>3</v>
      </c>
      <c r="G662" t="s">
        <v>117</v>
      </c>
      <c r="H662" t="str">
        <f>IFERROR(ROUND(COUNTIFS(Tasks!$A:$A,$A662,Tasks!$B:$B,$B662,Tasks!$C:$C,$G662,Tasks!$I:$I,"&lt;="&amp;INDEX(Weeks!$D:$D,MATCH($C662,Weeks!$A:$A,0)),Tasks!$I:$I,"&lt;&gt;")/COUNTIFS(Tasks!$A:$A,$A662,Tasks!$B:$B,$B662,Tasks!$C:$C,$G662)*100,0),"")</f>
        <v/>
      </c>
    </row>
    <row r="663" spans="1:8" ht="15" hidden="1" customHeight="1">
      <c r="A663" t="s">
        <v>93</v>
      </c>
      <c r="B663" t="s">
        <v>96</v>
      </c>
      <c r="C663">
        <v>38</v>
      </c>
      <c r="D663">
        <v>9</v>
      </c>
      <c r="E663">
        <v>3</v>
      </c>
      <c r="F663">
        <v>3</v>
      </c>
      <c r="G663" t="s">
        <v>117</v>
      </c>
      <c r="H663" t="str">
        <f>IFERROR(ROUND(COUNTIFS(Tasks!$A:$A,$A663,Tasks!$B:$B,$B663,Tasks!$C:$C,$G663,Tasks!$I:$I,"&lt;="&amp;INDEX(Weeks!$D:$D,MATCH($C663,Weeks!$A:$A,0)),Tasks!$I:$I,"&lt;&gt;")/COUNTIFS(Tasks!$A:$A,$A663,Tasks!$B:$B,$B663,Tasks!$C:$C,$G663)*100,0),"")</f>
        <v/>
      </c>
    </row>
    <row r="664" spans="1:8" ht="15" hidden="1" customHeight="1">
      <c r="A664" t="s">
        <v>93</v>
      </c>
      <c r="B664" t="s">
        <v>96</v>
      </c>
      <c r="C664">
        <v>39</v>
      </c>
      <c r="D664">
        <v>9</v>
      </c>
      <c r="E664">
        <v>4</v>
      </c>
      <c r="F664">
        <v>3</v>
      </c>
      <c r="G664" t="s">
        <v>117</v>
      </c>
      <c r="H664" t="str">
        <f>IFERROR(ROUND(COUNTIFS(Tasks!$A:$A,$A664,Tasks!$B:$B,$B664,Tasks!$C:$C,$G664,Tasks!$I:$I,"&lt;="&amp;INDEX(Weeks!$D:$D,MATCH($C664,Weeks!$A:$A,0)),Tasks!$I:$I,"&lt;&gt;")/COUNTIFS(Tasks!$A:$A,$A664,Tasks!$B:$B,$B664,Tasks!$C:$C,$G664)*100,0),"")</f>
        <v/>
      </c>
    </row>
    <row r="665" spans="1:8" ht="15" hidden="1" customHeight="1">
      <c r="A665" t="s">
        <v>93</v>
      </c>
      <c r="B665" t="s">
        <v>96</v>
      </c>
      <c r="C665">
        <v>40</v>
      </c>
      <c r="D665">
        <v>10</v>
      </c>
      <c r="E665">
        <v>1</v>
      </c>
      <c r="F665">
        <v>3</v>
      </c>
      <c r="G665" t="s">
        <v>117</v>
      </c>
      <c r="H665" t="str">
        <f>IFERROR(ROUND(COUNTIFS(Tasks!$A:$A,$A665,Tasks!$B:$B,$B665,Tasks!$C:$C,$G665,Tasks!$I:$I,"&lt;="&amp;INDEX(Weeks!$D:$D,MATCH($C665,Weeks!$A:$A,0)),Tasks!$I:$I,"&lt;&gt;")/COUNTIFS(Tasks!$A:$A,$A665,Tasks!$B:$B,$B665,Tasks!$C:$C,$G665)*100,0),"")</f>
        <v/>
      </c>
    </row>
    <row r="666" spans="1:8" ht="15" hidden="1" customHeight="1">
      <c r="A666" t="s">
        <v>93</v>
      </c>
      <c r="B666" t="s">
        <v>96</v>
      </c>
      <c r="C666">
        <v>41</v>
      </c>
      <c r="D666">
        <v>10</v>
      </c>
      <c r="E666">
        <v>2</v>
      </c>
      <c r="F666">
        <v>3</v>
      </c>
      <c r="G666" t="s">
        <v>117</v>
      </c>
      <c r="H666" t="str">
        <f>IFERROR(ROUND(COUNTIFS(Tasks!$A:$A,$A666,Tasks!$B:$B,$B666,Tasks!$C:$C,$G666,Tasks!$I:$I,"&lt;="&amp;INDEX(Weeks!$D:$D,MATCH($C666,Weeks!$A:$A,0)),Tasks!$I:$I,"&lt;&gt;")/COUNTIFS(Tasks!$A:$A,$A666,Tasks!$B:$B,$B666,Tasks!$C:$C,$G666)*100,0),"")</f>
        <v/>
      </c>
    </row>
    <row r="667" spans="1:8" ht="15" hidden="1" customHeight="1">
      <c r="A667" t="s">
        <v>93</v>
      </c>
      <c r="B667" t="s">
        <v>96</v>
      </c>
      <c r="C667">
        <v>42</v>
      </c>
      <c r="D667">
        <v>10</v>
      </c>
      <c r="E667">
        <v>3</v>
      </c>
      <c r="F667">
        <v>3</v>
      </c>
      <c r="G667" t="s">
        <v>117</v>
      </c>
      <c r="H667" t="str">
        <f>IFERROR(ROUND(COUNTIFS(Tasks!$A:$A,$A667,Tasks!$B:$B,$B667,Tasks!$C:$C,$G667,Tasks!$I:$I,"&lt;="&amp;INDEX(Weeks!$D:$D,MATCH($C667,Weeks!$A:$A,0)),Tasks!$I:$I,"&lt;&gt;")/COUNTIFS(Tasks!$A:$A,$A667,Tasks!$B:$B,$B667,Tasks!$C:$C,$G667)*100,0),"")</f>
        <v/>
      </c>
    </row>
    <row r="668" spans="1:8" ht="15" hidden="1" customHeight="1">
      <c r="A668" t="s">
        <v>93</v>
      </c>
      <c r="B668" t="s">
        <v>96</v>
      </c>
      <c r="C668">
        <v>43</v>
      </c>
      <c r="D668">
        <v>10</v>
      </c>
      <c r="E668">
        <v>4</v>
      </c>
      <c r="F668">
        <v>3</v>
      </c>
      <c r="G668" t="s">
        <v>117</v>
      </c>
      <c r="H668" t="str">
        <f>IFERROR(ROUND(COUNTIFS(Tasks!$A:$A,$A668,Tasks!$B:$B,$B668,Tasks!$C:$C,$G668,Tasks!$I:$I,"&lt;="&amp;INDEX(Weeks!$D:$D,MATCH($C668,Weeks!$A:$A,0)),Tasks!$I:$I,"&lt;&gt;")/COUNTIFS(Tasks!$A:$A,$A668,Tasks!$B:$B,$B668,Tasks!$C:$C,$G668)*100,0),"")</f>
        <v/>
      </c>
    </row>
    <row r="669" spans="1:8" ht="15" hidden="1" customHeight="1">
      <c r="A669" t="s">
        <v>93</v>
      </c>
      <c r="B669" t="s">
        <v>96</v>
      </c>
      <c r="C669">
        <v>44</v>
      </c>
      <c r="D669">
        <v>10</v>
      </c>
      <c r="E669">
        <v>5</v>
      </c>
      <c r="F669">
        <v>3</v>
      </c>
      <c r="G669" t="s">
        <v>117</v>
      </c>
      <c r="H669" t="str">
        <f>IFERROR(ROUND(COUNTIFS(Tasks!$A:$A,$A669,Tasks!$B:$B,$B669,Tasks!$C:$C,$G669,Tasks!$I:$I,"&lt;="&amp;INDEX(Weeks!$D:$D,MATCH($C669,Weeks!$A:$A,0)),Tasks!$I:$I,"&lt;&gt;")/COUNTIFS(Tasks!$A:$A,$A669,Tasks!$B:$B,$B669,Tasks!$C:$C,$G669)*100,0),"")</f>
        <v/>
      </c>
    </row>
    <row r="670" spans="1:8" ht="15" hidden="1" customHeight="1">
      <c r="A670" t="s">
        <v>93</v>
      </c>
      <c r="B670" t="s">
        <v>96</v>
      </c>
      <c r="C670">
        <v>45</v>
      </c>
      <c r="D670">
        <v>11</v>
      </c>
      <c r="E670">
        <v>1</v>
      </c>
      <c r="F670">
        <v>3</v>
      </c>
      <c r="G670" t="s">
        <v>117</v>
      </c>
      <c r="H670" t="str">
        <f>IFERROR(ROUND(COUNTIFS(Tasks!$A:$A,$A670,Tasks!$B:$B,$B670,Tasks!$C:$C,$G670,Tasks!$I:$I,"&lt;="&amp;INDEX(Weeks!$D:$D,MATCH($C670,Weeks!$A:$A,0)),Tasks!$I:$I,"&lt;&gt;")/COUNTIFS(Tasks!$A:$A,$A670,Tasks!$B:$B,$B670,Tasks!$C:$C,$G670)*100,0),"")</f>
        <v/>
      </c>
    </row>
    <row r="671" spans="1:8" ht="15" hidden="1" customHeight="1">
      <c r="A671" t="s">
        <v>93</v>
      </c>
      <c r="B671" t="s">
        <v>96</v>
      </c>
      <c r="C671">
        <v>46</v>
      </c>
      <c r="D671">
        <v>11</v>
      </c>
      <c r="E671">
        <v>2</v>
      </c>
      <c r="F671">
        <v>3</v>
      </c>
      <c r="G671" t="s">
        <v>117</v>
      </c>
      <c r="H671" t="str">
        <f>IFERROR(ROUND(COUNTIFS(Tasks!$A:$A,$A671,Tasks!$B:$B,$B671,Tasks!$C:$C,$G671,Tasks!$I:$I,"&lt;="&amp;INDEX(Weeks!$D:$D,MATCH($C671,Weeks!$A:$A,0)),Tasks!$I:$I,"&lt;&gt;")/COUNTIFS(Tasks!$A:$A,$A671,Tasks!$B:$B,$B671,Tasks!$C:$C,$G671)*100,0),"")</f>
        <v/>
      </c>
    </row>
    <row r="672" spans="1:8" ht="15" hidden="1" customHeight="1">
      <c r="A672" t="s">
        <v>93</v>
      </c>
      <c r="B672" t="s">
        <v>96</v>
      </c>
      <c r="C672">
        <v>47</v>
      </c>
      <c r="D672">
        <v>11</v>
      </c>
      <c r="E672">
        <v>3</v>
      </c>
      <c r="F672">
        <v>3</v>
      </c>
      <c r="G672" t="s">
        <v>117</v>
      </c>
      <c r="H672" t="str">
        <f>IFERROR(ROUND(COUNTIFS(Tasks!$A:$A,$A672,Tasks!$B:$B,$B672,Tasks!$C:$C,$G672,Tasks!$I:$I,"&lt;="&amp;INDEX(Weeks!$D:$D,MATCH($C672,Weeks!$A:$A,0)),Tasks!$I:$I,"&lt;&gt;")/COUNTIFS(Tasks!$A:$A,$A672,Tasks!$B:$B,$B672,Tasks!$C:$C,$G672)*100,0),"")</f>
        <v/>
      </c>
    </row>
    <row r="673" spans="1:8" ht="15" hidden="1" customHeight="1">
      <c r="A673" t="s">
        <v>93</v>
      </c>
      <c r="B673" t="s">
        <v>96</v>
      </c>
      <c r="C673">
        <v>48</v>
      </c>
      <c r="D673">
        <v>11</v>
      </c>
      <c r="E673">
        <v>4</v>
      </c>
      <c r="F673">
        <v>3</v>
      </c>
      <c r="G673" t="s">
        <v>117</v>
      </c>
      <c r="H673" t="str">
        <f>IFERROR(ROUND(COUNTIFS(Tasks!$A:$A,$A673,Tasks!$B:$B,$B673,Tasks!$C:$C,$G673,Tasks!$I:$I,"&lt;="&amp;INDEX(Weeks!$D:$D,MATCH($C673,Weeks!$A:$A,0)),Tasks!$I:$I,"&lt;&gt;")/COUNTIFS(Tasks!$A:$A,$A673,Tasks!$B:$B,$B673,Tasks!$C:$C,$G673)*100,0),"")</f>
        <v/>
      </c>
    </row>
    <row r="674" spans="1:8" ht="15" hidden="1" customHeight="1">
      <c r="A674" t="s">
        <v>93</v>
      </c>
      <c r="B674" t="s">
        <v>96</v>
      </c>
      <c r="C674">
        <v>49</v>
      </c>
      <c r="D674">
        <v>12</v>
      </c>
      <c r="E674">
        <v>1</v>
      </c>
      <c r="F674">
        <v>3</v>
      </c>
      <c r="G674" t="s">
        <v>117</v>
      </c>
      <c r="H674" t="str">
        <f>IFERROR(ROUND(COUNTIFS(Tasks!$A:$A,$A674,Tasks!$B:$B,$B674,Tasks!$C:$C,$G674,Tasks!$I:$I,"&lt;="&amp;INDEX(Weeks!$D:$D,MATCH($C674,Weeks!$A:$A,0)),Tasks!$I:$I,"&lt;&gt;")/COUNTIFS(Tasks!$A:$A,$A674,Tasks!$B:$B,$B674,Tasks!$C:$C,$G674)*100,0),"")</f>
        <v/>
      </c>
    </row>
    <row r="675" spans="1:8" ht="15" hidden="1" customHeight="1">
      <c r="A675" t="s">
        <v>93</v>
      </c>
      <c r="B675" t="s">
        <v>96</v>
      </c>
      <c r="C675">
        <v>50</v>
      </c>
      <c r="D675">
        <v>12</v>
      </c>
      <c r="E675">
        <v>2</v>
      </c>
      <c r="F675">
        <v>3</v>
      </c>
      <c r="G675" t="s">
        <v>117</v>
      </c>
      <c r="H675" t="str">
        <f>IFERROR(ROUND(COUNTIFS(Tasks!$A:$A,$A675,Tasks!$B:$B,$B675,Tasks!$C:$C,$G675,Tasks!$I:$I,"&lt;="&amp;INDEX(Weeks!$D:$D,MATCH($C675,Weeks!$A:$A,0)),Tasks!$I:$I,"&lt;&gt;")/COUNTIFS(Tasks!$A:$A,$A675,Tasks!$B:$B,$B675,Tasks!$C:$C,$G675)*100,0),"")</f>
        <v/>
      </c>
    </row>
    <row r="676" spans="1:8" ht="15" hidden="1" customHeight="1">
      <c r="A676" t="s">
        <v>93</v>
      </c>
      <c r="B676" t="s">
        <v>96</v>
      </c>
      <c r="C676">
        <v>51</v>
      </c>
      <c r="D676">
        <v>12</v>
      </c>
      <c r="E676">
        <v>3</v>
      </c>
      <c r="F676">
        <v>3</v>
      </c>
      <c r="G676" t="s">
        <v>117</v>
      </c>
      <c r="H676" t="str">
        <f>IFERROR(ROUND(COUNTIFS(Tasks!$A:$A,$A676,Tasks!$B:$B,$B676,Tasks!$C:$C,$G676,Tasks!$I:$I,"&lt;="&amp;INDEX(Weeks!$D:$D,MATCH($C676,Weeks!$A:$A,0)),Tasks!$I:$I,"&lt;&gt;")/COUNTIFS(Tasks!$A:$A,$A676,Tasks!$B:$B,$B676,Tasks!$C:$C,$G676)*100,0),"")</f>
        <v/>
      </c>
    </row>
    <row r="677" spans="1:8" ht="15" hidden="1" customHeight="1">
      <c r="A677" t="s">
        <v>93</v>
      </c>
      <c r="B677" t="s">
        <v>96</v>
      </c>
      <c r="C677">
        <v>52</v>
      </c>
      <c r="D677">
        <v>12</v>
      </c>
      <c r="E677">
        <v>4</v>
      </c>
      <c r="F677">
        <v>3</v>
      </c>
      <c r="G677" t="s">
        <v>117</v>
      </c>
      <c r="H677" t="str">
        <f>IFERROR(ROUND(COUNTIFS(Tasks!$A:$A,$A677,Tasks!$B:$B,$B677,Tasks!$C:$C,$G677,Tasks!$I:$I,"&lt;="&amp;INDEX(Weeks!$D:$D,MATCH($C677,Weeks!$A:$A,0)),Tasks!$I:$I,"&lt;&gt;")/COUNTIFS(Tasks!$A:$A,$A677,Tasks!$B:$B,$B677,Tasks!$C:$C,$G677)*100,0),"")</f>
        <v/>
      </c>
    </row>
    <row r="678" spans="1:8" ht="15" hidden="1" customHeight="1">
      <c r="A678" t="s">
        <v>93</v>
      </c>
      <c r="B678" t="s">
        <v>96</v>
      </c>
      <c r="C678">
        <v>1</v>
      </c>
      <c r="D678">
        <v>1</v>
      </c>
      <c r="E678">
        <v>1</v>
      </c>
      <c r="F678">
        <v>4</v>
      </c>
      <c r="G678" t="s">
        <v>118</v>
      </c>
      <c r="H678" t="str">
        <f>IFERROR(ROUND(COUNTIFS(Tasks!$A:$A,$A678,Tasks!$B:$B,$B678,Tasks!$C:$C,$G678,Tasks!$I:$I,"&lt;="&amp;INDEX(Weeks!$D:$D,MATCH($C678,Weeks!$A:$A,0)),Tasks!$I:$I,"&lt;&gt;")/COUNTIFS(Tasks!$A:$A,$A678,Tasks!$B:$B,$B678,Tasks!$C:$C,$G678)*100,0),"")</f>
        <v/>
      </c>
    </row>
    <row r="679" spans="1:8" ht="15" hidden="1" customHeight="1">
      <c r="A679" t="s">
        <v>93</v>
      </c>
      <c r="B679" t="s">
        <v>96</v>
      </c>
      <c r="C679">
        <v>2</v>
      </c>
      <c r="D679">
        <v>1</v>
      </c>
      <c r="E679">
        <v>2</v>
      </c>
      <c r="F679">
        <v>4</v>
      </c>
      <c r="G679" t="s">
        <v>118</v>
      </c>
      <c r="H679" t="str">
        <f>IFERROR(ROUND(COUNTIFS(Tasks!$A:$A,$A679,Tasks!$B:$B,$B679,Tasks!$C:$C,$G679,Tasks!$I:$I,"&lt;="&amp;INDEX(Weeks!$D:$D,MATCH($C679,Weeks!$A:$A,0)),Tasks!$I:$I,"&lt;&gt;")/COUNTIFS(Tasks!$A:$A,$A679,Tasks!$B:$B,$B679,Tasks!$C:$C,$G679)*100,0),"")</f>
        <v/>
      </c>
    </row>
    <row r="680" spans="1:8" ht="15" hidden="1" customHeight="1">
      <c r="A680" t="s">
        <v>93</v>
      </c>
      <c r="B680" t="s">
        <v>96</v>
      </c>
      <c r="C680">
        <v>3</v>
      </c>
      <c r="D680">
        <v>1</v>
      </c>
      <c r="E680">
        <v>3</v>
      </c>
      <c r="F680">
        <v>4</v>
      </c>
      <c r="G680" t="s">
        <v>118</v>
      </c>
      <c r="H680" t="str">
        <f>IFERROR(ROUND(COUNTIFS(Tasks!$A:$A,$A680,Tasks!$B:$B,$B680,Tasks!$C:$C,$G680,Tasks!$I:$I,"&lt;="&amp;INDEX(Weeks!$D:$D,MATCH($C680,Weeks!$A:$A,0)),Tasks!$I:$I,"&lt;&gt;")/COUNTIFS(Tasks!$A:$A,$A680,Tasks!$B:$B,$B680,Tasks!$C:$C,$G680)*100,0),"")</f>
        <v/>
      </c>
    </row>
    <row r="681" spans="1:8" ht="15" hidden="1" customHeight="1">
      <c r="A681" t="s">
        <v>93</v>
      </c>
      <c r="B681" t="s">
        <v>96</v>
      </c>
      <c r="C681">
        <v>4</v>
      </c>
      <c r="D681">
        <v>1</v>
      </c>
      <c r="E681">
        <v>4</v>
      </c>
      <c r="F681">
        <v>4</v>
      </c>
      <c r="G681" t="s">
        <v>118</v>
      </c>
      <c r="H681" t="str">
        <f>IFERROR(ROUND(COUNTIFS(Tasks!$A:$A,$A681,Tasks!$B:$B,$B681,Tasks!$C:$C,$G681,Tasks!$I:$I,"&lt;="&amp;INDEX(Weeks!$D:$D,MATCH($C681,Weeks!$A:$A,0)),Tasks!$I:$I,"&lt;&gt;")/COUNTIFS(Tasks!$A:$A,$A681,Tasks!$B:$B,$B681,Tasks!$C:$C,$G681)*100,0),"")</f>
        <v/>
      </c>
    </row>
    <row r="682" spans="1:8" ht="15" hidden="1" customHeight="1">
      <c r="A682" t="s">
        <v>93</v>
      </c>
      <c r="B682" t="s">
        <v>96</v>
      </c>
      <c r="C682">
        <v>5</v>
      </c>
      <c r="D682">
        <v>1</v>
      </c>
      <c r="E682">
        <v>5</v>
      </c>
      <c r="F682">
        <v>4</v>
      </c>
      <c r="G682" t="s">
        <v>118</v>
      </c>
      <c r="H682" t="str">
        <f>IFERROR(ROUND(COUNTIFS(Tasks!$A:$A,$A682,Tasks!$B:$B,$B682,Tasks!$C:$C,$G682,Tasks!$I:$I,"&lt;="&amp;INDEX(Weeks!$D:$D,MATCH($C682,Weeks!$A:$A,0)),Tasks!$I:$I,"&lt;&gt;")/COUNTIFS(Tasks!$A:$A,$A682,Tasks!$B:$B,$B682,Tasks!$C:$C,$G682)*100,0),"")</f>
        <v/>
      </c>
    </row>
    <row r="683" spans="1:8" ht="15" hidden="1" customHeight="1">
      <c r="A683" t="s">
        <v>93</v>
      </c>
      <c r="B683" t="s">
        <v>96</v>
      </c>
      <c r="C683">
        <v>6</v>
      </c>
      <c r="D683">
        <v>2</v>
      </c>
      <c r="E683">
        <v>1</v>
      </c>
      <c r="F683">
        <v>4</v>
      </c>
      <c r="G683" t="s">
        <v>118</v>
      </c>
      <c r="H683" t="str">
        <f>IFERROR(ROUND(COUNTIFS(Tasks!$A:$A,$A683,Tasks!$B:$B,$B683,Tasks!$C:$C,$G683,Tasks!$I:$I,"&lt;="&amp;INDEX(Weeks!$D:$D,MATCH($C683,Weeks!$A:$A,0)),Tasks!$I:$I,"&lt;&gt;")/COUNTIFS(Tasks!$A:$A,$A683,Tasks!$B:$B,$B683,Tasks!$C:$C,$G683)*100,0),"")</f>
        <v/>
      </c>
    </row>
    <row r="684" spans="1:8" ht="15" hidden="1" customHeight="1">
      <c r="A684" t="s">
        <v>93</v>
      </c>
      <c r="B684" t="s">
        <v>96</v>
      </c>
      <c r="C684">
        <v>7</v>
      </c>
      <c r="D684">
        <v>2</v>
      </c>
      <c r="E684">
        <v>2</v>
      </c>
      <c r="F684">
        <v>4</v>
      </c>
      <c r="G684" t="s">
        <v>118</v>
      </c>
      <c r="H684" t="str">
        <f>IFERROR(ROUND(COUNTIFS(Tasks!$A:$A,$A684,Tasks!$B:$B,$B684,Tasks!$C:$C,$G684,Tasks!$I:$I,"&lt;="&amp;INDEX(Weeks!$D:$D,MATCH($C684,Weeks!$A:$A,0)),Tasks!$I:$I,"&lt;&gt;")/COUNTIFS(Tasks!$A:$A,$A684,Tasks!$B:$B,$B684,Tasks!$C:$C,$G684)*100,0),"")</f>
        <v/>
      </c>
    </row>
    <row r="685" spans="1:8" ht="15" hidden="1" customHeight="1">
      <c r="A685" t="s">
        <v>93</v>
      </c>
      <c r="B685" t="s">
        <v>96</v>
      </c>
      <c r="C685">
        <v>8</v>
      </c>
      <c r="D685">
        <v>2</v>
      </c>
      <c r="E685">
        <v>3</v>
      </c>
      <c r="F685">
        <v>4</v>
      </c>
      <c r="G685" t="s">
        <v>118</v>
      </c>
      <c r="H685" t="str">
        <f>IFERROR(ROUND(COUNTIFS(Tasks!$A:$A,$A685,Tasks!$B:$B,$B685,Tasks!$C:$C,$G685,Tasks!$I:$I,"&lt;="&amp;INDEX(Weeks!$D:$D,MATCH($C685,Weeks!$A:$A,0)),Tasks!$I:$I,"&lt;&gt;")/COUNTIFS(Tasks!$A:$A,$A685,Tasks!$B:$B,$B685,Tasks!$C:$C,$G685)*100,0),"")</f>
        <v/>
      </c>
    </row>
    <row r="686" spans="1:8" ht="15" hidden="1" customHeight="1">
      <c r="A686" t="s">
        <v>93</v>
      </c>
      <c r="B686" t="s">
        <v>96</v>
      </c>
      <c r="C686">
        <v>9</v>
      </c>
      <c r="D686">
        <v>2</v>
      </c>
      <c r="E686">
        <v>4</v>
      </c>
      <c r="F686">
        <v>4</v>
      </c>
      <c r="G686" t="s">
        <v>118</v>
      </c>
      <c r="H686" t="str">
        <f>IFERROR(ROUND(COUNTIFS(Tasks!$A:$A,$A686,Tasks!$B:$B,$B686,Tasks!$C:$C,$G686,Tasks!$I:$I,"&lt;="&amp;INDEX(Weeks!$D:$D,MATCH($C686,Weeks!$A:$A,0)),Tasks!$I:$I,"&lt;&gt;")/COUNTIFS(Tasks!$A:$A,$A686,Tasks!$B:$B,$B686,Tasks!$C:$C,$G686)*100,0),"")</f>
        <v/>
      </c>
    </row>
    <row r="687" spans="1:8" ht="15" hidden="1" customHeight="1">
      <c r="A687" t="s">
        <v>93</v>
      </c>
      <c r="B687" t="s">
        <v>96</v>
      </c>
      <c r="C687">
        <v>10</v>
      </c>
      <c r="D687">
        <v>3</v>
      </c>
      <c r="E687">
        <v>1</v>
      </c>
      <c r="F687">
        <v>4</v>
      </c>
      <c r="G687" t="s">
        <v>118</v>
      </c>
      <c r="H687" t="str">
        <f>IFERROR(ROUND(COUNTIFS(Tasks!$A:$A,$A687,Tasks!$B:$B,$B687,Tasks!$C:$C,$G687,Tasks!$I:$I,"&lt;="&amp;INDEX(Weeks!$D:$D,MATCH($C687,Weeks!$A:$A,0)),Tasks!$I:$I,"&lt;&gt;")/COUNTIFS(Tasks!$A:$A,$A687,Tasks!$B:$B,$B687,Tasks!$C:$C,$G687)*100,0),"")</f>
        <v/>
      </c>
    </row>
    <row r="688" spans="1:8" ht="15" hidden="1" customHeight="1">
      <c r="A688" t="s">
        <v>93</v>
      </c>
      <c r="B688" t="s">
        <v>96</v>
      </c>
      <c r="C688">
        <v>11</v>
      </c>
      <c r="D688">
        <v>3</v>
      </c>
      <c r="E688">
        <v>2</v>
      </c>
      <c r="F688">
        <v>4</v>
      </c>
      <c r="G688" t="s">
        <v>118</v>
      </c>
      <c r="H688" t="str">
        <f>IFERROR(ROUND(COUNTIFS(Tasks!$A:$A,$A688,Tasks!$B:$B,$B688,Tasks!$C:$C,$G688,Tasks!$I:$I,"&lt;="&amp;INDEX(Weeks!$D:$D,MATCH($C688,Weeks!$A:$A,0)),Tasks!$I:$I,"&lt;&gt;")/COUNTIFS(Tasks!$A:$A,$A688,Tasks!$B:$B,$B688,Tasks!$C:$C,$G688)*100,0),"")</f>
        <v/>
      </c>
    </row>
    <row r="689" spans="1:8" ht="15" hidden="1" customHeight="1">
      <c r="A689" t="s">
        <v>93</v>
      </c>
      <c r="B689" t="s">
        <v>96</v>
      </c>
      <c r="C689">
        <v>12</v>
      </c>
      <c r="D689">
        <v>3</v>
      </c>
      <c r="E689">
        <v>3</v>
      </c>
      <c r="F689">
        <v>4</v>
      </c>
      <c r="G689" t="s">
        <v>118</v>
      </c>
      <c r="H689" t="str">
        <f>IFERROR(ROUND(COUNTIFS(Tasks!$A:$A,$A689,Tasks!$B:$B,$B689,Tasks!$C:$C,$G689,Tasks!$I:$I,"&lt;="&amp;INDEX(Weeks!$D:$D,MATCH($C689,Weeks!$A:$A,0)),Tasks!$I:$I,"&lt;&gt;")/COUNTIFS(Tasks!$A:$A,$A689,Tasks!$B:$B,$B689,Tasks!$C:$C,$G689)*100,0),"")</f>
        <v/>
      </c>
    </row>
    <row r="690" spans="1:8" ht="15" hidden="1" customHeight="1">
      <c r="A690" t="s">
        <v>93</v>
      </c>
      <c r="B690" t="s">
        <v>96</v>
      </c>
      <c r="C690">
        <v>13</v>
      </c>
      <c r="D690">
        <v>3</v>
      </c>
      <c r="E690">
        <v>4</v>
      </c>
      <c r="F690">
        <v>4</v>
      </c>
      <c r="G690" t="s">
        <v>118</v>
      </c>
      <c r="H690" t="str">
        <f>IFERROR(ROUND(COUNTIFS(Tasks!$A:$A,$A690,Tasks!$B:$B,$B690,Tasks!$C:$C,$G690,Tasks!$I:$I,"&lt;="&amp;INDEX(Weeks!$D:$D,MATCH($C690,Weeks!$A:$A,0)),Tasks!$I:$I,"&lt;&gt;")/COUNTIFS(Tasks!$A:$A,$A690,Tasks!$B:$B,$B690,Tasks!$C:$C,$G690)*100,0),"")</f>
        <v/>
      </c>
    </row>
    <row r="691" spans="1:8" ht="15" hidden="1" customHeight="1">
      <c r="A691" t="s">
        <v>93</v>
      </c>
      <c r="B691" t="s">
        <v>96</v>
      </c>
      <c r="C691">
        <v>14</v>
      </c>
      <c r="D691">
        <v>4</v>
      </c>
      <c r="E691">
        <v>1</v>
      </c>
      <c r="F691">
        <v>4</v>
      </c>
      <c r="G691" t="s">
        <v>118</v>
      </c>
      <c r="H691" t="str">
        <f>IFERROR(ROUND(COUNTIFS(Tasks!$A:$A,$A691,Tasks!$B:$B,$B691,Tasks!$C:$C,$G691,Tasks!$I:$I,"&lt;="&amp;INDEX(Weeks!$D:$D,MATCH($C691,Weeks!$A:$A,0)),Tasks!$I:$I,"&lt;&gt;")/COUNTIFS(Tasks!$A:$A,$A691,Tasks!$B:$B,$B691,Tasks!$C:$C,$G691)*100,0),"")</f>
        <v/>
      </c>
    </row>
    <row r="692" spans="1:8" ht="15" hidden="1" customHeight="1">
      <c r="A692" t="s">
        <v>93</v>
      </c>
      <c r="B692" t="s">
        <v>96</v>
      </c>
      <c r="C692">
        <v>15</v>
      </c>
      <c r="D692">
        <v>4</v>
      </c>
      <c r="E692">
        <v>2</v>
      </c>
      <c r="F692">
        <v>4</v>
      </c>
      <c r="G692" t="s">
        <v>118</v>
      </c>
      <c r="H692" t="str">
        <f>IFERROR(ROUND(COUNTIFS(Tasks!$A:$A,$A692,Tasks!$B:$B,$B692,Tasks!$C:$C,$G692,Tasks!$I:$I,"&lt;="&amp;INDEX(Weeks!$D:$D,MATCH($C692,Weeks!$A:$A,0)),Tasks!$I:$I,"&lt;&gt;")/COUNTIFS(Tasks!$A:$A,$A692,Tasks!$B:$B,$B692,Tasks!$C:$C,$G692)*100,0),"")</f>
        <v/>
      </c>
    </row>
    <row r="693" spans="1:8" ht="15" hidden="1" customHeight="1">
      <c r="A693" t="s">
        <v>93</v>
      </c>
      <c r="B693" t="s">
        <v>96</v>
      </c>
      <c r="C693">
        <v>16</v>
      </c>
      <c r="D693">
        <v>4</v>
      </c>
      <c r="E693">
        <v>3</v>
      </c>
      <c r="F693">
        <v>4</v>
      </c>
      <c r="G693" t="s">
        <v>118</v>
      </c>
      <c r="H693" t="str">
        <f>IFERROR(ROUND(COUNTIFS(Tasks!$A:$A,$A693,Tasks!$B:$B,$B693,Tasks!$C:$C,$G693,Tasks!$I:$I,"&lt;="&amp;INDEX(Weeks!$D:$D,MATCH($C693,Weeks!$A:$A,0)),Tasks!$I:$I,"&lt;&gt;")/COUNTIFS(Tasks!$A:$A,$A693,Tasks!$B:$B,$B693,Tasks!$C:$C,$G693)*100,0),"")</f>
        <v/>
      </c>
    </row>
    <row r="694" spans="1:8" ht="15" hidden="1" customHeight="1">
      <c r="A694" t="s">
        <v>93</v>
      </c>
      <c r="B694" t="s">
        <v>96</v>
      </c>
      <c r="C694">
        <v>17</v>
      </c>
      <c r="D694">
        <v>4</v>
      </c>
      <c r="E694">
        <v>4</v>
      </c>
      <c r="F694">
        <v>4</v>
      </c>
      <c r="G694" t="s">
        <v>118</v>
      </c>
      <c r="H694" t="str">
        <f>IFERROR(ROUND(COUNTIFS(Tasks!$A:$A,$A694,Tasks!$B:$B,$B694,Tasks!$C:$C,$G694,Tasks!$I:$I,"&lt;="&amp;INDEX(Weeks!$D:$D,MATCH($C694,Weeks!$A:$A,0)),Tasks!$I:$I,"&lt;&gt;")/COUNTIFS(Tasks!$A:$A,$A694,Tasks!$B:$B,$B694,Tasks!$C:$C,$G694)*100,0),"")</f>
        <v/>
      </c>
    </row>
    <row r="695" spans="1:8" ht="15" hidden="1" customHeight="1">
      <c r="A695" t="s">
        <v>93</v>
      </c>
      <c r="B695" t="s">
        <v>96</v>
      </c>
      <c r="C695">
        <v>18</v>
      </c>
      <c r="D695">
        <v>5</v>
      </c>
      <c r="E695">
        <v>1</v>
      </c>
      <c r="F695">
        <v>4</v>
      </c>
      <c r="G695" t="s">
        <v>118</v>
      </c>
      <c r="H695" t="str">
        <f>IFERROR(ROUND(COUNTIFS(Tasks!$A:$A,$A695,Tasks!$B:$B,$B695,Tasks!$C:$C,$G695,Tasks!$I:$I,"&lt;="&amp;INDEX(Weeks!$D:$D,MATCH($C695,Weeks!$A:$A,0)),Tasks!$I:$I,"&lt;&gt;")/COUNTIFS(Tasks!$A:$A,$A695,Tasks!$B:$B,$B695,Tasks!$C:$C,$G695)*100,0),"")</f>
        <v/>
      </c>
    </row>
    <row r="696" spans="1:8" ht="15" hidden="1" customHeight="1">
      <c r="A696" t="s">
        <v>93</v>
      </c>
      <c r="B696" t="s">
        <v>96</v>
      </c>
      <c r="C696">
        <v>19</v>
      </c>
      <c r="D696">
        <v>5</v>
      </c>
      <c r="E696">
        <v>2</v>
      </c>
      <c r="F696">
        <v>4</v>
      </c>
      <c r="G696" t="s">
        <v>118</v>
      </c>
      <c r="H696" t="str">
        <f>IFERROR(ROUND(COUNTIFS(Tasks!$A:$A,$A696,Tasks!$B:$B,$B696,Tasks!$C:$C,$G696,Tasks!$I:$I,"&lt;="&amp;INDEX(Weeks!$D:$D,MATCH($C696,Weeks!$A:$A,0)),Tasks!$I:$I,"&lt;&gt;")/COUNTIFS(Tasks!$A:$A,$A696,Tasks!$B:$B,$B696,Tasks!$C:$C,$G696)*100,0),"")</f>
        <v/>
      </c>
    </row>
    <row r="697" spans="1:8" ht="15" hidden="1" customHeight="1">
      <c r="A697" t="s">
        <v>93</v>
      </c>
      <c r="B697" t="s">
        <v>96</v>
      </c>
      <c r="C697">
        <v>20</v>
      </c>
      <c r="D697">
        <v>5</v>
      </c>
      <c r="E697">
        <v>3</v>
      </c>
      <c r="F697">
        <v>4</v>
      </c>
      <c r="G697" t="s">
        <v>118</v>
      </c>
      <c r="H697" t="str">
        <f>IFERROR(ROUND(COUNTIFS(Tasks!$A:$A,$A697,Tasks!$B:$B,$B697,Tasks!$C:$C,$G697,Tasks!$I:$I,"&lt;="&amp;INDEX(Weeks!$D:$D,MATCH($C697,Weeks!$A:$A,0)),Tasks!$I:$I,"&lt;&gt;")/COUNTIFS(Tasks!$A:$A,$A697,Tasks!$B:$B,$B697,Tasks!$C:$C,$G697)*100,0),"")</f>
        <v/>
      </c>
    </row>
    <row r="698" spans="1:8" ht="15" hidden="1" customHeight="1">
      <c r="A698" t="s">
        <v>93</v>
      </c>
      <c r="B698" t="s">
        <v>96</v>
      </c>
      <c r="C698">
        <v>21</v>
      </c>
      <c r="D698">
        <v>5</v>
      </c>
      <c r="E698">
        <v>4</v>
      </c>
      <c r="F698">
        <v>4</v>
      </c>
      <c r="G698" t="s">
        <v>118</v>
      </c>
      <c r="H698" t="str">
        <f>IFERROR(ROUND(COUNTIFS(Tasks!$A:$A,$A698,Tasks!$B:$B,$B698,Tasks!$C:$C,$G698,Tasks!$I:$I,"&lt;="&amp;INDEX(Weeks!$D:$D,MATCH($C698,Weeks!$A:$A,0)),Tasks!$I:$I,"&lt;&gt;")/COUNTIFS(Tasks!$A:$A,$A698,Tasks!$B:$B,$B698,Tasks!$C:$C,$G698)*100,0),"")</f>
        <v/>
      </c>
    </row>
    <row r="699" spans="1:8" ht="15" hidden="1" customHeight="1">
      <c r="A699" t="s">
        <v>93</v>
      </c>
      <c r="B699" t="s">
        <v>96</v>
      </c>
      <c r="C699">
        <v>22</v>
      </c>
      <c r="D699">
        <v>5</v>
      </c>
      <c r="E699">
        <v>5</v>
      </c>
      <c r="F699">
        <v>4</v>
      </c>
      <c r="G699" t="s">
        <v>118</v>
      </c>
      <c r="H699" t="str">
        <f>IFERROR(ROUND(COUNTIFS(Tasks!$A:$A,$A699,Tasks!$B:$B,$B699,Tasks!$C:$C,$G699,Tasks!$I:$I,"&lt;="&amp;INDEX(Weeks!$D:$D,MATCH($C699,Weeks!$A:$A,0)),Tasks!$I:$I,"&lt;&gt;")/COUNTIFS(Tasks!$A:$A,$A699,Tasks!$B:$B,$B699,Tasks!$C:$C,$G699)*100,0),"")</f>
        <v/>
      </c>
    </row>
    <row r="700" spans="1:8" ht="15" hidden="1" customHeight="1">
      <c r="A700" t="s">
        <v>93</v>
      </c>
      <c r="B700" t="s">
        <v>96</v>
      </c>
      <c r="C700">
        <v>23</v>
      </c>
      <c r="D700">
        <v>6</v>
      </c>
      <c r="E700">
        <v>1</v>
      </c>
      <c r="F700">
        <v>4</v>
      </c>
      <c r="G700" t="s">
        <v>118</v>
      </c>
      <c r="H700" t="str">
        <f>IFERROR(ROUND(COUNTIFS(Tasks!$A:$A,$A700,Tasks!$B:$B,$B700,Tasks!$C:$C,$G700,Tasks!$I:$I,"&lt;="&amp;INDEX(Weeks!$D:$D,MATCH($C700,Weeks!$A:$A,0)),Tasks!$I:$I,"&lt;&gt;")/COUNTIFS(Tasks!$A:$A,$A700,Tasks!$B:$B,$B700,Tasks!$C:$C,$G700)*100,0),"")</f>
        <v/>
      </c>
    </row>
    <row r="701" spans="1:8" ht="15" hidden="1" customHeight="1">
      <c r="A701" t="s">
        <v>93</v>
      </c>
      <c r="B701" t="s">
        <v>96</v>
      </c>
      <c r="C701">
        <v>24</v>
      </c>
      <c r="D701">
        <v>6</v>
      </c>
      <c r="E701">
        <v>2</v>
      </c>
      <c r="F701">
        <v>4</v>
      </c>
      <c r="G701" t="s">
        <v>118</v>
      </c>
      <c r="H701" t="str">
        <f>IFERROR(ROUND(COUNTIFS(Tasks!$A:$A,$A701,Tasks!$B:$B,$B701,Tasks!$C:$C,$G701,Tasks!$I:$I,"&lt;="&amp;INDEX(Weeks!$D:$D,MATCH($C701,Weeks!$A:$A,0)),Tasks!$I:$I,"&lt;&gt;")/COUNTIFS(Tasks!$A:$A,$A701,Tasks!$B:$B,$B701,Tasks!$C:$C,$G701)*100,0),"")</f>
        <v/>
      </c>
    </row>
    <row r="702" spans="1:8" ht="15" hidden="1" customHeight="1">
      <c r="A702" t="s">
        <v>93</v>
      </c>
      <c r="B702" t="s">
        <v>96</v>
      </c>
      <c r="C702">
        <v>25</v>
      </c>
      <c r="D702">
        <v>6</v>
      </c>
      <c r="E702">
        <v>3</v>
      </c>
      <c r="F702">
        <v>4</v>
      </c>
      <c r="G702" t="s">
        <v>118</v>
      </c>
      <c r="H702" t="str">
        <f>IFERROR(ROUND(COUNTIFS(Tasks!$A:$A,$A702,Tasks!$B:$B,$B702,Tasks!$C:$C,$G702,Tasks!$I:$I,"&lt;="&amp;INDEX(Weeks!$D:$D,MATCH($C702,Weeks!$A:$A,0)),Tasks!$I:$I,"&lt;&gt;")/COUNTIFS(Tasks!$A:$A,$A702,Tasks!$B:$B,$B702,Tasks!$C:$C,$G702)*100,0),"")</f>
        <v/>
      </c>
    </row>
    <row r="703" spans="1:8" ht="15" hidden="1" customHeight="1">
      <c r="A703" t="s">
        <v>93</v>
      </c>
      <c r="B703" t="s">
        <v>96</v>
      </c>
      <c r="C703">
        <v>26</v>
      </c>
      <c r="D703">
        <v>6</v>
      </c>
      <c r="E703">
        <v>4</v>
      </c>
      <c r="F703">
        <v>4</v>
      </c>
      <c r="G703" t="s">
        <v>118</v>
      </c>
      <c r="H703" t="str">
        <f>IFERROR(ROUND(COUNTIFS(Tasks!$A:$A,$A703,Tasks!$B:$B,$B703,Tasks!$C:$C,$G703,Tasks!$I:$I,"&lt;="&amp;INDEX(Weeks!$D:$D,MATCH($C703,Weeks!$A:$A,0)),Tasks!$I:$I,"&lt;&gt;")/COUNTIFS(Tasks!$A:$A,$A703,Tasks!$B:$B,$B703,Tasks!$C:$C,$G703)*100,0),"")</f>
        <v/>
      </c>
    </row>
    <row r="704" spans="1:8" ht="15" hidden="1" customHeight="1">
      <c r="A704" t="s">
        <v>93</v>
      </c>
      <c r="B704" t="s">
        <v>96</v>
      </c>
      <c r="C704">
        <v>27</v>
      </c>
      <c r="D704">
        <v>7</v>
      </c>
      <c r="E704">
        <v>1</v>
      </c>
      <c r="F704">
        <v>4</v>
      </c>
      <c r="G704" t="s">
        <v>118</v>
      </c>
      <c r="H704" t="str">
        <f>IFERROR(ROUND(COUNTIFS(Tasks!$A:$A,$A704,Tasks!$B:$B,$B704,Tasks!$C:$C,$G704,Tasks!$I:$I,"&lt;="&amp;INDEX(Weeks!$D:$D,MATCH($C704,Weeks!$A:$A,0)),Tasks!$I:$I,"&lt;&gt;")/COUNTIFS(Tasks!$A:$A,$A704,Tasks!$B:$B,$B704,Tasks!$C:$C,$G704)*100,0),"")</f>
        <v/>
      </c>
    </row>
    <row r="705" spans="1:8" ht="15" hidden="1" customHeight="1">
      <c r="A705" t="s">
        <v>93</v>
      </c>
      <c r="B705" t="s">
        <v>96</v>
      </c>
      <c r="C705">
        <v>28</v>
      </c>
      <c r="D705">
        <v>7</v>
      </c>
      <c r="E705">
        <v>2</v>
      </c>
      <c r="F705">
        <v>4</v>
      </c>
      <c r="G705" t="s">
        <v>118</v>
      </c>
      <c r="H705" t="str">
        <f>IFERROR(ROUND(COUNTIFS(Tasks!$A:$A,$A705,Tasks!$B:$B,$B705,Tasks!$C:$C,$G705,Tasks!$I:$I,"&lt;="&amp;INDEX(Weeks!$D:$D,MATCH($C705,Weeks!$A:$A,0)),Tasks!$I:$I,"&lt;&gt;")/COUNTIFS(Tasks!$A:$A,$A705,Tasks!$B:$B,$B705,Tasks!$C:$C,$G705)*100,0),"")</f>
        <v/>
      </c>
    </row>
    <row r="706" spans="1:8" ht="15" hidden="1" customHeight="1">
      <c r="A706" t="s">
        <v>93</v>
      </c>
      <c r="B706" t="s">
        <v>96</v>
      </c>
      <c r="C706">
        <v>29</v>
      </c>
      <c r="D706">
        <v>7</v>
      </c>
      <c r="E706">
        <v>3</v>
      </c>
      <c r="F706">
        <v>4</v>
      </c>
      <c r="G706" t="s">
        <v>118</v>
      </c>
      <c r="H706" t="str">
        <f>IFERROR(ROUND(COUNTIFS(Tasks!$A:$A,$A706,Tasks!$B:$B,$B706,Tasks!$C:$C,$G706,Tasks!$I:$I,"&lt;="&amp;INDEX(Weeks!$D:$D,MATCH($C706,Weeks!$A:$A,0)),Tasks!$I:$I,"&lt;&gt;")/COUNTIFS(Tasks!$A:$A,$A706,Tasks!$B:$B,$B706,Tasks!$C:$C,$G706)*100,0),"")</f>
        <v/>
      </c>
    </row>
    <row r="707" spans="1:8" ht="15" hidden="1" customHeight="1">
      <c r="A707" t="s">
        <v>93</v>
      </c>
      <c r="B707" t="s">
        <v>96</v>
      </c>
      <c r="C707">
        <v>30</v>
      </c>
      <c r="D707">
        <v>7</v>
      </c>
      <c r="E707">
        <v>4</v>
      </c>
      <c r="F707">
        <v>4</v>
      </c>
      <c r="G707" t="s">
        <v>118</v>
      </c>
      <c r="H707" t="str">
        <f>IFERROR(ROUND(COUNTIFS(Tasks!$A:$A,$A707,Tasks!$B:$B,$B707,Tasks!$C:$C,$G707,Tasks!$I:$I,"&lt;="&amp;INDEX(Weeks!$D:$D,MATCH($C707,Weeks!$A:$A,0)),Tasks!$I:$I,"&lt;&gt;")/COUNTIFS(Tasks!$A:$A,$A707,Tasks!$B:$B,$B707,Tasks!$C:$C,$G707)*100,0),"")</f>
        <v/>
      </c>
    </row>
    <row r="708" spans="1:8" ht="15" hidden="1" customHeight="1">
      <c r="A708" t="s">
        <v>93</v>
      </c>
      <c r="B708" t="s">
        <v>96</v>
      </c>
      <c r="C708">
        <v>31</v>
      </c>
      <c r="D708">
        <v>8</v>
      </c>
      <c r="E708">
        <v>1</v>
      </c>
      <c r="F708">
        <v>4</v>
      </c>
      <c r="G708" t="s">
        <v>118</v>
      </c>
      <c r="H708" t="str">
        <f>IFERROR(ROUND(COUNTIFS(Tasks!$A:$A,$A708,Tasks!$B:$B,$B708,Tasks!$C:$C,$G708,Tasks!$I:$I,"&lt;="&amp;INDEX(Weeks!$D:$D,MATCH($C708,Weeks!$A:$A,0)),Tasks!$I:$I,"&lt;&gt;")/COUNTIFS(Tasks!$A:$A,$A708,Tasks!$B:$B,$B708,Tasks!$C:$C,$G708)*100,0),"")</f>
        <v/>
      </c>
    </row>
    <row r="709" spans="1:8" ht="15" hidden="1" customHeight="1">
      <c r="A709" t="s">
        <v>93</v>
      </c>
      <c r="B709" t="s">
        <v>96</v>
      </c>
      <c r="C709">
        <v>32</v>
      </c>
      <c r="D709">
        <v>8</v>
      </c>
      <c r="E709">
        <v>2</v>
      </c>
      <c r="F709">
        <v>4</v>
      </c>
      <c r="G709" t="s">
        <v>118</v>
      </c>
      <c r="H709" t="str">
        <f>IFERROR(ROUND(COUNTIFS(Tasks!$A:$A,$A709,Tasks!$B:$B,$B709,Tasks!$C:$C,$G709,Tasks!$I:$I,"&lt;="&amp;INDEX(Weeks!$D:$D,MATCH($C709,Weeks!$A:$A,0)),Tasks!$I:$I,"&lt;&gt;")/COUNTIFS(Tasks!$A:$A,$A709,Tasks!$B:$B,$B709,Tasks!$C:$C,$G709)*100,0),"")</f>
        <v/>
      </c>
    </row>
    <row r="710" spans="1:8" ht="15" hidden="1" customHeight="1">
      <c r="A710" t="s">
        <v>93</v>
      </c>
      <c r="B710" t="s">
        <v>96</v>
      </c>
      <c r="C710">
        <v>33</v>
      </c>
      <c r="D710">
        <v>8</v>
      </c>
      <c r="E710">
        <v>3</v>
      </c>
      <c r="F710">
        <v>4</v>
      </c>
      <c r="G710" t="s">
        <v>118</v>
      </c>
      <c r="H710" t="str">
        <f>IFERROR(ROUND(COUNTIFS(Tasks!$A:$A,$A710,Tasks!$B:$B,$B710,Tasks!$C:$C,$G710,Tasks!$I:$I,"&lt;="&amp;INDEX(Weeks!$D:$D,MATCH($C710,Weeks!$A:$A,0)),Tasks!$I:$I,"&lt;&gt;")/COUNTIFS(Tasks!$A:$A,$A710,Tasks!$B:$B,$B710,Tasks!$C:$C,$G710)*100,0),"")</f>
        <v/>
      </c>
    </row>
    <row r="711" spans="1:8" ht="15" hidden="1" customHeight="1">
      <c r="A711" t="s">
        <v>93</v>
      </c>
      <c r="B711" t="s">
        <v>96</v>
      </c>
      <c r="C711">
        <v>34</v>
      </c>
      <c r="D711">
        <v>8</v>
      </c>
      <c r="E711">
        <v>4</v>
      </c>
      <c r="F711">
        <v>4</v>
      </c>
      <c r="G711" t="s">
        <v>118</v>
      </c>
      <c r="H711" t="str">
        <f>IFERROR(ROUND(COUNTIFS(Tasks!$A:$A,$A711,Tasks!$B:$B,$B711,Tasks!$C:$C,$G711,Tasks!$I:$I,"&lt;="&amp;INDEX(Weeks!$D:$D,MATCH($C711,Weeks!$A:$A,0)),Tasks!$I:$I,"&lt;&gt;")/COUNTIFS(Tasks!$A:$A,$A711,Tasks!$B:$B,$B711,Tasks!$C:$C,$G711)*100,0),"")</f>
        <v/>
      </c>
    </row>
    <row r="712" spans="1:8" ht="15" hidden="1" customHeight="1">
      <c r="A712" t="s">
        <v>93</v>
      </c>
      <c r="B712" t="s">
        <v>96</v>
      </c>
      <c r="C712">
        <v>35</v>
      </c>
      <c r="D712">
        <v>8</v>
      </c>
      <c r="E712">
        <v>5</v>
      </c>
      <c r="F712">
        <v>4</v>
      </c>
      <c r="G712" t="s">
        <v>118</v>
      </c>
      <c r="H712" t="str">
        <f>IFERROR(ROUND(COUNTIFS(Tasks!$A:$A,$A712,Tasks!$B:$B,$B712,Tasks!$C:$C,$G712,Tasks!$I:$I,"&lt;="&amp;INDEX(Weeks!$D:$D,MATCH($C712,Weeks!$A:$A,0)),Tasks!$I:$I,"&lt;&gt;")/COUNTIFS(Tasks!$A:$A,$A712,Tasks!$B:$B,$B712,Tasks!$C:$C,$G712)*100,0),"")</f>
        <v/>
      </c>
    </row>
    <row r="713" spans="1:8" ht="15" hidden="1" customHeight="1">
      <c r="A713" t="s">
        <v>93</v>
      </c>
      <c r="B713" t="s">
        <v>96</v>
      </c>
      <c r="C713">
        <v>36</v>
      </c>
      <c r="D713">
        <v>9</v>
      </c>
      <c r="E713">
        <v>1</v>
      </c>
      <c r="F713">
        <v>4</v>
      </c>
      <c r="G713" t="s">
        <v>118</v>
      </c>
      <c r="H713" t="str">
        <f>IFERROR(ROUND(COUNTIFS(Tasks!$A:$A,$A713,Tasks!$B:$B,$B713,Tasks!$C:$C,$G713,Tasks!$I:$I,"&lt;="&amp;INDEX(Weeks!$D:$D,MATCH($C713,Weeks!$A:$A,0)),Tasks!$I:$I,"&lt;&gt;")/COUNTIFS(Tasks!$A:$A,$A713,Tasks!$B:$B,$B713,Tasks!$C:$C,$G713)*100,0),"")</f>
        <v/>
      </c>
    </row>
    <row r="714" spans="1:8" ht="15" hidden="1" customHeight="1">
      <c r="A714" t="s">
        <v>93</v>
      </c>
      <c r="B714" t="s">
        <v>96</v>
      </c>
      <c r="C714">
        <v>37</v>
      </c>
      <c r="D714">
        <v>9</v>
      </c>
      <c r="E714">
        <v>2</v>
      </c>
      <c r="F714">
        <v>4</v>
      </c>
      <c r="G714" t="s">
        <v>118</v>
      </c>
      <c r="H714" t="str">
        <f>IFERROR(ROUND(COUNTIFS(Tasks!$A:$A,$A714,Tasks!$B:$B,$B714,Tasks!$C:$C,$G714,Tasks!$I:$I,"&lt;="&amp;INDEX(Weeks!$D:$D,MATCH($C714,Weeks!$A:$A,0)),Tasks!$I:$I,"&lt;&gt;")/COUNTIFS(Tasks!$A:$A,$A714,Tasks!$B:$B,$B714,Tasks!$C:$C,$G714)*100,0),"")</f>
        <v/>
      </c>
    </row>
    <row r="715" spans="1:8" ht="15" hidden="1" customHeight="1">
      <c r="A715" t="s">
        <v>93</v>
      </c>
      <c r="B715" t="s">
        <v>96</v>
      </c>
      <c r="C715">
        <v>38</v>
      </c>
      <c r="D715">
        <v>9</v>
      </c>
      <c r="E715">
        <v>3</v>
      </c>
      <c r="F715">
        <v>4</v>
      </c>
      <c r="G715" t="s">
        <v>118</v>
      </c>
      <c r="H715" t="str">
        <f>IFERROR(ROUND(COUNTIFS(Tasks!$A:$A,$A715,Tasks!$B:$B,$B715,Tasks!$C:$C,$G715,Tasks!$I:$I,"&lt;="&amp;INDEX(Weeks!$D:$D,MATCH($C715,Weeks!$A:$A,0)),Tasks!$I:$I,"&lt;&gt;")/COUNTIFS(Tasks!$A:$A,$A715,Tasks!$B:$B,$B715,Tasks!$C:$C,$G715)*100,0),"")</f>
        <v/>
      </c>
    </row>
    <row r="716" spans="1:8" ht="15" hidden="1" customHeight="1">
      <c r="A716" t="s">
        <v>93</v>
      </c>
      <c r="B716" t="s">
        <v>96</v>
      </c>
      <c r="C716">
        <v>39</v>
      </c>
      <c r="D716">
        <v>9</v>
      </c>
      <c r="E716">
        <v>4</v>
      </c>
      <c r="F716">
        <v>4</v>
      </c>
      <c r="G716" t="s">
        <v>118</v>
      </c>
      <c r="H716" t="str">
        <f>IFERROR(ROUND(COUNTIFS(Tasks!$A:$A,$A716,Tasks!$B:$B,$B716,Tasks!$C:$C,$G716,Tasks!$I:$I,"&lt;="&amp;INDEX(Weeks!$D:$D,MATCH($C716,Weeks!$A:$A,0)),Tasks!$I:$I,"&lt;&gt;")/COUNTIFS(Tasks!$A:$A,$A716,Tasks!$B:$B,$B716,Tasks!$C:$C,$G716)*100,0),"")</f>
        <v/>
      </c>
    </row>
    <row r="717" spans="1:8" ht="15" hidden="1" customHeight="1">
      <c r="A717" t="s">
        <v>93</v>
      </c>
      <c r="B717" t="s">
        <v>96</v>
      </c>
      <c r="C717">
        <v>40</v>
      </c>
      <c r="D717">
        <v>10</v>
      </c>
      <c r="E717">
        <v>1</v>
      </c>
      <c r="F717">
        <v>4</v>
      </c>
      <c r="G717" t="s">
        <v>118</v>
      </c>
      <c r="H717" t="str">
        <f>IFERROR(ROUND(COUNTIFS(Tasks!$A:$A,$A717,Tasks!$B:$B,$B717,Tasks!$C:$C,$G717,Tasks!$I:$I,"&lt;="&amp;INDEX(Weeks!$D:$D,MATCH($C717,Weeks!$A:$A,0)),Tasks!$I:$I,"&lt;&gt;")/COUNTIFS(Tasks!$A:$A,$A717,Tasks!$B:$B,$B717,Tasks!$C:$C,$G717)*100,0),"")</f>
        <v/>
      </c>
    </row>
    <row r="718" spans="1:8" ht="15" hidden="1" customHeight="1">
      <c r="A718" t="s">
        <v>93</v>
      </c>
      <c r="B718" t="s">
        <v>96</v>
      </c>
      <c r="C718">
        <v>41</v>
      </c>
      <c r="D718">
        <v>10</v>
      </c>
      <c r="E718">
        <v>2</v>
      </c>
      <c r="F718">
        <v>4</v>
      </c>
      <c r="G718" t="s">
        <v>118</v>
      </c>
      <c r="H718" t="str">
        <f>IFERROR(ROUND(COUNTIFS(Tasks!$A:$A,$A718,Tasks!$B:$B,$B718,Tasks!$C:$C,$G718,Tasks!$I:$I,"&lt;="&amp;INDEX(Weeks!$D:$D,MATCH($C718,Weeks!$A:$A,0)),Tasks!$I:$I,"&lt;&gt;")/COUNTIFS(Tasks!$A:$A,$A718,Tasks!$B:$B,$B718,Tasks!$C:$C,$G718)*100,0),"")</f>
        <v/>
      </c>
    </row>
    <row r="719" spans="1:8" ht="15" hidden="1" customHeight="1">
      <c r="A719" t="s">
        <v>93</v>
      </c>
      <c r="B719" t="s">
        <v>96</v>
      </c>
      <c r="C719">
        <v>42</v>
      </c>
      <c r="D719">
        <v>10</v>
      </c>
      <c r="E719">
        <v>3</v>
      </c>
      <c r="F719">
        <v>4</v>
      </c>
      <c r="G719" t="s">
        <v>118</v>
      </c>
      <c r="H719" t="str">
        <f>IFERROR(ROUND(COUNTIFS(Tasks!$A:$A,$A719,Tasks!$B:$B,$B719,Tasks!$C:$C,$G719,Tasks!$I:$I,"&lt;="&amp;INDEX(Weeks!$D:$D,MATCH($C719,Weeks!$A:$A,0)),Tasks!$I:$I,"&lt;&gt;")/COUNTIFS(Tasks!$A:$A,$A719,Tasks!$B:$B,$B719,Tasks!$C:$C,$G719)*100,0),"")</f>
        <v/>
      </c>
    </row>
    <row r="720" spans="1:8" ht="15" hidden="1" customHeight="1">
      <c r="A720" t="s">
        <v>93</v>
      </c>
      <c r="B720" t="s">
        <v>96</v>
      </c>
      <c r="C720">
        <v>43</v>
      </c>
      <c r="D720">
        <v>10</v>
      </c>
      <c r="E720">
        <v>4</v>
      </c>
      <c r="F720">
        <v>4</v>
      </c>
      <c r="G720" t="s">
        <v>118</v>
      </c>
      <c r="H720" t="str">
        <f>IFERROR(ROUND(COUNTIFS(Tasks!$A:$A,$A720,Tasks!$B:$B,$B720,Tasks!$C:$C,$G720,Tasks!$I:$I,"&lt;="&amp;INDEX(Weeks!$D:$D,MATCH($C720,Weeks!$A:$A,0)),Tasks!$I:$I,"&lt;&gt;")/COUNTIFS(Tasks!$A:$A,$A720,Tasks!$B:$B,$B720,Tasks!$C:$C,$G720)*100,0),"")</f>
        <v/>
      </c>
    </row>
    <row r="721" spans="1:8" ht="15" hidden="1" customHeight="1">
      <c r="A721" t="s">
        <v>93</v>
      </c>
      <c r="B721" t="s">
        <v>96</v>
      </c>
      <c r="C721">
        <v>44</v>
      </c>
      <c r="D721">
        <v>10</v>
      </c>
      <c r="E721">
        <v>5</v>
      </c>
      <c r="F721">
        <v>4</v>
      </c>
      <c r="G721" t="s">
        <v>118</v>
      </c>
      <c r="H721" t="str">
        <f>IFERROR(ROUND(COUNTIFS(Tasks!$A:$A,$A721,Tasks!$B:$B,$B721,Tasks!$C:$C,$G721,Tasks!$I:$I,"&lt;="&amp;INDEX(Weeks!$D:$D,MATCH($C721,Weeks!$A:$A,0)),Tasks!$I:$I,"&lt;&gt;")/COUNTIFS(Tasks!$A:$A,$A721,Tasks!$B:$B,$B721,Tasks!$C:$C,$G721)*100,0),"")</f>
        <v/>
      </c>
    </row>
    <row r="722" spans="1:8" ht="15" hidden="1" customHeight="1">
      <c r="A722" t="s">
        <v>93</v>
      </c>
      <c r="B722" t="s">
        <v>96</v>
      </c>
      <c r="C722">
        <v>45</v>
      </c>
      <c r="D722">
        <v>11</v>
      </c>
      <c r="E722">
        <v>1</v>
      </c>
      <c r="F722">
        <v>4</v>
      </c>
      <c r="G722" t="s">
        <v>118</v>
      </c>
      <c r="H722" t="str">
        <f>IFERROR(ROUND(COUNTIFS(Tasks!$A:$A,$A722,Tasks!$B:$B,$B722,Tasks!$C:$C,$G722,Tasks!$I:$I,"&lt;="&amp;INDEX(Weeks!$D:$D,MATCH($C722,Weeks!$A:$A,0)),Tasks!$I:$I,"&lt;&gt;")/COUNTIFS(Tasks!$A:$A,$A722,Tasks!$B:$B,$B722,Tasks!$C:$C,$G722)*100,0),"")</f>
        <v/>
      </c>
    </row>
    <row r="723" spans="1:8" ht="15" hidden="1" customHeight="1">
      <c r="A723" t="s">
        <v>93</v>
      </c>
      <c r="B723" t="s">
        <v>96</v>
      </c>
      <c r="C723">
        <v>46</v>
      </c>
      <c r="D723">
        <v>11</v>
      </c>
      <c r="E723">
        <v>2</v>
      </c>
      <c r="F723">
        <v>4</v>
      </c>
      <c r="G723" t="s">
        <v>118</v>
      </c>
      <c r="H723" t="str">
        <f>IFERROR(ROUND(COUNTIFS(Tasks!$A:$A,$A723,Tasks!$B:$B,$B723,Tasks!$C:$C,$G723,Tasks!$I:$I,"&lt;="&amp;INDEX(Weeks!$D:$D,MATCH($C723,Weeks!$A:$A,0)),Tasks!$I:$I,"&lt;&gt;")/COUNTIFS(Tasks!$A:$A,$A723,Tasks!$B:$B,$B723,Tasks!$C:$C,$G723)*100,0),"")</f>
        <v/>
      </c>
    </row>
    <row r="724" spans="1:8" ht="15" hidden="1" customHeight="1">
      <c r="A724" t="s">
        <v>93</v>
      </c>
      <c r="B724" t="s">
        <v>96</v>
      </c>
      <c r="C724">
        <v>47</v>
      </c>
      <c r="D724">
        <v>11</v>
      </c>
      <c r="E724">
        <v>3</v>
      </c>
      <c r="F724">
        <v>4</v>
      </c>
      <c r="G724" t="s">
        <v>118</v>
      </c>
      <c r="H724" t="str">
        <f>IFERROR(ROUND(COUNTIFS(Tasks!$A:$A,$A724,Tasks!$B:$B,$B724,Tasks!$C:$C,$G724,Tasks!$I:$I,"&lt;="&amp;INDEX(Weeks!$D:$D,MATCH($C724,Weeks!$A:$A,0)),Tasks!$I:$I,"&lt;&gt;")/COUNTIFS(Tasks!$A:$A,$A724,Tasks!$B:$B,$B724,Tasks!$C:$C,$G724)*100,0),"")</f>
        <v/>
      </c>
    </row>
    <row r="725" spans="1:8" ht="15" hidden="1" customHeight="1">
      <c r="A725" t="s">
        <v>93</v>
      </c>
      <c r="B725" t="s">
        <v>96</v>
      </c>
      <c r="C725">
        <v>48</v>
      </c>
      <c r="D725">
        <v>11</v>
      </c>
      <c r="E725">
        <v>4</v>
      </c>
      <c r="F725">
        <v>4</v>
      </c>
      <c r="G725" t="s">
        <v>118</v>
      </c>
      <c r="H725" t="str">
        <f>IFERROR(ROUND(COUNTIFS(Tasks!$A:$A,$A725,Tasks!$B:$B,$B725,Tasks!$C:$C,$G725,Tasks!$I:$I,"&lt;="&amp;INDEX(Weeks!$D:$D,MATCH($C725,Weeks!$A:$A,0)),Tasks!$I:$I,"&lt;&gt;")/COUNTIFS(Tasks!$A:$A,$A725,Tasks!$B:$B,$B725,Tasks!$C:$C,$G725)*100,0),"")</f>
        <v/>
      </c>
    </row>
    <row r="726" spans="1:8" ht="15" hidden="1" customHeight="1">
      <c r="A726" t="s">
        <v>93</v>
      </c>
      <c r="B726" t="s">
        <v>96</v>
      </c>
      <c r="C726">
        <v>49</v>
      </c>
      <c r="D726">
        <v>12</v>
      </c>
      <c r="E726">
        <v>1</v>
      </c>
      <c r="F726">
        <v>4</v>
      </c>
      <c r="G726" t="s">
        <v>118</v>
      </c>
      <c r="H726" t="str">
        <f>IFERROR(ROUND(COUNTIFS(Tasks!$A:$A,$A726,Tasks!$B:$B,$B726,Tasks!$C:$C,$G726,Tasks!$I:$I,"&lt;="&amp;INDEX(Weeks!$D:$D,MATCH($C726,Weeks!$A:$A,0)),Tasks!$I:$I,"&lt;&gt;")/COUNTIFS(Tasks!$A:$A,$A726,Tasks!$B:$B,$B726,Tasks!$C:$C,$G726)*100,0),"")</f>
        <v/>
      </c>
    </row>
    <row r="727" spans="1:8" ht="15" hidden="1" customHeight="1">
      <c r="A727" t="s">
        <v>93</v>
      </c>
      <c r="B727" t="s">
        <v>96</v>
      </c>
      <c r="C727">
        <v>50</v>
      </c>
      <c r="D727">
        <v>12</v>
      </c>
      <c r="E727">
        <v>2</v>
      </c>
      <c r="F727">
        <v>4</v>
      </c>
      <c r="G727" t="s">
        <v>118</v>
      </c>
      <c r="H727" t="str">
        <f>IFERROR(ROUND(COUNTIFS(Tasks!$A:$A,$A727,Tasks!$B:$B,$B727,Tasks!$C:$C,$G727,Tasks!$I:$I,"&lt;="&amp;INDEX(Weeks!$D:$D,MATCH($C727,Weeks!$A:$A,0)),Tasks!$I:$I,"&lt;&gt;")/COUNTIFS(Tasks!$A:$A,$A727,Tasks!$B:$B,$B727,Tasks!$C:$C,$G727)*100,0),"")</f>
        <v/>
      </c>
    </row>
    <row r="728" spans="1:8" ht="15" hidden="1" customHeight="1">
      <c r="A728" t="s">
        <v>93</v>
      </c>
      <c r="B728" t="s">
        <v>96</v>
      </c>
      <c r="C728">
        <v>51</v>
      </c>
      <c r="D728">
        <v>12</v>
      </c>
      <c r="E728">
        <v>3</v>
      </c>
      <c r="F728">
        <v>4</v>
      </c>
      <c r="G728" t="s">
        <v>118</v>
      </c>
      <c r="H728" t="str">
        <f>IFERROR(ROUND(COUNTIFS(Tasks!$A:$A,$A728,Tasks!$B:$B,$B728,Tasks!$C:$C,$G728,Tasks!$I:$I,"&lt;="&amp;INDEX(Weeks!$D:$D,MATCH($C728,Weeks!$A:$A,0)),Tasks!$I:$I,"&lt;&gt;")/COUNTIFS(Tasks!$A:$A,$A728,Tasks!$B:$B,$B728,Tasks!$C:$C,$G728)*100,0),"")</f>
        <v/>
      </c>
    </row>
    <row r="729" spans="1:8" ht="15" hidden="1" customHeight="1">
      <c r="A729" t="s">
        <v>93</v>
      </c>
      <c r="B729" t="s">
        <v>96</v>
      </c>
      <c r="C729">
        <v>52</v>
      </c>
      <c r="D729">
        <v>12</v>
      </c>
      <c r="E729">
        <v>4</v>
      </c>
      <c r="F729">
        <v>4</v>
      </c>
      <c r="G729" t="s">
        <v>118</v>
      </c>
      <c r="H729" t="str">
        <f>IFERROR(ROUND(COUNTIFS(Tasks!$A:$A,$A729,Tasks!$B:$B,$B729,Tasks!$C:$C,$G729,Tasks!$I:$I,"&lt;="&amp;INDEX(Weeks!$D:$D,MATCH($C729,Weeks!$A:$A,0)),Tasks!$I:$I,"&lt;&gt;")/COUNTIFS(Tasks!$A:$A,$A729,Tasks!$B:$B,$B729,Tasks!$C:$C,$G729)*100,0),"")</f>
        <v/>
      </c>
    </row>
    <row r="730" spans="1:8" ht="15" hidden="1" customHeight="1">
      <c r="A730" t="s">
        <v>93</v>
      </c>
      <c r="B730" t="s">
        <v>96</v>
      </c>
      <c r="C730">
        <v>1</v>
      </c>
      <c r="D730">
        <v>1</v>
      </c>
      <c r="E730">
        <v>1</v>
      </c>
      <c r="F730">
        <v>5</v>
      </c>
      <c r="G730" t="s">
        <v>119</v>
      </c>
      <c r="H730" t="str">
        <f>IFERROR(ROUND(COUNTIFS(Tasks!$A:$A,$A730,Tasks!$B:$B,$B730,Tasks!$C:$C,$G730,Tasks!$I:$I,"&lt;="&amp;INDEX(Weeks!$D:$D,MATCH($C730,Weeks!$A:$A,0)),Tasks!$I:$I,"&lt;&gt;")/COUNTIFS(Tasks!$A:$A,$A730,Tasks!$B:$B,$B730,Tasks!$C:$C,$G730)*100,0),"")</f>
        <v/>
      </c>
    </row>
    <row r="731" spans="1:8" ht="15" hidden="1" customHeight="1">
      <c r="A731" t="s">
        <v>93</v>
      </c>
      <c r="B731" t="s">
        <v>96</v>
      </c>
      <c r="C731">
        <v>2</v>
      </c>
      <c r="D731">
        <v>1</v>
      </c>
      <c r="E731">
        <v>2</v>
      </c>
      <c r="F731">
        <v>5</v>
      </c>
      <c r="G731" t="s">
        <v>119</v>
      </c>
      <c r="H731" t="str">
        <f>IFERROR(ROUND(COUNTIFS(Tasks!$A:$A,$A731,Tasks!$B:$B,$B731,Tasks!$C:$C,$G731,Tasks!$I:$I,"&lt;="&amp;INDEX(Weeks!$D:$D,MATCH($C731,Weeks!$A:$A,0)),Tasks!$I:$I,"&lt;&gt;")/COUNTIFS(Tasks!$A:$A,$A731,Tasks!$B:$B,$B731,Tasks!$C:$C,$G731)*100,0),"")</f>
        <v/>
      </c>
    </row>
    <row r="732" spans="1:8" ht="15" hidden="1" customHeight="1">
      <c r="A732" t="s">
        <v>93</v>
      </c>
      <c r="B732" t="s">
        <v>96</v>
      </c>
      <c r="C732">
        <v>3</v>
      </c>
      <c r="D732">
        <v>1</v>
      </c>
      <c r="E732">
        <v>3</v>
      </c>
      <c r="F732">
        <v>5</v>
      </c>
      <c r="G732" t="s">
        <v>119</v>
      </c>
      <c r="H732" t="str">
        <f>IFERROR(ROUND(COUNTIFS(Tasks!$A:$A,$A732,Tasks!$B:$B,$B732,Tasks!$C:$C,$G732,Tasks!$I:$I,"&lt;="&amp;INDEX(Weeks!$D:$D,MATCH($C732,Weeks!$A:$A,0)),Tasks!$I:$I,"&lt;&gt;")/COUNTIFS(Tasks!$A:$A,$A732,Tasks!$B:$B,$B732,Tasks!$C:$C,$G732)*100,0),"")</f>
        <v/>
      </c>
    </row>
    <row r="733" spans="1:8" ht="15" hidden="1" customHeight="1">
      <c r="A733" t="s">
        <v>93</v>
      </c>
      <c r="B733" t="s">
        <v>96</v>
      </c>
      <c r="C733">
        <v>4</v>
      </c>
      <c r="D733">
        <v>1</v>
      </c>
      <c r="E733">
        <v>4</v>
      </c>
      <c r="F733">
        <v>5</v>
      </c>
      <c r="G733" t="s">
        <v>119</v>
      </c>
      <c r="H733" t="str">
        <f>IFERROR(ROUND(COUNTIFS(Tasks!$A:$A,$A733,Tasks!$B:$B,$B733,Tasks!$C:$C,$G733,Tasks!$I:$I,"&lt;="&amp;INDEX(Weeks!$D:$D,MATCH($C733,Weeks!$A:$A,0)),Tasks!$I:$I,"&lt;&gt;")/COUNTIFS(Tasks!$A:$A,$A733,Tasks!$B:$B,$B733,Tasks!$C:$C,$G733)*100,0),"")</f>
        <v/>
      </c>
    </row>
    <row r="734" spans="1:8" ht="15" hidden="1" customHeight="1">
      <c r="A734" t="s">
        <v>93</v>
      </c>
      <c r="B734" t="s">
        <v>96</v>
      </c>
      <c r="C734">
        <v>5</v>
      </c>
      <c r="D734">
        <v>1</v>
      </c>
      <c r="E734">
        <v>5</v>
      </c>
      <c r="F734">
        <v>5</v>
      </c>
      <c r="G734" t="s">
        <v>119</v>
      </c>
      <c r="H734" t="str">
        <f>IFERROR(ROUND(COUNTIFS(Tasks!$A:$A,$A734,Tasks!$B:$B,$B734,Tasks!$C:$C,$G734,Tasks!$I:$I,"&lt;="&amp;INDEX(Weeks!$D:$D,MATCH($C734,Weeks!$A:$A,0)),Tasks!$I:$I,"&lt;&gt;")/COUNTIFS(Tasks!$A:$A,$A734,Tasks!$B:$B,$B734,Tasks!$C:$C,$G734)*100,0),"")</f>
        <v/>
      </c>
    </row>
    <row r="735" spans="1:8" ht="15" hidden="1" customHeight="1">
      <c r="A735" t="s">
        <v>93</v>
      </c>
      <c r="B735" t="s">
        <v>96</v>
      </c>
      <c r="C735">
        <v>6</v>
      </c>
      <c r="D735">
        <v>2</v>
      </c>
      <c r="E735">
        <v>1</v>
      </c>
      <c r="F735">
        <v>5</v>
      </c>
      <c r="G735" t="s">
        <v>119</v>
      </c>
      <c r="H735" t="str">
        <f>IFERROR(ROUND(COUNTIFS(Tasks!$A:$A,$A735,Tasks!$B:$B,$B735,Tasks!$C:$C,$G735,Tasks!$I:$I,"&lt;="&amp;INDEX(Weeks!$D:$D,MATCH($C735,Weeks!$A:$A,0)),Tasks!$I:$I,"&lt;&gt;")/COUNTIFS(Tasks!$A:$A,$A735,Tasks!$B:$B,$B735,Tasks!$C:$C,$G735)*100,0),"")</f>
        <v/>
      </c>
    </row>
    <row r="736" spans="1:8" ht="15" hidden="1" customHeight="1">
      <c r="A736" t="s">
        <v>93</v>
      </c>
      <c r="B736" t="s">
        <v>96</v>
      </c>
      <c r="C736">
        <v>7</v>
      </c>
      <c r="D736">
        <v>2</v>
      </c>
      <c r="E736">
        <v>2</v>
      </c>
      <c r="F736">
        <v>5</v>
      </c>
      <c r="G736" t="s">
        <v>119</v>
      </c>
      <c r="H736" t="str">
        <f>IFERROR(ROUND(COUNTIFS(Tasks!$A:$A,$A736,Tasks!$B:$B,$B736,Tasks!$C:$C,$G736,Tasks!$I:$I,"&lt;="&amp;INDEX(Weeks!$D:$D,MATCH($C736,Weeks!$A:$A,0)),Tasks!$I:$I,"&lt;&gt;")/COUNTIFS(Tasks!$A:$A,$A736,Tasks!$B:$B,$B736,Tasks!$C:$C,$G736)*100,0),"")</f>
        <v/>
      </c>
    </row>
    <row r="737" spans="1:8" ht="15" hidden="1" customHeight="1">
      <c r="A737" t="s">
        <v>93</v>
      </c>
      <c r="B737" t="s">
        <v>96</v>
      </c>
      <c r="C737">
        <v>8</v>
      </c>
      <c r="D737">
        <v>2</v>
      </c>
      <c r="E737">
        <v>3</v>
      </c>
      <c r="F737">
        <v>5</v>
      </c>
      <c r="G737" t="s">
        <v>119</v>
      </c>
      <c r="H737" t="str">
        <f>IFERROR(ROUND(COUNTIFS(Tasks!$A:$A,$A737,Tasks!$B:$B,$B737,Tasks!$C:$C,$G737,Tasks!$I:$I,"&lt;="&amp;INDEX(Weeks!$D:$D,MATCH($C737,Weeks!$A:$A,0)),Tasks!$I:$I,"&lt;&gt;")/COUNTIFS(Tasks!$A:$A,$A737,Tasks!$B:$B,$B737,Tasks!$C:$C,$G737)*100,0),"")</f>
        <v/>
      </c>
    </row>
    <row r="738" spans="1:8" ht="15" hidden="1" customHeight="1">
      <c r="A738" t="s">
        <v>93</v>
      </c>
      <c r="B738" t="s">
        <v>96</v>
      </c>
      <c r="C738">
        <v>9</v>
      </c>
      <c r="D738">
        <v>2</v>
      </c>
      <c r="E738">
        <v>4</v>
      </c>
      <c r="F738">
        <v>5</v>
      </c>
      <c r="G738" t="s">
        <v>119</v>
      </c>
      <c r="H738" t="str">
        <f>IFERROR(ROUND(COUNTIFS(Tasks!$A:$A,$A738,Tasks!$B:$B,$B738,Tasks!$C:$C,$G738,Tasks!$I:$I,"&lt;="&amp;INDEX(Weeks!$D:$D,MATCH($C738,Weeks!$A:$A,0)),Tasks!$I:$I,"&lt;&gt;")/COUNTIFS(Tasks!$A:$A,$A738,Tasks!$B:$B,$B738,Tasks!$C:$C,$G738)*100,0),"")</f>
        <v/>
      </c>
    </row>
    <row r="739" spans="1:8" ht="15" hidden="1" customHeight="1">
      <c r="A739" t="s">
        <v>93</v>
      </c>
      <c r="B739" t="s">
        <v>96</v>
      </c>
      <c r="C739">
        <v>10</v>
      </c>
      <c r="D739">
        <v>3</v>
      </c>
      <c r="E739">
        <v>1</v>
      </c>
      <c r="F739">
        <v>5</v>
      </c>
      <c r="G739" t="s">
        <v>119</v>
      </c>
      <c r="H739" t="str">
        <f>IFERROR(ROUND(COUNTIFS(Tasks!$A:$A,$A739,Tasks!$B:$B,$B739,Tasks!$C:$C,$G739,Tasks!$I:$I,"&lt;="&amp;INDEX(Weeks!$D:$D,MATCH($C739,Weeks!$A:$A,0)),Tasks!$I:$I,"&lt;&gt;")/COUNTIFS(Tasks!$A:$A,$A739,Tasks!$B:$B,$B739,Tasks!$C:$C,$G739)*100,0),"")</f>
        <v/>
      </c>
    </row>
    <row r="740" spans="1:8" ht="15" hidden="1" customHeight="1">
      <c r="A740" t="s">
        <v>93</v>
      </c>
      <c r="B740" t="s">
        <v>96</v>
      </c>
      <c r="C740">
        <v>11</v>
      </c>
      <c r="D740">
        <v>3</v>
      </c>
      <c r="E740">
        <v>2</v>
      </c>
      <c r="F740">
        <v>5</v>
      </c>
      <c r="G740" t="s">
        <v>119</v>
      </c>
      <c r="H740" t="str">
        <f>IFERROR(ROUND(COUNTIFS(Tasks!$A:$A,$A740,Tasks!$B:$B,$B740,Tasks!$C:$C,$G740,Tasks!$I:$I,"&lt;="&amp;INDEX(Weeks!$D:$D,MATCH($C740,Weeks!$A:$A,0)),Tasks!$I:$I,"&lt;&gt;")/COUNTIFS(Tasks!$A:$A,$A740,Tasks!$B:$B,$B740,Tasks!$C:$C,$G740)*100,0),"")</f>
        <v/>
      </c>
    </row>
    <row r="741" spans="1:8" ht="15" hidden="1" customHeight="1">
      <c r="A741" t="s">
        <v>93</v>
      </c>
      <c r="B741" t="s">
        <v>96</v>
      </c>
      <c r="C741">
        <v>12</v>
      </c>
      <c r="D741">
        <v>3</v>
      </c>
      <c r="E741">
        <v>3</v>
      </c>
      <c r="F741">
        <v>5</v>
      </c>
      <c r="G741" t="s">
        <v>119</v>
      </c>
      <c r="H741" t="str">
        <f>IFERROR(ROUND(COUNTIFS(Tasks!$A:$A,$A741,Tasks!$B:$B,$B741,Tasks!$C:$C,$G741,Tasks!$I:$I,"&lt;="&amp;INDEX(Weeks!$D:$D,MATCH($C741,Weeks!$A:$A,0)),Tasks!$I:$I,"&lt;&gt;")/COUNTIFS(Tasks!$A:$A,$A741,Tasks!$B:$B,$B741,Tasks!$C:$C,$G741)*100,0),"")</f>
        <v/>
      </c>
    </row>
    <row r="742" spans="1:8" ht="15" hidden="1" customHeight="1">
      <c r="A742" t="s">
        <v>93</v>
      </c>
      <c r="B742" t="s">
        <v>96</v>
      </c>
      <c r="C742">
        <v>13</v>
      </c>
      <c r="D742">
        <v>3</v>
      </c>
      <c r="E742">
        <v>4</v>
      </c>
      <c r="F742">
        <v>5</v>
      </c>
      <c r="G742" t="s">
        <v>119</v>
      </c>
      <c r="H742" t="str">
        <f>IFERROR(ROUND(COUNTIFS(Tasks!$A:$A,$A742,Tasks!$B:$B,$B742,Tasks!$C:$C,$G742,Tasks!$I:$I,"&lt;="&amp;INDEX(Weeks!$D:$D,MATCH($C742,Weeks!$A:$A,0)),Tasks!$I:$I,"&lt;&gt;")/COUNTIFS(Tasks!$A:$A,$A742,Tasks!$B:$B,$B742,Tasks!$C:$C,$G742)*100,0),"")</f>
        <v/>
      </c>
    </row>
    <row r="743" spans="1:8" ht="15" hidden="1" customHeight="1">
      <c r="A743" t="s">
        <v>93</v>
      </c>
      <c r="B743" t="s">
        <v>96</v>
      </c>
      <c r="C743">
        <v>14</v>
      </c>
      <c r="D743">
        <v>4</v>
      </c>
      <c r="E743">
        <v>1</v>
      </c>
      <c r="F743">
        <v>5</v>
      </c>
      <c r="G743" t="s">
        <v>119</v>
      </c>
      <c r="H743" t="str">
        <f>IFERROR(ROUND(COUNTIFS(Tasks!$A:$A,$A743,Tasks!$B:$B,$B743,Tasks!$C:$C,$G743,Tasks!$I:$I,"&lt;="&amp;INDEX(Weeks!$D:$D,MATCH($C743,Weeks!$A:$A,0)),Tasks!$I:$I,"&lt;&gt;")/COUNTIFS(Tasks!$A:$A,$A743,Tasks!$B:$B,$B743,Tasks!$C:$C,$G743)*100,0),"")</f>
        <v/>
      </c>
    </row>
    <row r="744" spans="1:8" ht="15" hidden="1" customHeight="1">
      <c r="A744" t="s">
        <v>93</v>
      </c>
      <c r="B744" t="s">
        <v>96</v>
      </c>
      <c r="C744">
        <v>15</v>
      </c>
      <c r="D744">
        <v>4</v>
      </c>
      <c r="E744">
        <v>2</v>
      </c>
      <c r="F744">
        <v>5</v>
      </c>
      <c r="G744" t="s">
        <v>119</v>
      </c>
      <c r="H744" t="str">
        <f>IFERROR(ROUND(COUNTIFS(Tasks!$A:$A,$A744,Tasks!$B:$B,$B744,Tasks!$C:$C,$G744,Tasks!$I:$I,"&lt;="&amp;INDEX(Weeks!$D:$D,MATCH($C744,Weeks!$A:$A,0)),Tasks!$I:$I,"&lt;&gt;")/COUNTIFS(Tasks!$A:$A,$A744,Tasks!$B:$B,$B744,Tasks!$C:$C,$G744)*100,0),"")</f>
        <v/>
      </c>
    </row>
    <row r="745" spans="1:8" ht="15" hidden="1" customHeight="1">
      <c r="A745" t="s">
        <v>93</v>
      </c>
      <c r="B745" t="s">
        <v>96</v>
      </c>
      <c r="C745">
        <v>16</v>
      </c>
      <c r="D745">
        <v>4</v>
      </c>
      <c r="E745">
        <v>3</v>
      </c>
      <c r="F745">
        <v>5</v>
      </c>
      <c r="G745" t="s">
        <v>119</v>
      </c>
      <c r="H745" t="str">
        <f>IFERROR(ROUND(COUNTIFS(Tasks!$A:$A,$A745,Tasks!$B:$B,$B745,Tasks!$C:$C,$G745,Tasks!$I:$I,"&lt;="&amp;INDEX(Weeks!$D:$D,MATCH($C745,Weeks!$A:$A,0)),Tasks!$I:$I,"&lt;&gt;")/COUNTIFS(Tasks!$A:$A,$A745,Tasks!$B:$B,$B745,Tasks!$C:$C,$G745)*100,0),"")</f>
        <v/>
      </c>
    </row>
    <row r="746" spans="1:8" ht="15" hidden="1" customHeight="1">
      <c r="A746" t="s">
        <v>93</v>
      </c>
      <c r="B746" t="s">
        <v>96</v>
      </c>
      <c r="C746">
        <v>17</v>
      </c>
      <c r="D746">
        <v>4</v>
      </c>
      <c r="E746">
        <v>4</v>
      </c>
      <c r="F746">
        <v>5</v>
      </c>
      <c r="G746" t="s">
        <v>119</v>
      </c>
      <c r="H746" t="str">
        <f>IFERROR(ROUND(COUNTIFS(Tasks!$A:$A,$A746,Tasks!$B:$B,$B746,Tasks!$C:$C,$G746,Tasks!$I:$I,"&lt;="&amp;INDEX(Weeks!$D:$D,MATCH($C746,Weeks!$A:$A,0)),Tasks!$I:$I,"&lt;&gt;")/COUNTIFS(Tasks!$A:$A,$A746,Tasks!$B:$B,$B746,Tasks!$C:$C,$G746)*100,0),"")</f>
        <v/>
      </c>
    </row>
    <row r="747" spans="1:8" ht="15" hidden="1" customHeight="1">
      <c r="A747" t="s">
        <v>93</v>
      </c>
      <c r="B747" t="s">
        <v>96</v>
      </c>
      <c r="C747">
        <v>18</v>
      </c>
      <c r="D747">
        <v>5</v>
      </c>
      <c r="E747">
        <v>1</v>
      </c>
      <c r="F747">
        <v>5</v>
      </c>
      <c r="G747" t="s">
        <v>119</v>
      </c>
      <c r="H747" t="str">
        <f>IFERROR(ROUND(COUNTIFS(Tasks!$A:$A,$A747,Tasks!$B:$B,$B747,Tasks!$C:$C,$G747,Tasks!$I:$I,"&lt;="&amp;INDEX(Weeks!$D:$D,MATCH($C747,Weeks!$A:$A,0)),Tasks!$I:$I,"&lt;&gt;")/COUNTIFS(Tasks!$A:$A,$A747,Tasks!$B:$B,$B747,Tasks!$C:$C,$G747)*100,0),"")</f>
        <v/>
      </c>
    </row>
    <row r="748" spans="1:8" ht="15" hidden="1" customHeight="1">
      <c r="A748" t="s">
        <v>93</v>
      </c>
      <c r="B748" t="s">
        <v>96</v>
      </c>
      <c r="C748">
        <v>19</v>
      </c>
      <c r="D748">
        <v>5</v>
      </c>
      <c r="E748">
        <v>2</v>
      </c>
      <c r="F748">
        <v>5</v>
      </c>
      <c r="G748" t="s">
        <v>119</v>
      </c>
      <c r="H748" t="str">
        <f>IFERROR(ROUND(COUNTIFS(Tasks!$A:$A,$A748,Tasks!$B:$B,$B748,Tasks!$C:$C,$G748,Tasks!$I:$I,"&lt;="&amp;INDEX(Weeks!$D:$D,MATCH($C748,Weeks!$A:$A,0)),Tasks!$I:$I,"&lt;&gt;")/COUNTIFS(Tasks!$A:$A,$A748,Tasks!$B:$B,$B748,Tasks!$C:$C,$G748)*100,0),"")</f>
        <v/>
      </c>
    </row>
    <row r="749" spans="1:8" ht="15" hidden="1" customHeight="1">
      <c r="A749" t="s">
        <v>93</v>
      </c>
      <c r="B749" t="s">
        <v>96</v>
      </c>
      <c r="C749">
        <v>20</v>
      </c>
      <c r="D749">
        <v>5</v>
      </c>
      <c r="E749">
        <v>3</v>
      </c>
      <c r="F749">
        <v>5</v>
      </c>
      <c r="G749" t="s">
        <v>119</v>
      </c>
      <c r="H749" t="str">
        <f>IFERROR(ROUND(COUNTIFS(Tasks!$A:$A,$A749,Tasks!$B:$B,$B749,Tasks!$C:$C,$G749,Tasks!$I:$I,"&lt;="&amp;INDEX(Weeks!$D:$D,MATCH($C749,Weeks!$A:$A,0)),Tasks!$I:$I,"&lt;&gt;")/COUNTIFS(Tasks!$A:$A,$A749,Tasks!$B:$B,$B749,Tasks!$C:$C,$G749)*100,0),"")</f>
        <v/>
      </c>
    </row>
    <row r="750" spans="1:8" ht="15" hidden="1" customHeight="1">
      <c r="A750" t="s">
        <v>93</v>
      </c>
      <c r="B750" t="s">
        <v>96</v>
      </c>
      <c r="C750">
        <v>21</v>
      </c>
      <c r="D750">
        <v>5</v>
      </c>
      <c r="E750">
        <v>4</v>
      </c>
      <c r="F750">
        <v>5</v>
      </c>
      <c r="G750" t="s">
        <v>119</v>
      </c>
      <c r="H750" t="str">
        <f>IFERROR(ROUND(COUNTIFS(Tasks!$A:$A,$A750,Tasks!$B:$B,$B750,Tasks!$C:$C,$G750,Tasks!$I:$I,"&lt;="&amp;INDEX(Weeks!$D:$D,MATCH($C750,Weeks!$A:$A,0)),Tasks!$I:$I,"&lt;&gt;")/COUNTIFS(Tasks!$A:$A,$A750,Tasks!$B:$B,$B750,Tasks!$C:$C,$G750)*100,0),"")</f>
        <v/>
      </c>
    </row>
    <row r="751" spans="1:8" ht="15" hidden="1" customHeight="1">
      <c r="A751" t="s">
        <v>93</v>
      </c>
      <c r="B751" t="s">
        <v>96</v>
      </c>
      <c r="C751">
        <v>22</v>
      </c>
      <c r="D751">
        <v>5</v>
      </c>
      <c r="E751">
        <v>5</v>
      </c>
      <c r="F751">
        <v>5</v>
      </c>
      <c r="G751" t="s">
        <v>119</v>
      </c>
      <c r="H751" t="str">
        <f>IFERROR(ROUND(COUNTIFS(Tasks!$A:$A,$A751,Tasks!$B:$B,$B751,Tasks!$C:$C,$G751,Tasks!$I:$I,"&lt;="&amp;INDEX(Weeks!$D:$D,MATCH($C751,Weeks!$A:$A,0)),Tasks!$I:$I,"&lt;&gt;")/COUNTIFS(Tasks!$A:$A,$A751,Tasks!$B:$B,$B751,Tasks!$C:$C,$G751)*100,0),"")</f>
        <v/>
      </c>
    </row>
    <row r="752" spans="1:8" ht="15" hidden="1" customHeight="1">
      <c r="A752" t="s">
        <v>93</v>
      </c>
      <c r="B752" t="s">
        <v>96</v>
      </c>
      <c r="C752">
        <v>23</v>
      </c>
      <c r="D752">
        <v>6</v>
      </c>
      <c r="E752">
        <v>1</v>
      </c>
      <c r="F752">
        <v>5</v>
      </c>
      <c r="G752" t="s">
        <v>119</v>
      </c>
      <c r="H752" t="str">
        <f>IFERROR(ROUND(COUNTIFS(Tasks!$A:$A,$A752,Tasks!$B:$B,$B752,Tasks!$C:$C,$G752,Tasks!$I:$I,"&lt;="&amp;INDEX(Weeks!$D:$D,MATCH($C752,Weeks!$A:$A,0)),Tasks!$I:$I,"&lt;&gt;")/COUNTIFS(Tasks!$A:$A,$A752,Tasks!$B:$B,$B752,Tasks!$C:$C,$G752)*100,0),"")</f>
        <v/>
      </c>
    </row>
    <row r="753" spans="1:8" ht="15" hidden="1" customHeight="1">
      <c r="A753" t="s">
        <v>93</v>
      </c>
      <c r="B753" t="s">
        <v>96</v>
      </c>
      <c r="C753">
        <v>24</v>
      </c>
      <c r="D753">
        <v>6</v>
      </c>
      <c r="E753">
        <v>2</v>
      </c>
      <c r="F753">
        <v>5</v>
      </c>
      <c r="G753" t="s">
        <v>119</v>
      </c>
      <c r="H753" t="str">
        <f>IFERROR(ROUND(COUNTIFS(Tasks!$A:$A,$A753,Tasks!$B:$B,$B753,Tasks!$C:$C,$G753,Tasks!$I:$I,"&lt;="&amp;INDEX(Weeks!$D:$D,MATCH($C753,Weeks!$A:$A,0)),Tasks!$I:$I,"&lt;&gt;")/COUNTIFS(Tasks!$A:$A,$A753,Tasks!$B:$B,$B753,Tasks!$C:$C,$G753)*100,0),"")</f>
        <v/>
      </c>
    </row>
    <row r="754" spans="1:8" ht="15" hidden="1" customHeight="1">
      <c r="A754" t="s">
        <v>93</v>
      </c>
      <c r="B754" t="s">
        <v>96</v>
      </c>
      <c r="C754">
        <v>25</v>
      </c>
      <c r="D754">
        <v>6</v>
      </c>
      <c r="E754">
        <v>3</v>
      </c>
      <c r="F754">
        <v>5</v>
      </c>
      <c r="G754" t="s">
        <v>119</v>
      </c>
      <c r="H754" t="str">
        <f>IFERROR(ROUND(COUNTIFS(Tasks!$A:$A,$A754,Tasks!$B:$B,$B754,Tasks!$C:$C,$G754,Tasks!$I:$I,"&lt;="&amp;INDEX(Weeks!$D:$D,MATCH($C754,Weeks!$A:$A,0)),Tasks!$I:$I,"&lt;&gt;")/COUNTIFS(Tasks!$A:$A,$A754,Tasks!$B:$B,$B754,Tasks!$C:$C,$G754)*100,0),"")</f>
        <v/>
      </c>
    </row>
    <row r="755" spans="1:8" ht="15" hidden="1" customHeight="1">
      <c r="A755" t="s">
        <v>93</v>
      </c>
      <c r="B755" t="s">
        <v>96</v>
      </c>
      <c r="C755">
        <v>26</v>
      </c>
      <c r="D755">
        <v>6</v>
      </c>
      <c r="E755">
        <v>4</v>
      </c>
      <c r="F755">
        <v>5</v>
      </c>
      <c r="G755" t="s">
        <v>119</v>
      </c>
      <c r="H755" t="str">
        <f>IFERROR(ROUND(COUNTIFS(Tasks!$A:$A,$A755,Tasks!$B:$B,$B755,Tasks!$C:$C,$G755,Tasks!$I:$I,"&lt;="&amp;INDEX(Weeks!$D:$D,MATCH($C755,Weeks!$A:$A,0)),Tasks!$I:$I,"&lt;&gt;")/COUNTIFS(Tasks!$A:$A,$A755,Tasks!$B:$B,$B755,Tasks!$C:$C,$G755)*100,0),"")</f>
        <v/>
      </c>
    </row>
    <row r="756" spans="1:8" ht="15" hidden="1" customHeight="1">
      <c r="A756" t="s">
        <v>93</v>
      </c>
      <c r="B756" t="s">
        <v>96</v>
      </c>
      <c r="C756">
        <v>27</v>
      </c>
      <c r="D756">
        <v>7</v>
      </c>
      <c r="E756">
        <v>1</v>
      </c>
      <c r="F756">
        <v>5</v>
      </c>
      <c r="G756" t="s">
        <v>119</v>
      </c>
      <c r="H756" t="str">
        <f>IFERROR(ROUND(COUNTIFS(Tasks!$A:$A,$A756,Tasks!$B:$B,$B756,Tasks!$C:$C,$G756,Tasks!$I:$I,"&lt;="&amp;INDEX(Weeks!$D:$D,MATCH($C756,Weeks!$A:$A,0)),Tasks!$I:$I,"&lt;&gt;")/COUNTIFS(Tasks!$A:$A,$A756,Tasks!$B:$B,$B756,Tasks!$C:$C,$G756)*100,0),"")</f>
        <v/>
      </c>
    </row>
    <row r="757" spans="1:8" ht="15" hidden="1" customHeight="1">
      <c r="A757" t="s">
        <v>93</v>
      </c>
      <c r="B757" t="s">
        <v>96</v>
      </c>
      <c r="C757">
        <v>28</v>
      </c>
      <c r="D757">
        <v>7</v>
      </c>
      <c r="E757">
        <v>2</v>
      </c>
      <c r="F757">
        <v>5</v>
      </c>
      <c r="G757" t="s">
        <v>119</v>
      </c>
      <c r="H757" t="str">
        <f>IFERROR(ROUND(COUNTIFS(Tasks!$A:$A,$A757,Tasks!$B:$B,$B757,Tasks!$C:$C,$G757,Tasks!$I:$I,"&lt;="&amp;INDEX(Weeks!$D:$D,MATCH($C757,Weeks!$A:$A,0)),Tasks!$I:$I,"&lt;&gt;")/COUNTIFS(Tasks!$A:$A,$A757,Tasks!$B:$B,$B757,Tasks!$C:$C,$G757)*100,0),"")</f>
        <v/>
      </c>
    </row>
    <row r="758" spans="1:8" ht="15" hidden="1" customHeight="1">
      <c r="A758" t="s">
        <v>93</v>
      </c>
      <c r="B758" t="s">
        <v>96</v>
      </c>
      <c r="C758">
        <v>29</v>
      </c>
      <c r="D758">
        <v>7</v>
      </c>
      <c r="E758">
        <v>3</v>
      </c>
      <c r="F758">
        <v>5</v>
      </c>
      <c r="G758" t="s">
        <v>119</v>
      </c>
      <c r="H758" t="str">
        <f>IFERROR(ROUND(COUNTIFS(Tasks!$A:$A,$A758,Tasks!$B:$B,$B758,Tasks!$C:$C,$G758,Tasks!$I:$I,"&lt;="&amp;INDEX(Weeks!$D:$D,MATCH($C758,Weeks!$A:$A,0)),Tasks!$I:$I,"&lt;&gt;")/COUNTIFS(Tasks!$A:$A,$A758,Tasks!$B:$B,$B758,Tasks!$C:$C,$G758)*100,0),"")</f>
        <v/>
      </c>
    </row>
    <row r="759" spans="1:8" ht="15" hidden="1" customHeight="1">
      <c r="A759" t="s">
        <v>93</v>
      </c>
      <c r="B759" t="s">
        <v>96</v>
      </c>
      <c r="C759">
        <v>30</v>
      </c>
      <c r="D759">
        <v>7</v>
      </c>
      <c r="E759">
        <v>4</v>
      </c>
      <c r="F759">
        <v>5</v>
      </c>
      <c r="G759" t="s">
        <v>119</v>
      </c>
      <c r="H759" t="str">
        <f>IFERROR(ROUND(COUNTIFS(Tasks!$A:$A,$A759,Tasks!$B:$B,$B759,Tasks!$C:$C,$G759,Tasks!$I:$I,"&lt;="&amp;INDEX(Weeks!$D:$D,MATCH($C759,Weeks!$A:$A,0)),Tasks!$I:$I,"&lt;&gt;")/COUNTIFS(Tasks!$A:$A,$A759,Tasks!$B:$B,$B759,Tasks!$C:$C,$G759)*100,0),"")</f>
        <v/>
      </c>
    </row>
    <row r="760" spans="1:8" ht="15" hidden="1" customHeight="1">
      <c r="A760" t="s">
        <v>93</v>
      </c>
      <c r="B760" t="s">
        <v>96</v>
      </c>
      <c r="C760">
        <v>31</v>
      </c>
      <c r="D760">
        <v>8</v>
      </c>
      <c r="E760">
        <v>1</v>
      </c>
      <c r="F760">
        <v>5</v>
      </c>
      <c r="G760" t="s">
        <v>119</v>
      </c>
      <c r="H760" t="str">
        <f>IFERROR(ROUND(COUNTIFS(Tasks!$A:$A,$A760,Tasks!$B:$B,$B760,Tasks!$C:$C,$G760,Tasks!$I:$I,"&lt;="&amp;INDEX(Weeks!$D:$D,MATCH($C760,Weeks!$A:$A,0)),Tasks!$I:$I,"&lt;&gt;")/COUNTIFS(Tasks!$A:$A,$A760,Tasks!$B:$B,$B760,Tasks!$C:$C,$G760)*100,0),"")</f>
        <v/>
      </c>
    </row>
    <row r="761" spans="1:8" ht="15" hidden="1" customHeight="1">
      <c r="A761" t="s">
        <v>93</v>
      </c>
      <c r="B761" t="s">
        <v>96</v>
      </c>
      <c r="C761">
        <v>32</v>
      </c>
      <c r="D761">
        <v>8</v>
      </c>
      <c r="E761">
        <v>2</v>
      </c>
      <c r="F761">
        <v>5</v>
      </c>
      <c r="G761" t="s">
        <v>119</v>
      </c>
      <c r="H761" t="str">
        <f>IFERROR(ROUND(COUNTIFS(Tasks!$A:$A,$A761,Tasks!$B:$B,$B761,Tasks!$C:$C,$G761,Tasks!$I:$I,"&lt;="&amp;INDEX(Weeks!$D:$D,MATCH($C761,Weeks!$A:$A,0)),Tasks!$I:$I,"&lt;&gt;")/COUNTIFS(Tasks!$A:$A,$A761,Tasks!$B:$B,$B761,Tasks!$C:$C,$G761)*100,0),"")</f>
        <v/>
      </c>
    </row>
    <row r="762" spans="1:8" ht="15" hidden="1" customHeight="1">
      <c r="A762" t="s">
        <v>93</v>
      </c>
      <c r="B762" t="s">
        <v>96</v>
      </c>
      <c r="C762">
        <v>33</v>
      </c>
      <c r="D762">
        <v>8</v>
      </c>
      <c r="E762">
        <v>3</v>
      </c>
      <c r="F762">
        <v>5</v>
      </c>
      <c r="G762" t="s">
        <v>119</v>
      </c>
      <c r="H762" t="str">
        <f>IFERROR(ROUND(COUNTIFS(Tasks!$A:$A,$A762,Tasks!$B:$B,$B762,Tasks!$C:$C,$G762,Tasks!$I:$I,"&lt;="&amp;INDEX(Weeks!$D:$D,MATCH($C762,Weeks!$A:$A,0)),Tasks!$I:$I,"&lt;&gt;")/COUNTIFS(Tasks!$A:$A,$A762,Tasks!$B:$B,$B762,Tasks!$C:$C,$G762)*100,0),"")</f>
        <v/>
      </c>
    </row>
    <row r="763" spans="1:8" ht="15" hidden="1" customHeight="1">
      <c r="A763" t="s">
        <v>93</v>
      </c>
      <c r="B763" t="s">
        <v>96</v>
      </c>
      <c r="C763">
        <v>34</v>
      </c>
      <c r="D763">
        <v>8</v>
      </c>
      <c r="E763">
        <v>4</v>
      </c>
      <c r="F763">
        <v>5</v>
      </c>
      <c r="G763" t="s">
        <v>119</v>
      </c>
      <c r="H763" t="str">
        <f>IFERROR(ROUND(COUNTIFS(Tasks!$A:$A,$A763,Tasks!$B:$B,$B763,Tasks!$C:$C,$G763,Tasks!$I:$I,"&lt;="&amp;INDEX(Weeks!$D:$D,MATCH($C763,Weeks!$A:$A,0)),Tasks!$I:$I,"&lt;&gt;")/COUNTIFS(Tasks!$A:$A,$A763,Tasks!$B:$B,$B763,Tasks!$C:$C,$G763)*100,0),"")</f>
        <v/>
      </c>
    </row>
    <row r="764" spans="1:8" ht="15" hidden="1" customHeight="1">
      <c r="A764" t="s">
        <v>93</v>
      </c>
      <c r="B764" t="s">
        <v>96</v>
      </c>
      <c r="C764">
        <v>35</v>
      </c>
      <c r="D764">
        <v>8</v>
      </c>
      <c r="E764">
        <v>5</v>
      </c>
      <c r="F764">
        <v>5</v>
      </c>
      <c r="G764" t="s">
        <v>119</v>
      </c>
      <c r="H764" t="str">
        <f>IFERROR(ROUND(COUNTIFS(Tasks!$A:$A,$A764,Tasks!$B:$B,$B764,Tasks!$C:$C,$G764,Tasks!$I:$I,"&lt;="&amp;INDEX(Weeks!$D:$D,MATCH($C764,Weeks!$A:$A,0)),Tasks!$I:$I,"&lt;&gt;")/COUNTIFS(Tasks!$A:$A,$A764,Tasks!$B:$B,$B764,Tasks!$C:$C,$G764)*100,0),"")</f>
        <v/>
      </c>
    </row>
    <row r="765" spans="1:8" ht="15" hidden="1" customHeight="1">
      <c r="A765" t="s">
        <v>93</v>
      </c>
      <c r="B765" t="s">
        <v>96</v>
      </c>
      <c r="C765">
        <v>36</v>
      </c>
      <c r="D765">
        <v>9</v>
      </c>
      <c r="E765">
        <v>1</v>
      </c>
      <c r="F765">
        <v>5</v>
      </c>
      <c r="G765" t="s">
        <v>119</v>
      </c>
      <c r="H765" t="str">
        <f>IFERROR(ROUND(COUNTIFS(Tasks!$A:$A,$A765,Tasks!$B:$B,$B765,Tasks!$C:$C,$G765,Tasks!$I:$I,"&lt;="&amp;INDEX(Weeks!$D:$D,MATCH($C765,Weeks!$A:$A,0)),Tasks!$I:$I,"&lt;&gt;")/COUNTIFS(Tasks!$A:$A,$A765,Tasks!$B:$B,$B765,Tasks!$C:$C,$G765)*100,0),"")</f>
        <v/>
      </c>
    </row>
    <row r="766" spans="1:8" ht="15" hidden="1" customHeight="1">
      <c r="A766" t="s">
        <v>93</v>
      </c>
      <c r="B766" t="s">
        <v>96</v>
      </c>
      <c r="C766">
        <v>37</v>
      </c>
      <c r="D766">
        <v>9</v>
      </c>
      <c r="E766">
        <v>2</v>
      </c>
      <c r="F766">
        <v>5</v>
      </c>
      <c r="G766" t="s">
        <v>119</v>
      </c>
      <c r="H766" t="str">
        <f>IFERROR(ROUND(COUNTIFS(Tasks!$A:$A,$A766,Tasks!$B:$B,$B766,Tasks!$C:$C,$G766,Tasks!$I:$I,"&lt;="&amp;INDEX(Weeks!$D:$D,MATCH($C766,Weeks!$A:$A,0)),Tasks!$I:$I,"&lt;&gt;")/COUNTIFS(Tasks!$A:$A,$A766,Tasks!$B:$B,$B766,Tasks!$C:$C,$G766)*100,0),"")</f>
        <v/>
      </c>
    </row>
    <row r="767" spans="1:8" ht="15" hidden="1" customHeight="1">
      <c r="A767" t="s">
        <v>93</v>
      </c>
      <c r="B767" t="s">
        <v>96</v>
      </c>
      <c r="C767">
        <v>38</v>
      </c>
      <c r="D767">
        <v>9</v>
      </c>
      <c r="E767">
        <v>3</v>
      </c>
      <c r="F767">
        <v>5</v>
      </c>
      <c r="G767" t="s">
        <v>119</v>
      </c>
      <c r="H767" t="str">
        <f>IFERROR(ROUND(COUNTIFS(Tasks!$A:$A,$A767,Tasks!$B:$B,$B767,Tasks!$C:$C,$G767,Tasks!$I:$I,"&lt;="&amp;INDEX(Weeks!$D:$D,MATCH($C767,Weeks!$A:$A,0)),Tasks!$I:$I,"&lt;&gt;")/COUNTIFS(Tasks!$A:$A,$A767,Tasks!$B:$B,$B767,Tasks!$C:$C,$G767)*100,0),"")</f>
        <v/>
      </c>
    </row>
    <row r="768" spans="1:8" ht="15" hidden="1" customHeight="1">
      <c r="A768" t="s">
        <v>93</v>
      </c>
      <c r="B768" t="s">
        <v>96</v>
      </c>
      <c r="C768">
        <v>39</v>
      </c>
      <c r="D768">
        <v>9</v>
      </c>
      <c r="E768">
        <v>4</v>
      </c>
      <c r="F768">
        <v>5</v>
      </c>
      <c r="G768" t="s">
        <v>119</v>
      </c>
      <c r="H768" t="str">
        <f>IFERROR(ROUND(COUNTIFS(Tasks!$A:$A,$A768,Tasks!$B:$B,$B768,Tasks!$C:$C,$G768,Tasks!$I:$I,"&lt;="&amp;INDEX(Weeks!$D:$D,MATCH($C768,Weeks!$A:$A,0)),Tasks!$I:$I,"&lt;&gt;")/COUNTIFS(Tasks!$A:$A,$A768,Tasks!$B:$B,$B768,Tasks!$C:$C,$G768)*100,0),"")</f>
        <v/>
      </c>
    </row>
    <row r="769" spans="1:8" ht="15" hidden="1" customHeight="1">
      <c r="A769" t="s">
        <v>93</v>
      </c>
      <c r="B769" t="s">
        <v>96</v>
      </c>
      <c r="C769">
        <v>40</v>
      </c>
      <c r="D769">
        <v>10</v>
      </c>
      <c r="E769">
        <v>1</v>
      </c>
      <c r="F769">
        <v>5</v>
      </c>
      <c r="G769" t="s">
        <v>119</v>
      </c>
      <c r="H769" t="str">
        <f>IFERROR(ROUND(COUNTIFS(Tasks!$A:$A,$A769,Tasks!$B:$B,$B769,Tasks!$C:$C,$G769,Tasks!$I:$I,"&lt;="&amp;INDEX(Weeks!$D:$D,MATCH($C769,Weeks!$A:$A,0)),Tasks!$I:$I,"&lt;&gt;")/COUNTIFS(Tasks!$A:$A,$A769,Tasks!$B:$B,$B769,Tasks!$C:$C,$G769)*100,0),"")</f>
        <v/>
      </c>
    </row>
    <row r="770" spans="1:8" ht="15" hidden="1" customHeight="1">
      <c r="A770" t="s">
        <v>93</v>
      </c>
      <c r="B770" t="s">
        <v>96</v>
      </c>
      <c r="C770">
        <v>41</v>
      </c>
      <c r="D770">
        <v>10</v>
      </c>
      <c r="E770">
        <v>2</v>
      </c>
      <c r="F770">
        <v>5</v>
      </c>
      <c r="G770" t="s">
        <v>119</v>
      </c>
      <c r="H770" t="str">
        <f>IFERROR(ROUND(COUNTIFS(Tasks!$A:$A,$A770,Tasks!$B:$B,$B770,Tasks!$C:$C,$G770,Tasks!$I:$I,"&lt;="&amp;INDEX(Weeks!$D:$D,MATCH($C770,Weeks!$A:$A,0)),Tasks!$I:$I,"&lt;&gt;")/COUNTIFS(Tasks!$A:$A,$A770,Tasks!$B:$B,$B770,Tasks!$C:$C,$G770)*100,0),"")</f>
        <v/>
      </c>
    </row>
    <row r="771" spans="1:8" ht="15" hidden="1" customHeight="1">
      <c r="A771" t="s">
        <v>93</v>
      </c>
      <c r="B771" t="s">
        <v>96</v>
      </c>
      <c r="C771">
        <v>42</v>
      </c>
      <c r="D771">
        <v>10</v>
      </c>
      <c r="E771">
        <v>3</v>
      </c>
      <c r="F771">
        <v>5</v>
      </c>
      <c r="G771" t="s">
        <v>119</v>
      </c>
      <c r="H771" t="str">
        <f>IFERROR(ROUND(COUNTIFS(Tasks!$A:$A,$A771,Tasks!$B:$B,$B771,Tasks!$C:$C,$G771,Tasks!$I:$I,"&lt;="&amp;INDEX(Weeks!$D:$D,MATCH($C771,Weeks!$A:$A,0)),Tasks!$I:$I,"&lt;&gt;")/COUNTIFS(Tasks!$A:$A,$A771,Tasks!$B:$B,$B771,Tasks!$C:$C,$G771)*100,0),"")</f>
        <v/>
      </c>
    </row>
    <row r="772" spans="1:8" ht="15" hidden="1" customHeight="1">
      <c r="A772" t="s">
        <v>93</v>
      </c>
      <c r="B772" t="s">
        <v>96</v>
      </c>
      <c r="C772">
        <v>43</v>
      </c>
      <c r="D772">
        <v>10</v>
      </c>
      <c r="E772">
        <v>4</v>
      </c>
      <c r="F772">
        <v>5</v>
      </c>
      <c r="G772" t="s">
        <v>119</v>
      </c>
      <c r="H772" t="str">
        <f>IFERROR(ROUND(COUNTIFS(Tasks!$A:$A,$A772,Tasks!$B:$B,$B772,Tasks!$C:$C,$G772,Tasks!$I:$I,"&lt;="&amp;INDEX(Weeks!$D:$D,MATCH($C772,Weeks!$A:$A,0)),Tasks!$I:$I,"&lt;&gt;")/COUNTIFS(Tasks!$A:$A,$A772,Tasks!$B:$B,$B772,Tasks!$C:$C,$G772)*100,0),"")</f>
        <v/>
      </c>
    </row>
    <row r="773" spans="1:8" ht="15" hidden="1" customHeight="1">
      <c r="A773" t="s">
        <v>93</v>
      </c>
      <c r="B773" t="s">
        <v>96</v>
      </c>
      <c r="C773">
        <v>44</v>
      </c>
      <c r="D773">
        <v>10</v>
      </c>
      <c r="E773">
        <v>5</v>
      </c>
      <c r="F773">
        <v>5</v>
      </c>
      <c r="G773" t="s">
        <v>119</v>
      </c>
      <c r="H773" t="str">
        <f>IFERROR(ROUND(COUNTIFS(Tasks!$A:$A,$A773,Tasks!$B:$B,$B773,Tasks!$C:$C,$G773,Tasks!$I:$I,"&lt;="&amp;INDEX(Weeks!$D:$D,MATCH($C773,Weeks!$A:$A,0)),Tasks!$I:$I,"&lt;&gt;")/COUNTIFS(Tasks!$A:$A,$A773,Tasks!$B:$B,$B773,Tasks!$C:$C,$G773)*100,0),"")</f>
        <v/>
      </c>
    </row>
    <row r="774" spans="1:8" ht="15" hidden="1" customHeight="1">
      <c r="A774" t="s">
        <v>93</v>
      </c>
      <c r="B774" t="s">
        <v>96</v>
      </c>
      <c r="C774">
        <v>45</v>
      </c>
      <c r="D774">
        <v>11</v>
      </c>
      <c r="E774">
        <v>1</v>
      </c>
      <c r="F774">
        <v>5</v>
      </c>
      <c r="G774" t="s">
        <v>119</v>
      </c>
      <c r="H774" t="str">
        <f>IFERROR(ROUND(COUNTIFS(Tasks!$A:$A,$A774,Tasks!$B:$B,$B774,Tasks!$C:$C,$G774,Tasks!$I:$I,"&lt;="&amp;INDEX(Weeks!$D:$D,MATCH($C774,Weeks!$A:$A,0)),Tasks!$I:$I,"&lt;&gt;")/COUNTIFS(Tasks!$A:$A,$A774,Tasks!$B:$B,$B774,Tasks!$C:$C,$G774)*100,0),"")</f>
        <v/>
      </c>
    </row>
    <row r="775" spans="1:8" ht="15" hidden="1" customHeight="1">
      <c r="A775" t="s">
        <v>93</v>
      </c>
      <c r="B775" t="s">
        <v>96</v>
      </c>
      <c r="C775">
        <v>46</v>
      </c>
      <c r="D775">
        <v>11</v>
      </c>
      <c r="E775">
        <v>2</v>
      </c>
      <c r="F775">
        <v>5</v>
      </c>
      <c r="G775" t="s">
        <v>119</v>
      </c>
      <c r="H775" t="str">
        <f>IFERROR(ROUND(COUNTIFS(Tasks!$A:$A,$A775,Tasks!$B:$B,$B775,Tasks!$C:$C,$G775,Tasks!$I:$I,"&lt;="&amp;INDEX(Weeks!$D:$D,MATCH($C775,Weeks!$A:$A,0)),Tasks!$I:$I,"&lt;&gt;")/COUNTIFS(Tasks!$A:$A,$A775,Tasks!$B:$B,$B775,Tasks!$C:$C,$G775)*100,0),"")</f>
        <v/>
      </c>
    </row>
    <row r="776" spans="1:8" ht="15" hidden="1" customHeight="1">
      <c r="A776" t="s">
        <v>93</v>
      </c>
      <c r="B776" t="s">
        <v>96</v>
      </c>
      <c r="C776">
        <v>47</v>
      </c>
      <c r="D776">
        <v>11</v>
      </c>
      <c r="E776">
        <v>3</v>
      </c>
      <c r="F776">
        <v>5</v>
      </c>
      <c r="G776" t="s">
        <v>119</v>
      </c>
      <c r="H776" t="str">
        <f>IFERROR(ROUND(COUNTIFS(Tasks!$A:$A,$A776,Tasks!$B:$B,$B776,Tasks!$C:$C,$G776,Tasks!$I:$I,"&lt;="&amp;INDEX(Weeks!$D:$D,MATCH($C776,Weeks!$A:$A,0)),Tasks!$I:$I,"&lt;&gt;")/COUNTIFS(Tasks!$A:$A,$A776,Tasks!$B:$B,$B776,Tasks!$C:$C,$G776)*100,0),"")</f>
        <v/>
      </c>
    </row>
    <row r="777" spans="1:8" ht="15" hidden="1" customHeight="1">
      <c r="A777" t="s">
        <v>93</v>
      </c>
      <c r="B777" t="s">
        <v>96</v>
      </c>
      <c r="C777">
        <v>48</v>
      </c>
      <c r="D777">
        <v>11</v>
      </c>
      <c r="E777">
        <v>4</v>
      </c>
      <c r="F777">
        <v>5</v>
      </c>
      <c r="G777" t="s">
        <v>119</v>
      </c>
      <c r="H777" t="str">
        <f>IFERROR(ROUND(COUNTIFS(Tasks!$A:$A,$A777,Tasks!$B:$B,$B777,Tasks!$C:$C,$G777,Tasks!$I:$I,"&lt;="&amp;INDEX(Weeks!$D:$D,MATCH($C777,Weeks!$A:$A,0)),Tasks!$I:$I,"&lt;&gt;")/COUNTIFS(Tasks!$A:$A,$A777,Tasks!$B:$B,$B777,Tasks!$C:$C,$G777)*100,0),"")</f>
        <v/>
      </c>
    </row>
    <row r="778" spans="1:8" ht="15" hidden="1" customHeight="1">
      <c r="A778" t="s">
        <v>93</v>
      </c>
      <c r="B778" t="s">
        <v>96</v>
      </c>
      <c r="C778">
        <v>49</v>
      </c>
      <c r="D778">
        <v>12</v>
      </c>
      <c r="E778">
        <v>1</v>
      </c>
      <c r="F778">
        <v>5</v>
      </c>
      <c r="G778" t="s">
        <v>119</v>
      </c>
      <c r="H778" t="str">
        <f>IFERROR(ROUND(COUNTIFS(Tasks!$A:$A,$A778,Tasks!$B:$B,$B778,Tasks!$C:$C,$G778,Tasks!$I:$I,"&lt;="&amp;INDEX(Weeks!$D:$D,MATCH($C778,Weeks!$A:$A,0)),Tasks!$I:$I,"&lt;&gt;")/COUNTIFS(Tasks!$A:$A,$A778,Tasks!$B:$B,$B778,Tasks!$C:$C,$G778)*100,0),"")</f>
        <v/>
      </c>
    </row>
    <row r="779" spans="1:8" ht="15" hidden="1" customHeight="1">
      <c r="A779" t="s">
        <v>93</v>
      </c>
      <c r="B779" t="s">
        <v>96</v>
      </c>
      <c r="C779">
        <v>50</v>
      </c>
      <c r="D779">
        <v>12</v>
      </c>
      <c r="E779">
        <v>2</v>
      </c>
      <c r="F779">
        <v>5</v>
      </c>
      <c r="G779" t="s">
        <v>119</v>
      </c>
      <c r="H779" t="str">
        <f>IFERROR(ROUND(COUNTIFS(Tasks!$A:$A,$A779,Tasks!$B:$B,$B779,Tasks!$C:$C,$G779,Tasks!$I:$I,"&lt;="&amp;INDEX(Weeks!$D:$D,MATCH($C779,Weeks!$A:$A,0)),Tasks!$I:$I,"&lt;&gt;")/COUNTIFS(Tasks!$A:$A,$A779,Tasks!$B:$B,$B779,Tasks!$C:$C,$G779)*100,0),"")</f>
        <v/>
      </c>
    </row>
    <row r="780" spans="1:8" ht="15" hidden="1" customHeight="1">
      <c r="A780" t="s">
        <v>93</v>
      </c>
      <c r="B780" t="s">
        <v>96</v>
      </c>
      <c r="C780">
        <v>51</v>
      </c>
      <c r="D780">
        <v>12</v>
      </c>
      <c r="E780">
        <v>3</v>
      </c>
      <c r="F780">
        <v>5</v>
      </c>
      <c r="G780" t="s">
        <v>119</v>
      </c>
      <c r="H780" t="str">
        <f>IFERROR(ROUND(COUNTIFS(Tasks!$A:$A,$A780,Tasks!$B:$B,$B780,Tasks!$C:$C,$G780,Tasks!$I:$I,"&lt;="&amp;INDEX(Weeks!$D:$D,MATCH($C780,Weeks!$A:$A,0)),Tasks!$I:$I,"&lt;&gt;")/COUNTIFS(Tasks!$A:$A,$A780,Tasks!$B:$B,$B780,Tasks!$C:$C,$G780)*100,0),"")</f>
        <v/>
      </c>
    </row>
    <row r="781" spans="1:8" ht="15" hidden="1" customHeight="1">
      <c r="A781" t="s">
        <v>93</v>
      </c>
      <c r="B781" t="s">
        <v>96</v>
      </c>
      <c r="C781">
        <v>52</v>
      </c>
      <c r="D781">
        <v>12</v>
      </c>
      <c r="E781">
        <v>4</v>
      </c>
      <c r="F781">
        <v>5</v>
      </c>
      <c r="G781" t="s">
        <v>119</v>
      </c>
      <c r="H781" t="str">
        <f>IFERROR(ROUND(COUNTIFS(Tasks!$A:$A,$A781,Tasks!$B:$B,$B781,Tasks!$C:$C,$G781,Tasks!$I:$I,"&lt;="&amp;INDEX(Weeks!$D:$D,MATCH($C781,Weeks!$A:$A,0)),Tasks!$I:$I,"&lt;&gt;")/COUNTIFS(Tasks!$A:$A,$A781,Tasks!$B:$B,$B781,Tasks!$C:$C,$G781)*100,0),"")</f>
        <v/>
      </c>
    </row>
    <row r="782" spans="1:8" ht="15" hidden="1" customHeight="1">
      <c r="A782" t="s">
        <v>97</v>
      </c>
      <c r="B782" t="s">
        <v>98</v>
      </c>
      <c r="C782">
        <v>1</v>
      </c>
      <c r="D782">
        <v>1</v>
      </c>
      <c r="E782">
        <v>1</v>
      </c>
      <c r="F782">
        <v>1</v>
      </c>
      <c r="G782" t="s">
        <v>115</v>
      </c>
      <c r="H782" t="str">
        <f>IFERROR(ROUND(COUNTIFS(Tasks!$A:$A,$A782,Tasks!$B:$B,$B782,Tasks!$C:$C,$G782,Tasks!$I:$I,"&lt;="&amp;INDEX(Weeks!$D:$D,MATCH($C782,Weeks!$A:$A,0)),Tasks!$I:$I,"&lt;&gt;")/COUNTIFS(Tasks!$A:$A,$A782,Tasks!$B:$B,$B782,Tasks!$C:$C,$G782)*100,0),"")</f>
        <v/>
      </c>
    </row>
    <row r="783" spans="1:8" ht="15" hidden="1" customHeight="1">
      <c r="A783" t="s">
        <v>97</v>
      </c>
      <c r="B783" t="s">
        <v>98</v>
      </c>
      <c r="C783">
        <v>2</v>
      </c>
      <c r="D783">
        <v>1</v>
      </c>
      <c r="E783">
        <v>2</v>
      </c>
      <c r="F783">
        <v>1</v>
      </c>
      <c r="G783" t="s">
        <v>115</v>
      </c>
      <c r="H783" t="str">
        <f>IFERROR(ROUND(COUNTIFS(Tasks!$A:$A,$A783,Tasks!$B:$B,$B783,Tasks!$C:$C,$G783,Tasks!$I:$I,"&lt;="&amp;INDEX(Weeks!$D:$D,MATCH($C783,Weeks!$A:$A,0)),Tasks!$I:$I,"&lt;&gt;")/COUNTIFS(Tasks!$A:$A,$A783,Tasks!$B:$B,$B783,Tasks!$C:$C,$G783)*100,0),"")</f>
        <v/>
      </c>
    </row>
    <row r="784" spans="1:8" ht="15" hidden="1" customHeight="1">
      <c r="A784" t="s">
        <v>97</v>
      </c>
      <c r="B784" t="s">
        <v>98</v>
      </c>
      <c r="C784">
        <v>3</v>
      </c>
      <c r="D784">
        <v>1</v>
      </c>
      <c r="E784">
        <v>3</v>
      </c>
      <c r="F784">
        <v>1</v>
      </c>
      <c r="G784" t="s">
        <v>115</v>
      </c>
      <c r="H784" t="str">
        <f>IFERROR(ROUND(COUNTIFS(Tasks!$A:$A,$A784,Tasks!$B:$B,$B784,Tasks!$C:$C,$G784,Tasks!$I:$I,"&lt;="&amp;INDEX(Weeks!$D:$D,MATCH($C784,Weeks!$A:$A,0)),Tasks!$I:$I,"&lt;&gt;")/COUNTIFS(Tasks!$A:$A,$A784,Tasks!$B:$B,$B784,Tasks!$C:$C,$G784)*100,0),"")</f>
        <v/>
      </c>
    </row>
    <row r="785" spans="1:8" ht="15" hidden="1" customHeight="1">
      <c r="A785" t="s">
        <v>97</v>
      </c>
      <c r="B785" t="s">
        <v>98</v>
      </c>
      <c r="C785">
        <v>4</v>
      </c>
      <c r="D785">
        <v>1</v>
      </c>
      <c r="E785">
        <v>4</v>
      </c>
      <c r="F785">
        <v>1</v>
      </c>
      <c r="G785" t="s">
        <v>115</v>
      </c>
      <c r="H785" t="str">
        <f>IFERROR(ROUND(COUNTIFS(Tasks!$A:$A,$A785,Tasks!$B:$B,$B785,Tasks!$C:$C,$G785,Tasks!$I:$I,"&lt;="&amp;INDEX(Weeks!$D:$D,MATCH($C785,Weeks!$A:$A,0)),Tasks!$I:$I,"&lt;&gt;")/COUNTIFS(Tasks!$A:$A,$A785,Tasks!$B:$B,$B785,Tasks!$C:$C,$G785)*100,0),"")</f>
        <v/>
      </c>
    </row>
    <row r="786" spans="1:8" ht="15" hidden="1" customHeight="1">
      <c r="A786" t="s">
        <v>97</v>
      </c>
      <c r="B786" t="s">
        <v>98</v>
      </c>
      <c r="C786">
        <v>5</v>
      </c>
      <c r="D786">
        <v>1</v>
      </c>
      <c r="E786">
        <v>5</v>
      </c>
      <c r="F786">
        <v>1</v>
      </c>
      <c r="G786" t="s">
        <v>115</v>
      </c>
      <c r="H786" t="str">
        <f>IFERROR(ROUND(COUNTIFS(Tasks!$A:$A,$A786,Tasks!$B:$B,$B786,Tasks!$C:$C,$G786,Tasks!$I:$I,"&lt;="&amp;INDEX(Weeks!$D:$D,MATCH($C786,Weeks!$A:$A,0)),Tasks!$I:$I,"&lt;&gt;")/COUNTIFS(Tasks!$A:$A,$A786,Tasks!$B:$B,$B786,Tasks!$C:$C,$G786)*100,0),"")</f>
        <v/>
      </c>
    </row>
    <row r="787" spans="1:8" ht="15" hidden="1" customHeight="1">
      <c r="A787" t="s">
        <v>97</v>
      </c>
      <c r="B787" t="s">
        <v>98</v>
      </c>
      <c r="C787">
        <v>6</v>
      </c>
      <c r="D787">
        <v>2</v>
      </c>
      <c r="E787">
        <v>1</v>
      </c>
      <c r="F787">
        <v>1</v>
      </c>
      <c r="G787" t="s">
        <v>115</v>
      </c>
      <c r="H787" t="str">
        <f>IFERROR(ROUND(COUNTIFS(Tasks!$A:$A,$A787,Tasks!$B:$B,$B787,Tasks!$C:$C,$G787,Tasks!$I:$I,"&lt;="&amp;INDEX(Weeks!$D:$D,MATCH($C787,Weeks!$A:$A,0)),Tasks!$I:$I,"&lt;&gt;")/COUNTIFS(Tasks!$A:$A,$A787,Tasks!$B:$B,$B787,Tasks!$C:$C,$G787)*100,0),"")</f>
        <v/>
      </c>
    </row>
    <row r="788" spans="1:8" ht="15" hidden="1" customHeight="1">
      <c r="A788" t="s">
        <v>97</v>
      </c>
      <c r="B788" t="s">
        <v>98</v>
      </c>
      <c r="C788">
        <v>7</v>
      </c>
      <c r="D788">
        <v>2</v>
      </c>
      <c r="E788">
        <v>2</v>
      </c>
      <c r="F788">
        <v>1</v>
      </c>
      <c r="G788" t="s">
        <v>115</v>
      </c>
      <c r="H788" t="str">
        <f>IFERROR(ROUND(COUNTIFS(Tasks!$A:$A,$A788,Tasks!$B:$B,$B788,Tasks!$C:$C,$G788,Tasks!$I:$I,"&lt;="&amp;INDEX(Weeks!$D:$D,MATCH($C788,Weeks!$A:$A,0)),Tasks!$I:$I,"&lt;&gt;")/COUNTIFS(Tasks!$A:$A,$A788,Tasks!$B:$B,$B788,Tasks!$C:$C,$G788)*100,0),"")</f>
        <v/>
      </c>
    </row>
    <row r="789" spans="1:8" ht="15" hidden="1" customHeight="1">
      <c r="A789" t="s">
        <v>97</v>
      </c>
      <c r="B789" t="s">
        <v>98</v>
      </c>
      <c r="C789">
        <v>8</v>
      </c>
      <c r="D789">
        <v>2</v>
      </c>
      <c r="E789">
        <v>3</v>
      </c>
      <c r="F789">
        <v>1</v>
      </c>
      <c r="G789" t="s">
        <v>115</v>
      </c>
      <c r="H789" t="str">
        <f>IFERROR(ROUND(COUNTIFS(Tasks!$A:$A,$A789,Tasks!$B:$B,$B789,Tasks!$C:$C,$G789,Tasks!$I:$I,"&lt;="&amp;INDEX(Weeks!$D:$D,MATCH($C789,Weeks!$A:$A,0)),Tasks!$I:$I,"&lt;&gt;")/COUNTIFS(Tasks!$A:$A,$A789,Tasks!$B:$B,$B789,Tasks!$C:$C,$G789)*100,0),"")</f>
        <v/>
      </c>
    </row>
    <row r="790" spans="1:8" ht="15" hidden="1" customHeight="1">
      <c r="A790" t="s">
        <v>97</v>
      </c>
      <c r="B790" t="s">
        <v>98</v>
      </c>
      <c r="C790">
        <v>9</v>
      </c>
      <c r="D790">
        <v>2</v>
      </c>
      <c r="E790">
        <v>4</v>
      </c>
      <c r="F790">
        <v>1</v>
      </c>
      <c r="G790" t="s">
        <v>115</v>
      </c>
      <c r="H790" t="str">
        <f>IFERROR(ROUND(COUNTIFS(Tasks!$A:$A,$A790,Tasks!$B:$B,$B790,Tasks!$C:$C,$G790,Tasks!$I:$I,"&lt;="&amp;INDEX(Weeks!$D:$D,MATCH($C790,Weeks!$A:$A,0)),Tasks!$I:$I,"&lt;&gt;")/COUNTIFS(Tasks!$A:$A,$A790,Tasks!$B:$B,$B790,Tasks!$C:$C,$G790)*100,0),"")</f>
        <v/>
      </c>
    </row>
    <row r="791" spans="1:8" ht="15" hidden="1" customHeight="1">
      <c r="A791" t="s">
        <v>97</v>
      </c>
      <c r="B791" t="s">
        <v>98</v>
      </c>
      <c r="C791">
        <v>10</v>
      </c>
      <c r="D791">
        <v>3</v>
      </c>
      <c r="E791">
        <v>1</v>
      </c>
      <c r="F791">
        <v>1</v>
      </c>
      <c r="G791" t="s">
        <v>115</v>
      </c>
      <c r="H791" t="str">
        <f>IFERROR(ROUND(COUNTIFS(Tasks!$A:$A,$A791,Tasks!$B:$B,$B791,Tasks!$C:$C,$G791,Tasks!$I:$I,"&lt;="&amp;INDEX(Weeks!$D:$D,MATCH($C791,Weeks!$A:$A,0)),Tasks!$I:$I,"&lt;&gt;")/COUNTIFS(Tasks!$A:$A,$A791,Tasks!$B:$B,$B791,Tasks!$C:$C,$G791)*100,0),"")</f>
        <v/>
      </c>
    </row>
    <row r="792" spans="1:8" ht="15" hidden="1" customHeight="1">
      <c r="A792" t="s">
        <v>97</v>
      </c>
      <c r="B792" t="s">
        <v>98</v>
      </c>
      <c r="C792">
        <v>11</v>
      </c>
      <c r="D792">
        <v>3</v>
      </c>
      <c r="E792">
        <v>2</v>
      </c>
      <c r="F792">
        <v>1</v>
      </c>
      <c r="G792" t="s">
        <v>115</v>
      </c>
      <c r="H792" t="str">
        <f>IFERROR(ROUND(COUNTIFS(Tasks!$A:$A,$A792,Tasks!$B:$B,$B792,Tasks!$C:$C,$G792,Tasks!$I:$I,"&lt;="&amp;INDEX(Weeks!$D:$D,MATCH($C792,Weeks!$A:$A,0)),Tasks!$I:$I,"&lt;&gt;")/COUNTIFS(Tasks!$A:$A,$A792,Tasks!$B:$B,$B792,Tasks!$C:$C,$G792)*100,0),"")</f>
        <v/>
      </c>
    </row>
    <row r="793" spans="1:8" ht="15" hidden="1" customHeight="1">
      <c r="A793" t="s">
        <v>97</v>
      </c>
      <c r="B793" t="s">
        <v>98</v>
      </c>
      <c r="C793">
        <v>12</v>
      </c>
      <c r="D793">
        <v>3</v>
      </c>
      <c r="E793">
        <v>3</v>
      </c>
      <c r="F793">
        <v>1</v>
      </c>
      <c r="G793" t="s">
        <v>115</v>
      </c>
      <c r="H793" t="str">
        <f>IFERROR(ROUND(COUNTIFS(Tasks!$A:$A,$A793,Tasks!$B:$B,$B793,Tasks!$C:$C,$G793,Tasks!$I:$I,"&lt;="&amp;INDEX(Weeks!$D:$D,MATCH($C793,Weeks!$A:$A,0)),Tasks!$I:$I,"&lt;&gt;")/COUNTIFS(Tasks!$A:$A,$A793,Tasks!$B:$B,$B793,Tasks!$C:$C,$G793)*100,0),"")</f>
        <v/>
      </c>
    </row>
    <row r="794" spans="1:8" ht="15" hidden="1" customHeight="1">
      <c r="A794" t="s">
        <v>97</v>
      </c>
      <c r="B794" t="s">
        <v>98</v>
      </c>
      <c r="C794">
        <v>13</v>
      </c>
      <c r="D794">
        <v>3</v>
      </c>
      <c r="E794">
        <v>4</v>
      </c>
      <c r="F794">
        <v>1</v>
      </c>
      <c r="G794" t="s">
        <v>115</v>
      </c>
      <c r="H794" t="str">
        <f>IFERROR(ROUND(COUNTIFS(Tasks!$A:$A,$A794,Tasks!$B:$B,$B794,Tasks!$C:$C,$G794,Tasks!$I:$I,"&lt;="&amp;INDEX(Weeks!$D:$D,MATCH($C794,Weeks!$A:$A,0)),Tasks!$I:$I,"&lt;&gt;")/COUNTIFS(Tasks!$A:$A,$A794,Tasks!$B:$B,$B794,Tasks!$C:$C,$G794)*100,0),"")</f>
        <v/>
      </c>
    </row>
    <row r="795" spans="1:8" ht="15" hidden="1" customHeight="1">
      <c r="A795" t="s">
        <v>97</v>
      </c>
      <c r="B795" t="s">
        <v>98</v>
      </c>
      <c r="C795">
        <v>14</v>
      </c>
      <c r="D795">
        <v>4</v>
      </c>
      <c r="E795">
        <v>1</v>
      </c>
      <c r="F795">
        <v>1</v>
      </c>
      <c r="G795" t="s">
        <v>115</v>
      </c>
      <c r="H795" t="str">
        <f>IFERROR(ROUND(COUNTIFS(Tasks!$A:$A,$A795,Tasks!$B:$B,$B795,Tasks!$C:$C,$G795,Tasks!$I:$I,"&lt;="&amp;INDEX(Weeks!$D:$D,MATCH($C795,Weeks!$A:$A,0)),Tasks!$I:$I,"&lt;&gt;")/COUNTIFS(Tasks!$A:$A,$A795,Tasks!$B:$B,$B795,Tasks!$C:$C,$G795)*100,0),"")</f>
        <v/>
      </c>
    </row>
    <row r="796" spans="1:8" ht="15" hidden="1" customHeight="1">
      <c r="A796" t="s">
        <v>97</v>
      </c>
      <c r="B796" t="s">
        <v>98</v>
      </c>
      <c r="C796">
        <v>15</v>
      </c>
      <c r="D796">
        <v>4</v>
      </c>
      <c r="E796">
        <v>2</v>
      </c>
      <c r="F796">
        <v>1</v>
      </c>
      <c r="G796" t="s">
        <v>115</v>
      </c>
      <c r="H796" t="str">
        <f>IFERROR(ROUND(COUNTIFS(Tasks!$A:$A,$A796,Tasks!$B:$B,$B796,Tasks!$C:$C,$G796,Tasks!$I:$I,"&lt;="&amp;INDEX(Weeks!$D:$D,MATCH($C796,Weeks!$A:$A,0)),Tasks!$I:$I,"&lt;&gt;")/COUNTIFS(Tasks!$A:$A,$A796,Tasks!$B:$B,$B796,Tasks!$C:$C,$G796)*100,0),"")</f>
        <v/>
      </c>
    </row>
    <row r="797" spans="1:8" ht="15" hidden="1" customHeight="1">
      <c r="A797" t="s">
        <v>97</v>
      </c>
      <c r="B797" t="s">
        <v>98</v>
      </c>
      <c r="C797">
        <v>16</v>
      </c>
      <c r="D797">
        <v>4</v>
      </c>
      <c r="E797">
        <v>3</v>
      </c>
      <c r="F797">
        <v>1</v>
      </c>
      <c r="G797" t="s">
        <v>115</v>
      </c>
      <c r="H797" t="str">
        <f>IFERROR(ROUND(COUNTIFS(Tasks!$A:$A,$A797,Tasks!$B:$B,$B797,Tasks!$C:$C,$G797,Tasks!$I:$I,"&lt;="&amp;INDEX(Weeks!$D:$D,MATCH($C797,Weeks!$A:$A,0)),Tasks!$I:$I,"&lt;&gt;")/COUNTIFS(Tasks!$A:$A,$A797,Tasks!$B:$B,$B797,Tasks!$C:$C,$G797)*100,0),"")</f>
        <v/>
      </c>
    </row>
    <row r="798" spans="1:8" ht="15" hidden="1" customHeight="1">
      <c r="A798" t="s">
        <v>97</v>
      </c>
      <c r="B798" t="s">
        <v>98</v>
      </c>
      <c r="C798">
        <v>17</v>
      </c>
      <c r="D798">
        <v>4</v>
      </c>
      <c r="E798">
        <v>4</v>
      </c>
      <c r="F798">
        <v>1</v>
      </c>
      <c r="G798" t="s">
        <v>115</v>
      </c>
      <c r="H798" t="str">
        <f>IFERROR(ROUND(COUNTIFS(Tasks!$A:$A,$A798,Tasks!$B:$B,$B798,Tasks!$C:$C,$G798,Tasks!$I:$I,"&lt;="&amp;INDEX(Weeks!$D:$D,MATCH($C798,Weeks!$A:$A,0)),Tasks!$I:$I,"&lt;&gt;")/COUNTIFS(Tasks!$A:$A,$A798,Tasks!$B:$B,$B798,Tasks!$C:$C,$G798)*100,0),"")</f>
        <v/>
      </c>
    </row>
    <row r="799" spans="1:8" ht="15" hidden="1" customHeight="1">
      <c r="A799" t="s">
        <v>97</v>
      </c>
      <c r="B799" t="s">
        <v>98</v>
      </c>
      <c r="C799">
        <v>18</v>
      </c>
      <c r="D799">
        <v>5</v>
      </c>
      <c r="E799">
        <v>1</v>
      </c>
      <c r="F799">
        <v>1</v>
      </c>
      <c r="G799" t="s">
        <v>115</v>
      </c>
      <c r="H799" t="str">
        <f>IFERROR(ROUND(COUNTIFS(Tasks!$A:$A,$A799,Tasks!$B:$B,$B799,Tasks!$C:$C,$G799,Tasks!$I:$I,"&lt;="&amp;INDEX(Weeks!$D:$D,MATCH($C799,Weeks!$A:$A,0)),Tasks!$I:$I,"&lt;&gt;")/COUNTIFS(Tasks!$A:$A,$A799,Tasks!$B:$B,$B799,Tasks!$C:$C,$G799)*100,0),"")</f>
        <v/>
      </c>
    </row>
    <row r="800" spans="1:8" ht="15" hidden="1" customHeight="1">
      <c r="A800" t="s">
        <v>97</v>
      </c>
      <c r="B800" t="s">
        <v>98</v>
      </c>
      <c r="C800">
        <v>19</v>
      </c>
      <c r="D800">
        <v>5</v>
      </c>
      <c r="E800">
        <v>2</v>
      </c>
      <c r="F800">
        <v>1</v>
      </c>
      <c r="G800" t="s">
        <v>115</v>
      </c>
      <c r="H800" t="str">
        <f>IFERROR(ROUND(COUNTIFS(Tasks!$A:$A,$A800,Tasks!$B:$B,$B800,Tasks!$C:$C,$G800,Tasks!$I:$I,"&lt;="&amp;INDEX(Weeks!$D:$D,MATCH($C800,Weeks!$A:$A,0)),Tasks!$I:$I,"&lt;&gt;")/COUNTIFS(Tasks!$A:$A,$A800,Tasks!$B:$B,$B800,Tasks!$C:$C,$G800)*100,0),"")</f>
        <v/>
      </c>
    </row>
    <row r="801" spans="1:8" ht="15" hidden="1" customHeight="1">
      <c r="A801" t="s">
        <v>97</v>
      </c>
      <c r="B801" t="s">
        <v>98</v>
      </c>
      <c r="C801">
        <v>20</v>
      </c>
      <c r="D801">
        <v>5</v>
      </c>
      <c r="E801">
        <v>3</v>
      </c>
      <c r="F801">
        <v>1</v>
      </c>
      <c r="G801" t="s">
        <v>115</v>
      </c>
      <c r="H801" t="str">
        <f>IFERROR(ROUND(COUNTIFS(Tasks!$A:$A,$A801,Tasks!$B:$B,$B801,Tasks!$C:$C,$G801,Tasks!$I:$I,"&lt;="&amp;INDEX(Weeks!$D:$D,MATCH($C801,Weeks!$A:$A,0)),Tasks!$I:$I,"&lt;&gt;")/COUNTIFS(Tasks!$A:$A,$A801,Tasks!$B:$B,$B801,Tasks!$C:$C,$G801)*100,0),"")</f>
        <v/>
      </c>
    </row>
    <row r="802" spans="1:8" ht="15" hidden="1" customHeight="1">
      <c r="A802" t="s">
        <v>97</v>
      </c>
      <c r="B802" t="s">
        <v>98</v>
      </c>
      <c r="C802">
        <v>21</v>
      </c>
      <c r="D802">
        <v>5</v>
      </c>
      <c r="E802">
        <v>4</v>
      </c>
      <c r="F802">
        <v>1</v>
      </c>
      <c r="G802" t="s">
        <v>115</v>
      </c>
      <c r="H802" t="str">
        <f>IFERROR(ROUND(COUNTIFS(Tasks!$A:$A,$A802,Tasks!$B:$B,$B802,Tasks!$C:$C,$G802,Tasks!$I:$I,"&lt;="&amp;INDEX(Weeks!$D:$D,MATCH($C802,Weeks!$A:$A,0)),Tasks!$I:$I,"&lt;&gt;")/COUNTIFS(Tasks!$A:$A,$A802,Tasks!$B:$B,$B802,Tasks!$C:$C,$G802)*100,0),"")</f>
        <v/>
      </c>
    </row>
    <row r="803" spans="1:8" ht="15" hidden="1" customHeight="1">
      <c r="A803" t="s">
        <v>97</v>
      </c>
      <c r="B803" t="s">
        <v>98</v>
      </c>
      <c r="C803">
        <v>22</v>
      </c>
      <c r="D803">
        <v>5</v>
      </c>
      <c r="E803">
        <v>5</v>
      </c>
      <c r="F803">
        <v>1</v>
      </c>
      <c r="G803" t="s">
        <v>115</v>
      </c>
      <c r="H803" t="str">
        <f>IFERROR(ROUND(COUNTIFS(Tasks!$A:$A,$A803,Tasks!$B:$B,$B803,Tasks!$C:$C,$G803,Tasks!$I:$I,"&lt;="&amp;INDEX(Weeks!$D:$D,MATCH($C803,Weeks!$A:$A,0)),Tasks!$I:$I,"&lt;&gt;")/COUNTIFS(Tasks!$A:$A,$A803,Tasks!$B:$B,$B803,Tasks!$C:$C,$G803)*100,0),"")</f>
        <v/>
      </c>
    </row>
    <row r="804" spans="1:8" ht="15" hidden="1" customHeight="1">
      <c r="A804" t="s">
        <v>97</v>
      </c>
      <c r="B804" t="s">
        <v>98</v>
      </c>
      <c r="C804">
        <v>23</v>
      </c>
      <c r="D804">
        <v>6</v>
      </c>
      <c r="E804">
        <v>1</v>
      </c>
      <c r="F804">
        <v>1</v>
      </c>
      <c r="G804" t="s">
        <v>115</v>
      </c>
      <c r="H804" t="str">
        <f>IFERROR(ROUND(COUNTIFS(Tasks!$A:$A,$A804,Tasks!$B:$B,$B804,Tasks!$C:$C,$G804,Tasks!$I:$I,"&lt;="&amp;INDEX(Weeks!$D:$D,MATCH($C804,Weeks!$A:$A,0)),Tasks!$I:$I,"&lt;&gt;")/COUNTIFS(Tasks!$A:$A,$A804,Tasks!$B:$B,$B804,Tasks!$C:$C,$G804)*100,0),"")</f>
        <v/>
      </c>
    </row>
    <row r="805" spans="1:8" ht="15" hidden="1" customHeight="1">
      <c r="A805" t="s">
        <v>97</v>
      </c>
      <c r="B805" t="s">
        <v>98</v>
      </c>
      <c r="C805">
        <v>24</v>
      </c>
      <c r="D805">
        <v>6</v>
      </c>
      <c r="E805">
        <v>2</v>
      </c>
      <c r="F805">
        <v>1</v>
      </c>
      <c r="G805" t="s">
        <v>115</v>
      </c>
      <c r="H805" t="str">
        <f>IFERROR(ROUND(COUNTIFS(Tasks!$A:$A,$A805,Tasks!$B:$B,$B805,Tasks!$C:$C,$G805,Tasks!$I:$I,"&lt;="&amp;INDEX(Weeks!$D:$D,MATCH($C805,Weeks!$A:$A,0)),Tasks!$I:$I,"&lt;&gt;")/COUNTIFS(Tasks!$A:$A,$A805,Tasks!$B:$B,$B805,Tasks!$C:$C,$G805)*100,0),"")</f>
        <v/>
      </c>
    </row>
    <row r="806" spans="1:8" ht="15" hidden="1" customHeight="1">
      <c r="A806" t="s">
        <v>97</v>
      </c>
      <c r="B806" t="s">
        <v>98</v>
      </c>
      <c r="C806">
        <v>25</v>
      </c>
      <c r="D806">
        <v>6</v>
      </c>
      <c r="E806">
        <v>3</v>
      </c>
      <c r="F806">
        <v>1</v>
      </c>
      <c r="G806" t="s">
        <v>115</v>
      </c>
      <c r="H806" t="str">
        <f>IFERROR(ROUND(COUNTIFS(Tasks!$A:$A,$A806,Tasks!$B:$B,$B806,Tasks!$C:$C,$G806,Tasks!$I:$I,"&lt;="&amp;INDEX(Weeks!$D:$D,MATCH($C806,Weeks!$A:$A,0)),Tasks!$I:$I,"&lt;&gt;")/COUNTIFS(Tasks!$A:$A,$A806,Tasks!$B:$B,$B806,Tasks!$C:$C,$G806)*100,0),"")</f>
        <v/>
      </c>
    </row>
    <row r="807" spans="1:8" ht="15" hidden="1" customHeight="1">
      <c r="A807" t="s">
        <v>97</v>
      </c>
      <c r="B807" t="s">
        <v>98</v>
      </c>
      <c r="C807">
        <v>26</v>
      </c>
      <c r="D807">
        <v>6</v>
      </c>
      <c r="E807">
        <v>4</v>
      </c>
      <c r="F807">
        <v>1</v>
      </c>
      <c r="G807" t="s">
        <v>115</v>
      </c>
      <c r="H807" t="str">
        <f>IFERROR(ROUND(COUNTIFS(Tasks!$A:$A,$A807,Tasks!$B:$B,$B807,Tasks!$C:$C,$G807,Tasks!$I:$I,"&lt;="&amp;INDEX(Weeks!$D:$D,MATCH($C807,Weeks!$A:$A,0)),Tasks!$I:$I,"&lt;&gt;")/COUNTIFS(Tasks!$A:$A,$A807,Tasks!$B:$B,$B807,Tasks!$C:$C,$G807)*100,0),"")</f>
        <v/>
      </c>
    </row>
    <row r="808" spans="1:8" ht="15" hidden="1" customHeight="1">
      <c r="A808" t="s">
        <v>97</v>
      </c>
      <c r="B808" t="s">
        <v>98</v>
      </c>
      <c r="C808">
        <v>27</v>
      </c>
      <c r="D808">
        <v>7</v>
      </c>
      <c r="E808">
        <v>1</v>
      </c>
      <c r="F808">
        <v>1</v>
      </c>
      <c r="G808" t="s">
        <v>115</v>
      </c>
      <c r="H808" t="str">
        <f>IFERROR(ROUND(COUNTIFS(Tasks!$A:$A,$A808,Tasks!$B:$B,$B808,Tasks!$C:$C,$G808,Tasks!$I:$I,"&lt;="&amp;INDEX(Weeks!$D:$D,MATCH($C808,Weeks!$A:$A,0)),Tasks!$I:$I,"&lt;&gt;")/COUNTIFS(Tasks!$A:$A,$A808,Tasks!$B:$B,$B808,Tasks!$C:$C,$G808)*100,0),"")</f>
        <v/>
      </c>
    </row>
    <row r="809" spans="1:8" ht="15" hidden="1" customHeight="1">
      <c r="A809" t="s">
        <v>97</v>
      </c>
      <c r="B809" t="s">
        <v>98</v>
      </c>
      <c r="C809">
        <v>28</v>
      </c>
      <c r="D809">
        <v>7</v>
      </c>
      <c r="E809">
        <v>2</v>
      </c>
      <c r="F809">
        <v>1</v>
      </c>
      <c r="G809" t="s">
        <v>115</v>
      </c>
      <c r="H809" t="str">
        <f>IFERROR(ROUND(COUNTIFS(Tasks!$A:$A,$A809,Tasks!$B:$B,$B809,Tasks!$C:$C,$G809,Tasks!$I:$I,"&lt;="&amp;INDEX(Weeks!$D:$D,MATCH($C809,Weeks!$A:$A,0)),Tasks!$I:$I,"&lt;&gt;")/COUNTIFS(Tasks!$A:$A,$A809,Tasks!$B:$B,$B809,Tasks!$C:$C,$G809)*100,0),"")</f>
        <v/>
      </c>
    </row>
    <row r="810" spans="1:8" ht="15" hidden="1" customHeight="1">
      <c r="A810" t="s">
        <v>97</v>
      </c>
      <c r="B810" t="s">
        <v>98</v>
      </c>
      <c r="C810">
        <v>29</v>
      </c>
      <c r="D810">
        <v>7</v>
      </c>
      <c r="E810">
        <v>3</v>
      </c>
      <c r="F810">
        <v>1</v>
      </c>
      <c r="G810" t="s">
        <v>115</v>
      </c>
      <c r="H810" t="str">
        <f>IFERROR(ROUND(COUNTIFS(Tasks!$A:$A,$A810,Tasks!$B:$B,$B810,Tasks!$C:$C,$G810,Tasks!$I:$I,"&lt;="&amp;INDEX(Weeks!$D:$D,MATCH($C810,Weeks!$A:$A,0)),Tasks!$I:$I,"&lt;&gt;")/COUNTIFS(Tasks!$A:$A,$A810,Tasks!$B:$B,$B810,Tasks!$C:$C,$G810)*100,0),"")</f>
        <v/>
      </c>
    </row>
    <row r="811" spans="1:8" ht="15" hidden="1" customHeight="1">
      <c r="A811" t="s">
        <v>97</v>
      </c>
      <c r="B811" t="s">
        <v>98</v>
      </c>
      <c r="C811">
        <v>30</v>
      </c>
      <c r="D811">
        <v>7</v>
      </c>
      <c r="E811">
        <v>4</v>
      </c>
      <c r="F811">
        <v>1</v>
      </c>
      <c r="G811" t="s">
        <v>115</v>
      </c>
      <c r="H811" t="str">
        <f>IFERROR(ROUND(COUNTIFS(Tasks!$A:$A,$A811,Tasks!$B:$B,$B811,Tasks!$C:$C,$G811,Tasks!$I:$I,"&lt;="&amp;INDEX(Weeks!$D:$D,MATCH($C811,Weeks!$A:$A,0)),Tasks!$I:$I,"&lt;&gt;")/COUNTIFS(Tasks!$A:$A,$A811,Tasks!$B:$B,$B811,Tasks!$C:$C,$G811)*100,0),"")</f>
        <v/>
      </c>
    </row>
    <row r="812" spans="1:8" ht="15" hidden="1" customHeight="1">
      <c r="A812" t="s">
        <v>97</v>
      </c>
      <c r="B812" t="s">
        <v>98</v>
      </c>
      <c r="C812">
        <v>31</v>
      </c>
      <c r="D812">
        <v>8</v>
      </c>
      <c r="E812">
        <v>1</v>
      </c>
      <c r="F812">
        <v>1</v>
      </c>
      <c r="G812" t="s">
        <v>115</v>
      </c>
      <c r="H812" t="str">
        <f>IFERROR(ROUND(COUNTIFS(Tasks!$A:$A,$A812,Tasks!$B:$B,$B812,Tasks!$C:$C,$G812,Tasks!$I:$I,"&lt;="&amp;INDEX(Weeks!$D:$D,MATCH($C812,Weeks!$A:$A,0)),Tasks!$I:$I,"&lt;&gt;")/COUNTIFS(Tasks!$A:$A,$A812,Tasks!$B:$B,$B812,Tasks!$C:$C,$G812)*100,0),"")</f>
        <v/>
      </c>
    </row>
    <row r="813" spans="1:8" ht="15" hidden="1" customHeight="1">
      <c r="A813" t="s">
        <v>97</v>
      </c>
      <c r="B813" t="s">
        <v>98</v>
      </c>
      <c r="C813">
        <v>32</v>
      </c>
      <c r="D813">
        <v>8</v>
      </c>
      <c r="E813">
        <v>2</v>
      </c>
      <c r="F813">
        <v>1</v>
      </c>
      <c r="G813" t="s">
        <v>115</v>
      </c>
      <c r="H813" t="str">
        <f>IFERROR(ROUND(COUNTIFS(Tasks!$A:$A,$A813,Tasks!$B:$B,$B813,Tasks!$C:$C,$G813,Tasks!$I:$I,"&lt;="&amp;INDEX(Weeks!$D:$D,MATCH($C813,Weeks!$A:$A,0)),Tasks!$I:$I,"&lt;&gt;")/COUNTIFS(Tasks!$A:$A,$A813,Tasks!$B:$B,$B813,Tasks!$C:$C,$G813)*100,0),"")</f>
        <v/>
      </c>
    </row>
    <row r="814" spans="1:8" ht="15" hidden="1" customHeight="1">
      <c r="A814" t="s">
        <v>97</v>
      </c>
      <c r="B814" t="s">
        <v>98</v>
      </c>
      <c r="C814">
        <v>33</v>
      </c>
      <c r="D814">
        <v>8</v>
      </c>
      <c r="E814">
        <v>3</v>
      </c>
      <c r="F814">
        <v>1</v>
      </c>
      <c r="G814" t="s">
        <v>115</v>
      </c>
      <c r="H814" t="str">
        <f>IFERROR(ROUND(COUNTIFS(Tasks!$A:$A,$A814,Tasks!$B:$B,$B814,Tasks!$C:$C,$G814,Tasks!$I:$I,"&lt;="&amp;INDEX(Weeks!$D:$D,MATCH($C814,Weeks!$A:$A,0)),Tasks!$I:$I,"&lt;&gt;")/COUNTIFS(Tasks!$A:$A,$A814,Tasks!$B:$B,$B814,Tasks!$C:$C,$G814)*100,0),"")</f>
        <v/>
      </c>
    </row>
    <row r="815" spans="1:8" ht="15" hidden="1" customHeight="1">
      <c r="A815" t="s">
        <v>97</v>
      </c>
      <c r="B815" t="s">
        <v>98</v>
      </c>
      <c r="C815">
        <v>34</v>
      </c>
      <c r="D815">
        <v>8</v>
      </c>
      <c r="E815">
        <v>4</v>
      </c>
      <c r="F815">
        <v>1</v>
      </c>
      <c r="G815" t="s">
        <v>115</v>
      </c>
      <c r="H815" t="str">
        <f>IFERROR(ROUND(COUNTIFS(Tasks!$A:$A,$A815,Tasks!$B:$B,$B815,Tasks!$C:$C,$G815,Tasks!$I:$I,"&lt;="&amp;INDEX(Weeks!$D:$D,MATCH($C815,Weeks!$A:$A,0)),Tasks!$I:$I,"&lt;&gt;")/COUNTIFS(Tasks!$A:$A,$A815,Tasks!$B:$B,$B815,Tasks!$C:$C,$G815)*100,0),"")</f>
        <v/>
      </c>
    </row>
    <row r="816" spans="1:8" ht="15" hidden="1" customHeight="1">
      <c r="A816" t="s">
        <v>97</v>
      </c>
      <c r="B816" t="s">
        <v>98</v>
      </c>
      <c r="C816">
        <v>35</v>
      </c>
      <c r="D816">
        <v>8</v>
      </c>
      <c r="E816">
        <v>5</v>
      </c>
      <c r="F816">
        <v>1</v>
      </c>
      <c r="G816" t="s">
        <v>115</v>
      </c>
      <c r="H816" t="str">
        <f>IFERROR(ROUND(COUNTIFS(Tasks!$A:$A,$A816,Tasks!$B:$B,$B816,Tasks!$C:$C,$G816,Tasks!$I:$I,"&lt;="&amp;INDEX(Weeks!$D:$D,MATCH($C816,Weeks!$A:$A,0)),Tasks!$I:$I,"&lt;&gt;")/COUNTIFS(Tasks!$A:$A,$A816,Tasks!$B:$B,$B816,Tasks!$C:$C,$G816)*100,0),"")</f>
        <v/>
      </c>
    </row>
    <row r="817" spans="1:8" ht="15" hidden="1" customHeight="1">
      <c r="A817" t="s">
        <v>97</v>
      </c>
      <c r="B817" t="s">
        <v>98</v>
      </c>
      <c r="C817">
        <v>36</v>
      </c>
      <c r="D817">
        <v>9</v>
      </c>
      <c r="E817">
        <v>1</v>
      </c>
      <c r="F817">
        <v>1</v>
      </c>
      <c r="G817" t="s">
        <v>115</v>
      </c>
      <c r="H817" t="str">
        <f>IFERROR(ROUND(COUNTIFS(Tasks!$A:$A,$A817,Tasks!$B:$B,$B817,Tasks!$C:$C,$G817,Tasks!$I:$I,"&lt;="&amp;INDEX(Weeks!$D:$D,MATCH($C817,Weeks!$A:$A,0)),Tasks!$I:$I,"&lt;&gt;")/COUNTIFS(Tasks!$A:$A,$A817,Tasks!$B:$B,$B817,Tasks!$C:$C,$G817)*100,0),"")</f>
        <v/>
      </c>
    </row>
    <row r="818" spans="1:8" ht="15" hidden="1" customHeight="1">
      <c r="A818" t="s">
        <v>97</v>
      </c>
      <c r="B818" t="s">
        <v>98</v>
      </c>
      <c r="C818">
        <v>37</v>
      </c>
      <c r="D818">
        <v>9</v>
      </c>
      <c r="E818">
        <v>2</v>
      </c>
      <c r="F818">
        <v>1</v>
      </c>
      <c r="G818" t="s">
        <v>115</v>
      </c>
      <c r="H818" t="str">
        <f>IFERROR(ROUND(COUNTIFS(Tasks!$A:$A,$A818,Tasks!$B:$B,$B818,Tasks!$C:$C,$G818,Tasks!$I:$I,"&lt;="&amp;INDEX(Weeks!$D:$D,MATCH($C818,Weeks!$A:$A,0)),Tasks!$I:$I,"&lt;&gt;")/COUNTIFS(Tasks!$A:$A,$A818,Tasks!$B:$B,$B818,Tasks!$C:$C,$G818)*100,0),"")</f>
        <v/>
      </c>
    </row>
    <row r="819" spans="1:8" ht="15" hidden="1" customHeight="1">
      <c r="A819" t="s">
        <v>97</v>
      </c>
      <c r="B819" t="s">
        <v>98</v>
      </c>
      <c r="C819">
        <v>38</v>
      </c>
      <c r="D819">
        <v>9</v>
      </c>
      <c r="E819">
        <v>3</v>
      </c>
      <c r="F819">
        <v>1</v>
      </c>
      <c r="G819" t="s">
        <v>115</v>
      </c>
      <c r="H819" t="str">
        <f>IFERROR(ROUND(COUNTIFS(Tasks!$A:$A,$A819,Tasks!$B:$B,$B819,Tasks!$C:$C,$G819,Tasks!$I:$I,"&lt;="&amp;INDEX(Weeks!$D:$D,MATCH($C819,Weeks!$A:$A,0)),Tasks!$I:$I,"&lt;&gt;")/COUNTIFS(Tasks!$A:$A,$A819,Tasks!$B:$B,$B819,Tasks!$C:$C,$G819)*100,0),"")</f>
        <v/>
      </c>
    </row>
    <row r="820" spans="1:8" ht="15" hidden="1" customHeight="1">
      <c r="A820" t="s">
        <v>97</v>
      </c>
      <c r="B820" t="s">
        <v>98</v>
      </c>
      <c r="C820">
        <v>39</v>
      </c>
      <c r="D820">
        <v>9</v>
      </c>
      <c r="E820">
        <v>4</v>
      </c>
      <c r="F820">
        <v>1</v>
      </c>
      <c r="G820" t="s">
        <v>115</v>
      </c>
      <c r="H820" t="str">
        <f>IFERROR(ROUND(COUNTIFS(Tasks!$A:$A,$A820,Tasks!$B:$B,$B820,Tasks!$C:$C,$G820,Tasks!$I:$I,"&lt;="&amp;INDEX(Weeks!$D:$D,MATCH($C820,Weeks!$A:$A,0)),Tasks!$I:$I,"&lt;&gt;")/COUNTIFS(Tasks!$A:$A,$A820,Tasks!$B:$B,$B820,Tasks!$C:$C,$G820)*100,0),"")</f>
        <v/>
      </c>
    </row>
    <row r="821" spans="1:8" ht="15" hidden="1" customHeight="1">
      <c r="A821" t="s">
        <v>97</v>
      </c>
      <c r="B821" t="s">
        <v>98</v>
      </c>
      <c r="C821">
        <v>40</v>
      </c>
      <c r="D821">
        <v>10</v>
      </c>
      <c r="E821">
        <v>1</v>
      </c>
      <c r="F821">
        <v>1</v>
      </c>
      <c r="G821" t="s">
        <v>115</v>
      </c>
      <c r="H821" t="str">
        <f>IFERROR(ROUND(COUNTIFS(Tasks!$A:$A,$A821,Tasks!$B:$B,$B821,Tasks!$C:$C,$G821,Tasks!$I:$I,"&lt;="&amp;INDEX(Weeks!$D:$D,MATCH($C821,Weeks!$A:$A,0)),Tasks!$I:$I,"&lt;&gt;")/COUNTIFS(Tasks!$A:$A,$A821,Tasks!$B:$B,$B821,Tasks!$C:$C,$G821)*100,0),"")</f>
        <v/>
      </c>
    </row>
    <row r="822" spans="1:8" ht="15" hidden="1" customHeight="1">
      <c r="A822" t="s">
        <v>97</v>
      </c>
      <c r="B822" t="s">
        <v>98</v>
      </c>
      <c r="C822">
        <v>41</v>
      </c>
      <c r="D822">
        <v>10</v>
      </c>
      <c r="E822">
        <v>2</v>
      </c>
      <c r="F822">
        <v>1</v>
      </c>
      <c r="G822" t="s">
        <v>115</v>
      </c>
      <c r="H822" t="str">
        <f>IFERROR(ROUND(COUNTIFS(Tasks!$A:$A,$A822,Tasks!$B:$B,$B822,Tasks!$C:$C,$G822,Tasks!$I:$I,"&lt;="&amp;INDEX(Weeks!$D:$D,MATCH($C822,Weeks!$A:$A,0)),Tasks!$I:$I,"&lt;&gt;")/COUNTIFS(Tasks!$A:$A,$A822,Tasks!$B:$B,$B822,Tasks!$C:$C,$G822)*100,0),"")</f>
        <v/>
      </c>
    </row>
    <row r="823" spans="1:8" ht="15" hidden="1" customHeight="1">
      <c r="A823" t="s">
        <v>97</v>
      </c>
      <c r="B823" t="s">
        <v>98</v>
      </c>
      <c r="C823">
        <v>42</v>
      </c>
      <c r="D823">
        <v>10</v>
      </c>
      <c r="E823">
        <v>3</v>
      </c>
      <c r="F823">
        <v>1</v>
      </c>
      <c r="G823" t="s">
        <v>115</v>
      </c>
      <c r="H823" t="str">
        <f>IFERROR(ROUND(COUNTIFS(Tasks!$A:$A,$A823,Tasks!$B:$B,$B823,Tasks!$C:$C,$G823,Tasks!$I:$I,"&lt;="&amp;INDEX(Weeks!$D:$D,MATCH($C823,Weeks!$A:$A,0)),Tasks!$I:$I,"&lt;&gt;")/COUNTIFS(Tasks!$A:$A,$A823,Tasks!$B:$B,$B823,Tasks!$C:$C,$G823)*100,0),"")</f>
        <v/>
      </c>
    </row>
    <row r="824" spans="1:8" ht="15" hidden="1" customHeight="1">
      <c r="A824" t="s">
        <v>97</v>
      </c>
      <c r="B824" t="s">
        <v>98</v>
      </c>
      <c r="C824">
        <v>43</v>
      </c>
      <c r="D824">
        <v>10</v>
      </c>
      <c r="E824">
        <v>4</v>
      </c>
      <c r="F824">
        <v>1</v>
      </c>
      <c r="G824" t="s">
        <v>115</v>
      </c>
      <c r="H824" t="str">
        <f>IFERROR(ROUND(COUNTIFS(Tasks!$A:$A,$A824,Tasks!$B:$B,$B824,Tasks!$C:$C,$G824,Tasks!$I:$I,"&lt;="&amp;INDEX(Weeks!$D:$D,MATCH($C824,Weeks!$A:$A,0)),Tasks!$I:$I,"&lt;&gt;")/COUNTIFS(Tasks!$A:$A,$A824,Tasks!$B:$B,$B824,Tasks!$C:$C,$G824)*100,0),"")</f>
        <v/>
      </c>
    </row>
    <row r="825" spans="1:8" ht="15" hidden="1" customHeight="1">
      <c r="A825" t="s">
        <v>97</v>
      </c>
      <c r="B825" t="s">
        <v>98</v>
      </c>
      <c r="C825">
        <v>44</v>
      </c>
      <c r="D825">
        <v>10</v>
      </c>
      <c r="E825">
        <v>5</v>
      </c>
      <c r="F825">
        <v>1</v>
      </c>
      <c r="G825" t="s">
        <v>115</v>
      </c>
      <c r="H825" t="str">
        <f>IFERROR(ROUND(COUNTIFS(Tasks!$A:$A,$A825,Tasks!$B:$B,$B825,Tasks!$C:$C,$G825,Tasks!$I:$I,"&lt;="&amp;INDEX(Weeks!$D:$D,MATCH($C825,Weeks!$A:$A,0)),Tasks!$I:$I,"&lt;&gt;")/COUNTIFS(Tasks!$A:$A,$A825,Tasks!$B:$B,$B825,Tasks!$C:$C,$G825)*100,0),"")</f>
        <v/>
      </c>
    </row>
    <row r="826" spans="1:8" ht="15" hidden="1" customHeight="1">
      <c r="A826" t="s">
        <v>97</v>
      </c>
      <c r="B826" t="s">
        <v>98</v>
      </c>
      <c r="C826">
        <v>45</v>
      </c>
      <c r="D826">
        <v>11</v>
      </c>
      <c r="E826">
        <v>1</v>
      </c>
      <c r="F826">
        <v>1</v>
      </c>
      <c r="G826" t="s">
        <v>115</v>
      </c>
      <c r="H826" t="str">
        <f>IFERROR(ROUND(COUNTIFS(Tasks!$A:$A,$A826,Tasks!$B:$B,$B826,Tasks!$C:$C,$G826,Tasks!$I:$I,"&lt;="&amp;INDEX(Weeks!$D:$D,MATCH($C826,Weeks!$A:$A,0)),Tasks!$I:$I,"&lt;&gt;")/COUNTIFS(Tasks!$A:$A,$A826,Tasks!$B:$B,$B826,Tasks!$C:$C,$G826)*100,0),"")</f>
        <v/>
      </c>
    </row>
    <row r="827" spans="1:8" ht="15" hidden="1" customHeight="1">
      <c r="A827" t="s">
        <v>97</v>
      </c>
      <c r="B827" t="s">
        <v>98</v>
      </c>
      <c r="C827">
        <v>46</v>
      </c>
      <c r="D827">
        <v>11</v>
      </c>
      <c r="E827">
        <v>2</v>
      </c>
      <c r="F827">
        <v>1</v>
      </c>
      <c r="G827" t="s">
        <v>115</v>
      </c>
      <c r="H827" t="str">
        <f>IFERROR(ROUND(COUNTIFS(Tasks!$A:$A,$A827,Tasks!$B:$B,$B827,Tasks!$C:$C,$G827,Tasks!$I:$I,"&lt;="&amp;INDEX(Weeks!$D:$D,MATCH($C827,Weeks!$A:$A,0)),Tasks!$I:$I,"&lt;&gt;")/COUNTIFS(Tasks!$A:$A,$A827,Tasks!$B:$B,$B827,Tasks!$C:$C,$G827)*100,0),"")</f>
        <v/>
      </c>
    </row>
    <row r="828" spans="1:8" ht="15" hidden="1" customHeight="1">
      <c r="A828" t="s">
        <v>97</v>
      </c>
      <c r="B828" t="s">
        <v>98</v>
      </c>
      <c r="C828">
        <v>47</v>
      </c>
      <c r="D828">
        <v>11</v>
      </c>
      <c r="E828">
        <v>3</v>
      </c>
      <c r="F828">
        <v>1</v>
      </c>
      <c r="G828" t="s">
        <v>115</v>
      </c>
      <c r="H828" t="str">
        <f>IFERROR(ROUND(COUNTIFS(Tasks!$A:$A,$A828,Tasks!$B:$B,$B828,Tasks!$C:$C,$G828,Tasks!$I:$I,"&lt;="&amp;INDEX(Weeks!$D:$D,MATCH($C828,Weeks!$A:$A,0)),Tasks!$I:$I,"&lt;&gt;")/COUNTIFS(Tasks!$A:$A,$A828,Tasks!$B:$B,$B828,Tasks!$C:$C,$G828)*100,0),"")</f>
        <v/>
      </c>
    </row>
    <row r="829" spans="1:8" ht="15" hidden="1" customHeight="1">
      <c r="A829" t="s">
        <v>97</v>
      </c>
      <c r="B829" t="s">
        <v>98</v>
      </c>
      <c r="C829">
        <v>48</v>
      </c>
      <c r="D829">
        <v>11</v>
      </c>
      <c r="E829">
        <v>4</v>
      </c>
      <c r="F829">
        <v>1</v>
      </c>
      <c r="G829" t="s">
        <v>115</v>
      </c>
      <c r="H829" t="str">
        <f>IFERROR(ROUND(COUNTIFS(Tasks!$A:$A,$A829,Tasks!$B:$B,$B829,Tasks!$C:$C,$G829,Tasks!$I:$I,"&lt;="&amp;INDEX(Weeks!$D:$D,MATCH($C829,Weeks!$A:$A,0)),Tasks!$I:$I,"&lt;&gt;")/COUNTIFS(Tasks!$A:$A,$A829,Tasks!$B:$B,$B829,Tasks!$C:$C,$G829)*100,0),"")</f>
        <v/>
      </c>
    </row>
    <row r="830" spans="1:8" ht="15" hidden="1" customHeight="1">
      <c r="A830" t="s">
        <v>97</v>
      </c>
      <c r="B830" t="s">
        <v>98</v>
      </c>
      <c r="C830">
        <v>49</v>
      </c>
      <c r="D830">
        <v>12</v>
      </c>
      <c r="E830">
        <v>1</v>
      </c>
      <c r="F830">
        <v>1</v>
      </c>
      <c r="G830" t="s">
        <v>115</v>
      </c>
      <c r="H830" t="str">
        <f>IFERROR(ROUND(COUNTIFS(Tasks!$A:$A,$A830,Tasks!$B:$B,$B830,Tasks!$C:$C,$G830,Tasks!$I:$I,"&lt;="&amp;INDEX(Weeks!$D:$D,MATCH($C830,Weeks!$A:$A,0)),Tasks!$I:$I,"&lt;&gt;")/COUNTIFS(Tasks!$A:$A,$A830,Tasks!$B:$B,$B830,Tasks!$C:$C,$G830)*100,0),"")</f>
        <v/>
      </c>
    </row>
    <row r="831" spans="1:8" ht="15" hidden="1" customHeight="1">
      <c r="A831" t="s">
        <v>97</v>
      </c>
      <c r="B831" t="s">
        <v>98</v>
      </c>
      <c r="C831">
        <v>50</v>
      </c>
      <c r="D831">
        <v>12</v>
      </c>
      <c r="E831">
        <v>2</v>
      </c>
      <c r="F831">
        <v>1</v>
      </c>
      <c r="G831" t="s">
        <v>115</v>
      </c>
      <c r="H831" t="str">
        <f>IFERROR(ROUND(COUNTIFS(Tasks!$A:$A,$A831,Tasks!$B:$B,$B831,Tasks!$C:$C,$G831,Tasks!$I:$I,"&lt;="&amp;INDEX(Weeks!$D:$D,MATCH($C831,Weeks!$A:$A,0)),Tasks!$I:$I,"&lt;&gt;")/COUNTIFS(Tasks!$A:$A,$A831,Tasks!$B:$B,$B831,Tasks!$C:$C,$G831)*100,0),"")</f>
        <v/>
      </c>
    </row>
    <row r="832" spans="1:8" ht="15" hidden="1" customHeight="1">
      <c r="A832" t="s">
        <v>97</v>
      </c>
      <c r="B832" t="s">
        <v>98</v>
      </c>
      <c r="C832">
        <v>51</v>
      </c>
      <c r="D832">
        <v>12</v>
      </c>
      <c r="E832">
        <v>3</v>
      </c>
      <c r="F832">
        <v>1</v>
      </c>
      <c r="G832" t="s">
        <v>115</v>
      </c>
      <c r="H832" t="str">
        <f>IFERROR(ROUND(COUNTIFS(Tasks!$A:$A,$A832,Tasks!$B:$B,$B832,Tasks!$C:$C,$G832,Tasks!$I:$I,"&lt;="&amp;INDEX(Weeks!$D:$D,MATCH($C832,Weeks!$A:$A,0)),Tasks!$I:$I,"&lt;&gt;")/COUNTIFS(Tasks!$A:$A,$A832,Tasks!$B:$B,$B832,Tasks!$C:$C,$G832)*100,0),"")</f>
        <v/>
      </c>
    </row>
    <row r="833" spans="1:8" ht="15" hidden="1" customHeight="1">
      <c r="A833" t="s">
        <v>97</v>
      </c>
      <c r="B833" t="s">
        <v>98</v>
      </c>
      <c r="C833">
        <v>52</v>
      </c>
      <c r="D833">
        <v>12</v>
      </c>
      <c r="E833">
        <v>4</v>
      </c>
      <c r="F833">
        <v>1</v>
      </c>
      <c r="G833" t="s">
        <v>115</v>
      </c>
      <c r="H833" t="str">
        <f>IFERROR(ROUND(COUNTIFS(Tasks!$A:$A,$A833,Tasks!$B:$B,$B833,Tasks!$C:$C,$G833,Tasks!$I:$I,"&lt;="&amp;INDEX(Weeks!$D:$D,MATCH($C833,Weeks!$A:$A,0)),Tasks!$I:$I,"&lt;&gt;")/COUNTIFS(Tasks!$A:$A,$A833,Tasks!$B:$B,$B833,Tasks!$C:$C,$G833)*100,0),"")</f>
        <v/>
      </c>
    </row>
    <row r="834" spans="1:8" ht="15" hidden="1" customHeight="1">
      <c r="A834" t="s">
        <v>97</v>
      </c>
      <c r="B834" t="s">
        <v>98</v>
      </c>
      <c r="C834">
        <v>1</v>
      </c>
      <c r="D834">
        <v>1</v>
      </c>
      <c r="E834">
        <v>1</v>
      </c>
      <c r="F834">
        <v>2</v>
      </c>
      <c r="G834" t="s">
        <v>116</v>
      </c>
      <c r="H834" t="str">
        <f>IFERROR(ROUND(COUNTIFS(Tasks!$A:$A,$A834,Tasks!$B:$B,$B834,Tasks!$C:$C,$G834,Tasks!$I:$I,"&lt;="&amp;INDEX(Weeks!$D:$D,MATCH($C834,Weeks!$A:$A,0)),Tasks!$I:$I,"&lt;&gt;")/COUNTIFS(Tasks!$A:$A,$A834,Tasks!$B:$B,$B834,Tasks!$C:$C,$G834)*100,0),"")</f>
        <v/>
      </c>
    </row>
    <row r="835" spans="1:8" ht="15" hidden="1" customHeight="1">
      <c r="A835" t="s">
        <v>97</v>
      </c>
      <c r="B835" t="s">
        <v>98</v>
      </c>
      <c r="C835">
        <v>2</v>
      </c>
      <c r="D835">
        <v>1</v>
      </c>
      <c r="E835">
        <v>2</v>
      </c>
      <c r="F835">
        <v>2</v>
      </c>
      <c r="G835" t="s">
        <v>116</v>
      </c>
      <c r="H835" t="str">
        <f>IFERROR(ROUND(COUNTIFS(Tasks!$A:$A,$A835,Tasks!$B:$B,$B835,Tasks!$C:$C,$G835,Tasks!$I:$I,"&lt;="&amp;INDEX(Weeks!$D:$D,MATCH($C835,Weeks!$A:$A,0)),Tasks!$I:$I,"&lt;&gt;")/COUNTIFS(Tasks!$A:$A,$A835,Tasks!$B:$B,$B835,Tasks!$C:$C,$G835)*100,0),"")</f>
        <v/>
      </c>
    </row>
    <row r="836" spans="1:8" ht="15" hidden="1" customHeight="1">
      <c r="A836" t="s">
        <v>97</v>
      </c>
      <c r="B836" t="s">
        <v>98</v>
      </c>
      <c r="C836">
        <v>3</v>
      </c>
      <c r="D836">
        <v>1</v>
      </c>
      <c r="E836">
        <v>3</v>
      </c>
      <c r="F836">
        <v>2</v>
      </c>
      <c r="G836" t="s">
        <v>116</v>
      </c>
      <c r="H836" t="str">
        <f>IFERROR(ROUND(COUNTIFS(Tasks!$A:$A,$A836,Tasks!$B:$B,$B836,Tasks!$C:$C,$G836,Tasks!$I:$I,"&lt;="&amp;INDEX(Weeks!$D:$D,MATCH($C836,Weeks!$A:$A,0)),Tasks!$I:$I,"&lt;&gt;")/COUNTIFS(Tasks!$A:$A,$A836,Tasks!$B:$B,$B836,Tasks!$C:$C,$G836)*100,0),"")</f>
        <v/>
      </c>
    </row>
    <row r="837" spans="1:8" ht="15" hidden="1" customHeight="1">
      <c r="A837" t="s">
        <v>97</v>
      </c>
      <c r="B837" t="s">
        <v>98</v>
      </c>
      <c r="C837">
        <v>4</v>
      </c>
      <c r="D837">
        <v>1</v>
      </c>
      <c r="E837">
        <v>4</v>
      </c>
      <c r="F837">
        <v>2</v>
      </c>
      <c r="G837" t="s">
        <v>116</v>
      </c>
      <c r="H837" t="str">
        <f>IFERROR(ROUND(COUNTIFS(Tasks!$A:$A,$A837,Tasks!$B:$B,$B837,Tasks!$C:$C,$G837,Tasks!$I:$I,"&lt;="&amp;INDEX(Weeks!$D:$D,MATCH($C837,Weeks!$A:$A,0)),Tasks!$I:$I,"&lt;&gt;")/COUNTIFS(Tasks!$A:$A,$A837,Tasks!$B:$B,$B837,Tasks!$C:$C,$G837)*100,0),"")</f>
        <v/>
      </c>
    </row>
    <row r="838" spans="1:8" ht="15" hidden="1" customHeight="1">
      <c r="A838" t="s">
        <v>97</v>
      </c>
      <c r="B838" t="s">
        <v>98</v>
      </c>
      <c r="C838">
        <v>5</v>
      </c>
      <c r="D838">
        <v>1</v>
      </c>
      <c r="E838">
        <v>5</v>
      </c>
      <c r="F838">
        <v>2</v>
      </c>
      <c r="G838" t="s">
        <v>116</v>
      </c>
      <c r="H838" t="str">
        <f>IFERROR(ROUND(COUNTIFS(Tasks!$A:$A,$A838,Tasks!$B:$B,$B838,Tasks!$C:$C,$G838,Tasks!$I:$I,"&lt;="&amp;INDEX(Weeks!$D:$D,MATCH($C838,Weeks!$A:$A,0)),Tasks!$I:$I,"&lt;&gt;")/COUNTIFS(Tasks!$A:$A,$A838,Tasks!$B:$B,$B838,Tasks!$C:$C,$G838)*100,0),"")</f>
        <v/>
      </c>
    </row>
    <row r="839" spans="1:8" ht="15" hidden="1" customHeight="1">
      <c r="A839" t="s">
        <v>97</v>
      </c>
      <c r="B839" t="s">
        <v>98</v>
      </c>
      <c r="C839">
        <v>6</v>
      </c>
      <c r="D839">
        <v>2</v>
      </c>
      <c r="E839">
        <v>1</v>
      </c>
      <c r="F839">
        <v>2</v>
      </c>
      <c r="G839" t="s">
        <v>116</v>
      </c>
      <c r="H839" t="str">
        <f>IFERROR(ROUND(COUNTIFS(Tasks!$A:$A,$A839,Tasks!$B:$B,$B839,Tasks!$C:$C,$G839,Tasks!$I:$I,"&lt;="&amp;INDEX(Weeks!$D:$D,MATCH($C839,Weeks!$A:$A,0)),Tasks!$I:$I,"&lt;&gt;")/COUNTIFS(Tasks!$A:$A,$A839,Tasks!$B:$B,$B839,Tasks!$C:$C,$G839)*100,0),"")</f>
        <v/>
      </c>
    </row>
    <row r="840" spans="1:8" ht="15" hidden="1" customHeight="1">
      <c r="A840" t="s">
        <v>97</v>
      </c>
      <c r="B840" t="s">
        <v>98</v>
      </c>
      <c r="C840">
        <v>7</v>
      </c>
      <c r="D840">
        <v>2</v>
      </c>
      <c r="E840">
        <v>2</v>
      </c>
      <c r="F840">
        <v>2</v>
      </c>
      <c r="G840" t="s">
        <v>116</v>
      </c>
      <c r="H840" t="str">
        <f>IFERROR(ROUND(COUNTIFS(Tasks!$A:$A,$A840,Tasks!$B:$B,$B840,Tasks!$C:$C,$G840,Tasks!$I:$I,"&lt;="&amp;INDEX(Weeks!$D:$D,MATCH($C840,Weeks!$A:$A,0)),Tasks!$I:$I,"&lt;&gt;")/COUNTIFS(Tasks!$A:$A,$A840,Tasks!$B:$B,$B840,Tasks!$C:$C,$G840)*100,0),"")</f>
        <v/>
      </c>
    </row>
    <row r="841" spans="1:8" ht="15" hidden="1" customHeight="1">
      <c r="A841" t="s">
        <v>97</v>
      </c>
      <c r="B841" t="s">
        <v>98</v>
      </c>
      <c r="C841">
        <v>8</v>
      </c>
      <c r="D841">
        <v>2</v>
      </c>
      <c r="E841">
        <v>3</v>
      </c>
      <c r="F841">
        <v>2</v>
      </c>
      <c r="G841" t="s">
        <v>116</v>
      </c>
      <c r="H841" t="str">
        <f>IFERROR(ROUND(COUNTIFS(Tasks!$A:$A,$A841,Tasks!$B:$B,$B841,Tasks!$C:$C,$G841,Tasks!$I:$I,"&lt;="&amp;INDEX(Weeks!$D:$D,MATCH($C841,Weeks!$A:$A,0)),Tasks!$I:$I,"&lt;&gt;")/COUNTIFS(Tasks!$A:$A,$A841,Tasks!$B:$B,$B841,Tasks!$C:$C,$G841)*100,0),"")</f>
        <v/>
      </c>
    </row>
    <row r="842" spans="1:8" ht="15" hidden="1" customHeight="1">
      <c r="A842" t="s">
        <v>97</v>
      </c>
      <c r="B842" t="s">
        <v>98</v>
      </c>
      <c r="C842">
        <v>9</v>
      </c>
      <c r="D842">
        <v>2</v>
      </c>
      <c r="E842">
        <v>4</v>
      </c>
      <c r="F842">
        <v>2</v>
      </c>
      <c r="G842" t="s">
        <v>116</v>
      </c>
      <c r="H842" t="str">
        <f>IFERROR(ROUND(COUNTIFS(Tasks!$A:$A,$A842,Tasks!$B:$B,$B842,Tasks!$C:$C,$G842,Tasks!$I:$I,"&lt;="&amp;INDEX(Weeks!$D:$D,MATCH($C842,Weeks!$A:$A,0)),Tasks!$I:$I,"&lt;&gt;")/COUNTIFS(Tasks!$A:$A,$A842,Tasks!$B:$B,$B842,Tasks!$C:$C,$G842)*100,0),"")</f>
        <v/>
      </c>
    </row>
    <row r="843" spans="1:8" ht="15" hidden="1" customHeight="1">
      <c r="A843" t="s">
        <v>97</v>
      </c>
      <c r="B843" t="s">
        <v>98</v>
      </c>
      <c r="C843">
        <v>10</v>
      </c>
      <c r="D843">
        <v>3</v>
      </c>
      <c r="E843">
        <v>1</v>
      </c>
      <c r="F843">
        <v>2</v>
      </c>
      <c r="G843" t="s">
        <v>116</v>
      </c>
      <c r="H843" t="str">
        <f>IFERROR(ROUND(COUNTIFS(Tasks!$A:$A,$A843,Tasks!$B:$B,$B843,Tasks!$C:$C,$G843,Tasks!$I:$I,"&lt;="&amp;INDEX(Weeks!$D:$D,MATCH($C843,Weeks!$A:$A,0)),Tasks!$I:$I,"&lt;&gt;")/COUNTIFS(Tasks!$A:$A,$A843,Tasks!$B:$B,$B843,Tasks!$C:$C,$G843)*100,0),"")</f>
        <v/>
      </c>
    </row>
    <row r="844" spans="1:8" ht="15" hidden="1" customHeight="1">
      <c r="A844" t="s">
        <v>97</v>
      </c>
      <c r="B844" t="s">
        <v>98</v>
      </c>
      <c r="C844">
        <v>11</v>
      </c>
      <c r="D844">
        <v>3</v>
      </c>
      <c r="E844">
        <v>2</v>
      </c>
      <c r="F844">
        <v>2</v>
      </c>
      <c r="G844" t="s">
        <v>116</v>
      </c>
      <c r="H844" t="str">
        <f>IFERROR(ROUND(COUNTIFS(Tasks!$A:$A,$A844,Tasks!$B:$B,$B844,Tasks!$C:$C,$G844,Tasks!$I:$I,"&lt;="&amp;INDEX(Weeks!$D:$D,MATCH($C844,Weeks!$A:$A,0)),Tasks!$I:$I,"&lt;&gt;")/COUNTIFS(Tasks!$A:$A,$A844,Tasks!$B:$B,$B844,Tasks!$C:$C,$G844)*100,0),"")</f>
        <v/>
      </c>
    </row>
    <row r="845" spans="1:8" ht="15" hidden="1" customHeight="1">
      <c r="A845" t="s">
        <v>97</v>
      </c>
      <c r="B845" t="s">
        <v>98</v>
      </c>
      <c r="C845">
        <v>12</v>
      </c>
      <c r="D845">
        <v>3</v>
      </c>
      <c r="E845">
        <v>3</v>
      </c>
      <c r="F845">
        <v>2</v>
      </c>
      <c r="G845" t="s">
        <v>116</v>
      </c>
      <c r="H845" t="str">
        <f>IFERROR(ROUND(COUNTIFS(Tasks!$A:$A,$A845,Tasks!$B:$B,$B845,Tasks!$C:$C,$G845,Tasks!$I:$I,"&lt;="&amp;INDEX(Weeks!$D:$D,MATCH($C845,Weeks!$A:$A,0)),Tasks!$I:$I,"&lt;&gt;")/COUNTIFS(Tasks!$A:$A,$A845,Tasks!$B:$B,$B845,Tasks!$C:$C,$G845)*100,0),"")</f>
        <v/>
      </c>
    </row>
    <row r="846" spans="1:8" ht="15" hidden="1" customHeight="1">
      <c r="A846" t="s">
        <v>97</v>
      </c>
      <c r="B846" t="s">
        <v>98</v>
      </c>
      <c r="C846">
        <v>13</v>
      </c>
      <c r="D846">
        <v>3</v>
      </c>
      <c r="E846">
        <v>4</v>
      </c>
      <c r="F846">
        <v>2</v>
      </c>
      <c r="G846" t="s">
        <v>116</v>
      </c>
      <c r="H846" t="str">
        <f>IFERROR(ROUND(COUNTIFS(Tasks!$A:$A,$A846,Tasks!$B:$B,$B846,Tasks!$C:$C,$G846,Tasks!$I:$I,"&lt;="&amp;INDEX(Weeks!$D:$D,MATCH($C846,Weeks!$A:$A,0)),Tasks!$I:$I,"&lt;&gt;")/COUNTIFS(Tasks!$A:$A,$A846,Tasks!$B:$B,$B846,Tasks!$C:$C,$G846)*100,0),"")</f>
        <v/>
      </c>
    </row>
    <row r="847" spans="1:8" ht="15" hidden="1" customHeight="1">
      <c r="A847" t="s">
        <v>97</v>
      </c>
      <c r="B847" t="s">
        <v>98</v>
      </c>
      <c r="C847">
        <v>14</v>
      </c>
      <c r="D847">
        <v>4</v>
      </c>
      <c r="E847">
        <v>1</v>
      </c>
      <c r="F847">
        <v>2</v>
      </c>
      <c r="G847" t="s">
        <v>116</v>
      </c>
      <c r="H847" t="str">
        <f>IFERROR(ROUND(COUNTIFS(Tasks!$A:$A,$A847,Tasks!$B:$B,$B847,Tasks!$C:$C,$G847,Tasks!$I:$I,"&lt;="&amp;INDEX(Weeks!$D:$D,MATCH($C847,Weeks!$A:$A,0)),Tasks!$I:$I,"&lt;&gt;")/COUNTIFS(Tasks!$A:$A,$A847,Tasks!$B:$B,$B847,Tasks!$C:$C,$G847)*100,0),"")</f>
        <v/>
      </c>
    </row>
    <row r="848" spans="1:8" ht="15" hidden="1" customHeight="1">
      <c r="A848" t="s">
        <v>97</v>
      </c>
      <c r="B848" t="s">
        <v>98</v>
      </c>
      <c r="C848">
        <v>15</v>
      </c>
      <c r="D848">
        <v>4</v>
      </c>
      <c r="E848">
        <v>2</v>
      </c>
      <c r="F848">
        <v>2</v>
      </c>
      <c r="G848" t="s">
        <v>116</v>
      </c>
      <c r="H848" t="str">
        <f>IFERROR(ROUND(COUNTIFS(Tasks!$A:$A,$A848,Tasks!$B:$B,$B848,Tasks!$C:$C,$G848,Tasks!$I:$I,"&lt;="&amp;INDEX(Weeks!$D:$D,MATCH($C848,Weeks!$A:$A,0)),Tasks!$I:$I,"&lt;&gt;")/COUNTIFS(Tasks!$A:$A,$A848,Tasks!$B:$B,$B848,Tasks!$C:$C,$G848)*100,0),"")</f>
        <v/>
      </c>
    </row>
    <row r="849" spans="1:8" ht="15" hidden="1" customHeight="1">
      <c r="A849" t="s">
        <v>97</v>
      </c>
      <c r="B849" t="s">
        <v>98</v>
      </c>
      <c r="C849">
        <v>16</v>
      </c>
      <c r="D849">
        <v>4</v>
      </c>
      <c r="E849">
        <v>3</v>
      </c>
      <c r="F849">
        <v>2</v>
      </c>
      <c r="G849" t="s">
        <v>116</v>
      </c>
      <c r="H849" t="str">
        <f>IFERROR(ROUND(COUNTIFS(Tasks!$A:$A,$A849,Tasks!$B:$B,$B849,Tasks!$C:$C,$G849,Tasks!$I:$I,"&lt;="&amp;INDEX(Weeks!$D:$D,MATCH($C849,Weeks!$A:$A,0)),Tasks!$I:$I,"&lt;&gt;")/COUNTIFS(Tasks!$A:$A,$A849,Tasks!$B:$B,$B849,Tasks!$C:$C,$G849)*100,0),"")</f>
        <v/>
      </c>
    </row>
    <row r="850" spans="1:8" ht="15" hidden="1" customHeight="1">
      <c r="A850" t="s">
        <v>97</v>
      </c>
      <c r="B850" t="s">
        <v>98</v>
      </c>
      <c r="C850">
        <v>17</v>
      </c>
      <c r="D850">
        <v>4</v>
      </c>
      <c r="E850">
        <v>4</v>
      </c>
      <c r="F850">
        <v>2</v>
      </c>
      <c r="G850" t="s">
        <v>116</v>
      </c>
      <c r="H850" t="str">
        <f>IFERROR(ROUND(COUNTIFS(Tasks!$A:$A,$A850,Tasks!$B:$B,$B850,Tasks!$C:$C,$G850,Tasks!$I:$I,"&lt;="&amp;INDEX(Weeks!$D:$D,MATCH($C850,Weeks!$A:$A,0)),Tasks!$I:$I,"&lt;&gt;")/COUNTIFS(Tasks!$A:$A,$A850,Tasks!$B:$B,$B850,Tasks!$C:$C,$G850)*100,0),"")</f>
        <v/>
      </c>
    </row>
    <row r="851" spans="1:8" ht="15" hidden="1" customHeight="1">
      <c r="A851" t="s">
        <v>97</v>
      </c>
      <c r="B851" t="s">
        <v>98</v>
      </c>
      <c r="C851">
        <v>18</v>
      </c>
      <c r="D851">
        <v>5</v>
      </c>
      <c r="E851">
        <v>1</v>
      </c>
      <c r="F851">
        <v>2</v>
      </c>
      <c r="G851" t="s">
        <v>116</v>
      </c>
      <c r="H851" t="str">
        <f>IFERROR(ROUND(COUNTIFS(Tasks!$A:$A,$A851,Tasks!$B:$B,$B851,Tasks!$C:$C,$G851,Tasks!$I:$I,"&lt;="&amp;INDEX(Weeks!$D:$D,MATCH($C851,Weeks!$A:$A,0)),Tasks!$I:$I,"&lt;&gt;")/COUNTIFS(Tasks!$A:$A,$A851,Tasks!$B:$B,$B851,Tasks!$C:$C,$G851)*100,0),"")</f>
        <v/>
      </c>
    </row>
    <row r="852" spans="1:8" ht="15" hidden="1" customHeight="1">
      <c r="A852" t="s">
        <v>97</v>
      </c>
      <c r="B852" t="s">
        <v>98</v>
      </c>
      <c r="C852">
        <v>19</v>
      </c>
      <c r="D852">
        <v>5</v>
      </c>
      <c r="E852">
        <v>2</v>
      </c>
      <c r="F852">
        <v>2</v>
      </c>
      <c r="G852" t="s">
        <v>116</v>
      </c>
      <c r="H852" t="str">
        <f>IFERROR(ROUND(COUNTIFS(Tasks!$A:$A,$A852,Tasks!$B:$B,$B852,Tasks!$C:$C,$G852,Tasks!$I:$I,"&lt;="&amp;INDEX(Weeks!$D:$D,MATCH($C852,Weeks!$A:$A,0)),Tasks!$I:$I,"&lt;&gt;")/COUNTIFS(Tasks!$A:$A,$A852,Tasks!$B:$B,$B852,Tasks!$C:$C,$G852)*100,0),"")</f>
        <v/>
      </c>
    </row>
    <row r="853" spans="1:8" ht="15" hidden="1" customHeight="1">
      <c r="A853" t="s">
        <v>97</v>
      </c>
      <c r="B853" t="s">
        <v>98</v>
      </c>
      <c r="C853">
        <v>20</v>
      </c>
      <c r="D853">
        <v>5</v>
      </c>
      <c r="E853">
        <v>3</v>
      </c>
      <c r="F853">
        <v>2</v>
      </c>
      <c r="G853" t="s">
        <v>116</v>
      </c>
      <c r="H853" t="str">
        <f>IFERROR(ROUND(COUNTIFS(Tasks!$A:$A,$A853,Tasks!$B:$B,$B853,Tasks!$C:$C,$G853,Tasks!$I:$I,"&lt;="&amp;INDEX(Weeks!$D:$D,MATCH($C853,Weeks!$A:$A,0)),Tasks!$I:$I,"&lt;&gt;")/COUNTIFS(Tasks!$A:$A,$A853,Tasks!$B:$B,$B853,Tasks!$C:$C,$G853)*100,0),"")</f>
        <v/>
      </c>
    </row>
    <row r="854" spans="1:8" ht="15" hidden="1" customHeight="1">
      <c r="A854" t="s">
        <v>97</v>
      </c>
      <c r="B854" t="s">
        <v>98</v>
      </c>
      <c r="C854">
        <v>21</v>
      </c>
      <c r="D854">
        <v>5</v>
      </c>
      <c r="E854">
        <v>4</v>
      </c>
      <c r="F854">
        <v>2</v>
      </c>
      <c r="G854" t="s">
        <v>116</v>
      </c>
      <c r="H854" t="str">
        <f>IFERROR(ROUND(COUNTIFS(Tasks!$A:$A,$A854,Tasks!$B:$B,$B854,Tasks!$C:$C,$G854,Tasks!$I:$I,"&lt;="&amp;INDEX(Weeks!$D:$D,MATCH($C854,Weeks!$A:$A,0)),Tasks!$I:$I,"&lt;&gt;")/COUNTIFS(Tasks!$A:$A,$A854,Tasks!$B:$B,$B854,Tasks!$C:$C,$G854)*100,0),"")</f>
        <v/>
      </c>
    </row>
    <row r="855" spans="1:8" ht="15" hidden="1" customHeight="1">
      <c r="A855" t="s">
        <v>97</v>
      </c>
      <c r="B855" t="s">
        <v>98</v>
      </c>
      <c r="C855">
        <v>22</v>
      </c>
      <c r="D855">
        <v>5</v>
      </c>
      <c r="E855">
        <v>5</v>
      </c>
      <c r="F855">
        <v>2</v>
      </c>
      <c r="G855" t="s">
        <v>116</v>
      </c>
      <c r="H855" t="str">
        <f>IFERROR(ROUND(COUNTIFS(Tasks!$A:$A,$A855,Tasks!$B:$B,$B855,Tasks!$C:$C,$G855,Tasks!$I:$I,"&lt;="&amp;INDEX(Weeks!$D:$D,MATCH($C855,Weeks!$A:$A,0)),Tasks!$I:$I,"&lt;&gt;")/COUNTIFS(Tasks!$A:$A,$A855,Tasks!$B:$B,$B855,Tasks!$C:$C,$G855)*100,0),"")</f>
        <v/>
      </c>
    </row>
    <row r="856" spans="1:8" ht="15" hidden="1" customHeight="1">
      <c r="A856" t="s">
        <v>97</v>
      </c>
      <c r="B856" t="s">
        <v>98</v>
      </c>
      <c r="C856">
        <v>23</v>
      </c>
      <c r="D856">
        <v>6</v>
      </c>
      <c r="E856">
        <v>1</v>
      </c>
      <c r="F856">
        <v>2</v>
      </c>
      <c r="G856" t="s">
        <v>116</v>
      </c>
      <c r="H856" t="str">
        <f>IFERROR(ROUND(COUNTIFS(Tasks!$A:$A,$A856,Tasks!$B:$B,$B856,Tasks!$C:$C,$G856,Tasks!$I:$I,"&lt;="&amp;INDEX(Weeks!$D:$D,MATCH($C856,Weeks!$A:$A,0)),Tasks!$I:$I,"&lt;&gt;")/COUNTIFS(Tasks!$A:$A,$A856,Tasks!$B:$B,$B856,Tasks!$C:$C,$G856)*100,0),"")</f>
        <v/>
      </c>
    </row>
    <row r="857" spans="1:8" ht="15" hidden="1" customHeight="1">
      <c r="A857" t="s">
        <v>97</v>
      </c>
      <c r="B857" t="s">
        <v>98</v>
      </c>
      <c r="C857">
        <v>24</v>
      </c>
      <c r="D857">
        <v>6</v>
      </c>
      <c r="E857">
        <v>2</v>
      </c>
      <c r="F857">
        <v>2</v>
      </c>
      <c r="G857" t="s">
        <v>116</v>
      </c>
      <c r="H857" t="str">
        <f>IFERROR(ROUND(COUNTIFS(Tasks!$A:$A,$A857,Tasks!$B:$B,$B857,Tasks!$C:$C,$G857,Tasks!$I:$I,"&lt;="&amp;INDEX(Weeks!$D:$D,MATCH($C857,Weeks!$A:$A,0)),Tasks!$I:$I,"&lt;&gt;")/COUNTIFS(Tasks!$A:$A,$A857,Tasks!$B:$B,$B857,Tasks!$C:$C,$G857)*100,0),"")</f>
        <v/>
      </c>
    </row>
    <row r="858" spans="1:8" ht="15" hidden="1" customHeight="1">
      <c r="A858" t="s">
        <v>97</v>
      </c>
      <c r="B858" t="s">
        <v>98</v>
      </c>
      <c r="C858">
        <v>25</v>
      </c>
      <c r="D858">
        <v>6</v>
      </c>
      <c r="E858">
        <v>3</v>
      </c>
      <c r="F858">
        <v>2</v>
      </c>
      <c r="G858" t="s">
        <v>116</v>
      </c>
      <c r="H858" t="str">
        <f>IFERROR(ROUND(COUNTIFS(Tasks!$A:$A,$A858,Tasks!$B:$B,$B858,Tasks!$C:$C,$G858,Tasks!$I:$I,"&lt;="&amp;INDEX(Weeks!$D:$D,MATCH($C858,Weeks!$A:$A,0)),Tasks!$I:$I,"&lt;&gt;")/COUNTIFS(Tasks!$A:$A,$A858,Tasks!$B:$B,$B858,Tasks!$C:$C,$G858)*100,0),"")</f>
        <v/>
      </c>
    </row>
    <row r="859" spans="1:8" ht="15" hidden="1" customHeight="1">
      <c r="A859" t="s">
        <v>97</v>
      </c>
      <c r="B859" t="s">
        <v>98</v>
      </c>
      <c r="C859">
        <v>26</v>
      </c>
      <c r="D859">
        <v>6</v>
      </c>
      <c r="E859">
        <v>4</v>
      </c>
      <c r="F859">
        <v>2</v>
      </c>
      <c r="G859" t="s">
        <v>116</v>
      </c>
      <c r="H859" t="str">
        <f>IFERROR(ROUND(COUNTIFS(Tasks!$A:$A,$A859,Tasks!$B:$B,$B859,Tasks!$C:$C,$G859,Tasks!$I:$I,"&lt;="&amp;INDEX(Weeks!$D:$D,MATCH($C859,Weeks!$A:$A,0)),Tasks!$I:$I,"&lt;&gt;")/COUNTIFS(Tasks!$A:$A,$A859,Tasks!$B:$B,$B859,Tasks!$C:$C,$G859)*100,0),"")</f>
        <v/>
      </c>
    </row>
    <row r="860" spans="1:8" ht="15" hidden="1" customHeight="1">
      <c r="A860" t="s">
        <v>97</v>
      </c>
      <c r="B860" t="s">
        <v>98</v>
      </c>
      <c r="C860">
        <v>27</v>
      </c>
      <c r="D860">
        <v>7</v>
      </c>
      <c r="E860">
        <v>1</v>
      </c>
      <c r="F860">
        <v>2</v>
      </c>
      <c r="G860" t="s">
        <v>116</v>
      </c>
      <c r="H860" t="str">
        <f>IFERROR(ROUND(COUNTIFS(Tasks!$A:$A,$A860,Tasks!$B:$B,$B860,Tasks!$C:$C,$G860,Tasks!$I:$I,"&lt;="&amp;INDEX(Weeks!$D:$D,MATCH($C860,Weeks!$A:$A,0)),Tasks!$I:$I,"&lt;&gt;")/COUNTIFS(Tasks!$A:$A,$A860,Tasks!$B:$B,$B860,Tasks!$C:$C,$G860)*100,0),"")</f>
        <v/>
      </c>
    </row>
    <row r="861" spans="1:8" ht="15" hidden="1" customHeight="1">
      <c r="A861" t="s">
        <v>97</v>
      </c>
      <c r="B861" t="s">
        <v>98</v>
      </c>
      <c r="C861">
        <v>28</v>
      </c>
      <c r="D861">
        <v>7</v>
      </c>
      <c r="E861">
        <v>2</v>
      </c>
      <c r="F861">
        <v>2</v>
      </c>
      <c r="G861" t="s">
        <v>116</v>
      </c>
      <c r="H861" t="str">
        <f>IFERROR(ROUND(COUNTIFS(Tasks!$A:$A,$A861,Tasks!$B:$B,$B861,Tasks!$C:$C,$G861,Tasks!$I:$I,"&lt;="&amp;INDEX(Weeks!$D:$D,MATCH($C861,Weeks!$A:$A,0)),Tasks!$I:$I,"&lt;&gt;")/COUNTIFS(Tasks!$A:$A,$A861,Tasks!$B:$B,$B861,Tasks!$C:$C,$G861)*100,0),"")</f>
        <v/>
      </c>
    </row>
    <row r="862" spans="1:8" ht="15" hidden="1" customHeight="1">
      <c r="A862" t="s">
        <v>97</v>
      </c>
      <c r="B862" t="s">
        <v>98</v>
      </c>
      <c r="C862">
        <v>29</v>
      </c>
      <c r="D862">
        <v>7</v>
      </c>
      <c r="E862">
        <v>3</v>
      </c>
      <c r="F862">
        <v>2</v>
      </c>
      <c r="G862" t="s">
        <v>116</v>
      </c>
      <c r="H862" t="str">
        <f>IFERROR(ROUND(COUNTIFS(Tasks!$A:$A,$A862,Tasks!$B:$B,$B862,Tasks!$C:$C,$G862,Tasks!$I:$I,"&lt;="&amp;INDEX(Weeks!$D:$D,MATCH($C862,Weeks!$A:$A,0)),Tasks!$I:$I,"&lt;&gt;")/COUNTIFS(Tasks!$A:$A,$A862,Tasks!$B:$B,$B862,Tasks!$C:$C,$G862)*100,0),"")</f>
        <v/>
      </c>
    </row>
    <row r="863" spans="1:8" ht="15" hidden="1" customHeight="1">
      <c r="A863" t="s">
        <v>97</v>
      </c>
      <c r="B863" t="s">
        <v>98</v>
      </c>
      <c r="C863">
        <v>30</v>
      </c>
      <c r="D863">
        <v>7</v>
      </c>
      <c r="E863">
        <v>4</v>
      </c>
      <c r="F863">
        <v>2</v>
      </c>
      <c r="G863" t="s">
        <v>116</v>
      </c>
      <c r="H863" t="str">
        <f>IFERROR(ROUND(COUNTIFS(Tasks!$A:$A,$A863,Tasks!$B:$B,$B863,Tasks!$C:$C,$G863,Tasks!$I:$I,"&lt;="&amp;INDEX(Weeks!$D:$D,MATCH($C863,Weeks!$A:$A,0)),Tasks!$I:$I,"&lt;&gt;")/COUNTIFS(Tasks!$A:$A,$A863,Tasks!$B:$B,$B863,Tasks!$C:$C,$G863)*100,0),"")</f>
        <v/>
      </c>
    </row>
    <row r="864" spans="1:8" ht="15" hidden="1" customHeight="1">
      <c r="A864" t="s">
        <v>97</v>
      </c>
      <c r="B864" t="s">
        <v>98</v>
      </c>
      <c r="C864">
        <v>31</v>
      </c>
      <c r="D864">
        <v>8</v>
      </c>
      <c r="E864">
        <v>1</v>
      </c>
      <c r="F864">
        <v>2</v>
      </c>
      <c r="G864" t="s">
        <v>116</v>
      </c>
      <c r="H864" t="str">
        <f>IFERROR(ROUND(COUNTIFS(Tasks!$A:$A,$A864,Tasks!$B:$B,$B864,Tasks!$C:$C,$G864,Tasks!$I:$I,"&lt;="&amp;INDEX(Weeks!$D:$D,MATCH($C864,Weeks!$A:$A,0)),Tasks!$I:$I,"&lt;&gt;")/COUNTIFS(Tasks!$A:$A,$A864,Tasks!$B:$B,$B864,Tasks!$C:$C,$G864)*100,0),"")</f>
        <v/>
      </c>
    </row>
    <row r="865" spans="1:8" ht="15" hidden="1" customHeight="1">
      <c r="A865" t="s">
        <v>97</v>
      </c>
      <c r="B865" t="s">
        <v>98</v>
      </c>
      <c r="C865">
        <v>32</v>
      </c>
      <c r="D865">
        <v>8</v>
      </c>
      <c r="E865">
        <v>2</v>
      </c>
      <c r="F865">
        <v>2</v>
      </c>
      <c r="G865" t="s">
        <v>116</v>
      </c>
      <c r="H865" t="str">
        <f>IFERROR(ROUND(COUNTIFS(Tasks!$A:$A,$A865,Tasks!$B:$B,$B865,Tasks!$C:$C,$G865,Tasks!$I:$I,"&lt;="&amp;INDEX(Weeks!$D:$D,MATCH($C865,Weeks!$A:$A,0)),Tasks!$I:$I,"&lt;&gt;")/COUNTIFS(Tasks!$A:$A,$A865,Tasks!$B:$B,$B865,Tasks!$C:$C,$G865)*100,0),"")</f>
        <v/>
      </c>
    </row>
    <row r="866" spans="1:8" ht="15" hidden="1" customHeight="1">
      <c r="A866" t="s">
        <v>97</v>
      </c>
      <c r="B866" t="s">
        <v>98</v>
      </c>
      <c r="C866">
        <v>33</v>
      </c>
      <c r="D866">
        <v>8</v>
      </c>
      <c r="E866">
        <v>3</v>
      </c>
      <c r="F866">
        <v>2</v>
      </c>
      <c r="G866" t="s">
        <v>116</v>
      </c>
      <c r="H866" t="str">
        <f>IFERROR(ROUND(COUNTIFS(Tasks!$A:$A,$A866,Tasks!$B:$B,$B866,Tasks!$C:$C,$G866,Tasks!$I:$I,"&lt;="&amp;INDEX(Weeks!$D:$D,MATCH($C866,Weeks!$A:$A,0)),Tasks!$I:$I,"&lt;&gt;")/COUNTIFS(Tasks!$A:$A,$A866,Tasks!$B:$B,$B866,Tasks!$C:$C,$G866)*100,0),"")</f>
        <v/>
      </c>
    </row>
    <row r="867" spans="1:8" ht="15" hidden="1" customHeight="1">
      <c r="A867" t="s">
        <v>97</v>
      </c>
      <c r="B867" t="s">
        <v>98</v>
      </c>
      <c r="C867">
        <v>34</v>
      </c>
      <c r="D867">
        <v>8</v>
      </c>
      <c r="E867">
        <v>4</v>
      </c>
      <c r="F867">
        <v>2</v>
      </c>
      <c r="G867" t="s">
        <v>116</v>
      </c>
      <c r="H867" t="str">
        <f>IFERROR(ROUND(COUNTIFS(Tasks!$A:$A,$A867,Tasks!$B:$B,$B867,Tasks!$C:$C,$G867,Tasks!$I:$I,"&lt;="&amp;INDEX(Weeks!$D:$D,MATCH($C867,Weeks!$A:$A,0)),Tasks!$I:$I,"&lt;&gt;")/COUNTIFS(Tasks!$A:$A,$A867,Tasks!$B:$B,$B867,Tasks!$C:$C,$G867)*100,0),"")</f>
        <v/>
      </c>
    </row>
    <row r="868" spans="1:8" ht="15" hidden="1" customHeight="1">
      <c r="A868" t="s">
        <v>97</v>
      </c>
      <c r="B868" t="s">
        <v>98</v>
      </c>
      <c r="C868">
        <v>35</v>
      </c>
      <c r="D868">
        <v>8</v>
      </c>
      <c r="E868">
        <v>5</v>
      </c>
      <c r="F868">
        <v>2</v>
      </c>
      <c r="G868" t="s">
        <v>116</v>
      </c>
      <c r="H868" t="str">
        <f>IFERROR(ROUND(COUNTIFS(Tasks!$A:$A,$A868,Tasks!$B:$B,$B868,Tasks!$C:$C,$G868,Tasks!$I:$I,"&lt;="&amp;INDEX(Weeks!$D:$D,MATCH($C868,Weeks!$A:$A,0)),Tasks!$I:$I,"&lt;&gt;")/COUNTIFS(Tasks!$A:$A,$A868,Tasks!$B:$B,$B868,Tasks!$C:$C,$G868)*100,0),"")</f>
        <v/>
      </c>
    </row>
    <row r="869" spans="1:8" ht="15" hidden="1" customHeight="1">
      <c r="A869" t="s">
        <v>97</v>
      </c>
      <c r="B869" t="s">
        <v>98</v>
      </c>
      <c r="C869">
        <v>36</v>
      </c>
      <c r="D869">
        <v>9</v>
      </c>
      <c r="E869">
        <v>1</v>
      </c>
      <c r="F869">
        <v>2</v>
      </c>
      <c r="G869" t="s">
        <v>116</v>
      </c>
      <c r="H869" t="str">
        <f>IFERROR(ROUND(COUNTIFS(Tasks!$A:$A,$A869,Tasks!$B:$B,$B869,Tasks!$C:$C,$G869,Tasks!$I:$I,"&lt;="&amp;INDEX(Weeks!$D:$D,MATCH($C869,Weeks!$A:$A,0)),Tasks!$I:$I,"&lt;&gt;")/COUNTIFS(Tasks!$A:$A,$A869,Tasks!$B:$B,$B869,Tasks!$C:$C,$G869)*100,0),"")</f>
        <v/>
      </c>
    </row>
    <row r="870" spans="1:8" ht="15" hidden="1" customHeight="1">
      <c r="A870" t="s">
        <v>97</v>
      </c>
      <c r="B870" t="s">
        <v>98</v>
      </c>
      <c r="C870">
        <v>37</v>
      </c>
      <c r="D870">
        <v>9</v>
      </c>
      <c r="E870">
        <v>2</v>
      </c>
      <c r="F870">
        <v>2</v>
      </c>
      <c r="G870" t="s">
        <v>116</v>
      </c>
      <c r="H870" t="str">
        <f>IFERROR(ROUND(COUNTIFS(Tasks!$A:$A,$A870,Tasks!$B:$B,$B870,Tasks!$C:$C,$G870,Tasks!$I:$I,"&lt;="&amp;INDEX(Weeks!$D:$D,MATCH($C870,Weeks!$A:$A,0)),Tasks!$I:$I,"&lt;&gt;")/COUNTIFS(Tasks!$A:$A,$A870,Tasks!$B:$B,$B870,Tasks!$C:$C,$G870)*100,0),"")</f>
        <v/>
      </c>
    </row>
    <row r="871" spans="1:8" ht="15" hidden="1" customHeight="1">
      <c r="A871" t="s">
        <v>97</v>
      </c>
      <c r="B871" t="s">
        <v>98</v>
      </c>
      <c r="C871">
        <v>38</v>
      </c>
      <c r="D871">
        <v>9</v>
      </c>
      <c r="E871">
        <v>3</v>
      </c>
      <c r="F871">
        <v>2</v>
      </c>
      <c r="G871" t="s">
        <v>116</v>
      </c>
      <c r="H871" t="str">
        <f>IFERROR(ROUND(COUNTIFS(Tasks!$A:$A,$A871,Tasks!$B:$B,$B871,Tasks!$C:$C,$G871,Tasks!$I:$I,"&lt;="&amp;INDEX(Weeks!$D:$D,MATCH($C871,Weeks!$A:$A,0)),Tasks!$I:$I,"&lt;&gt;")/COUNTIFS(Tasks!$A:$A,$A871,Tasks!$B:$B,$B871,Tasks!$C:$C,$G871)*100,0),"")</f>
        <v/>
      </c>
    </row>
    <row r="872" spans="1:8" ht="15" hidden="1" customHeight="1">
      <c r="A872" t="s">
        <v>97</v>
      </c>
      <c r="B872" t="s">
        <v>98</v>
      </c>
      <c r="C872">
        <v>39</v>
      </c>
      <c r="D872">
        <v>9</v>
      </c>
      <c r="E872">
        <v>4</v>
      </c>
      <c r="F872">
        <v>2</v>
      </c>
      <c r="G872" t="s">
        <v>116</v>
      </c>
      <c r="H872" t="str">
        <f>IFERROR(ROUND(COUNTIFS(Tasks!$A:$A,$A872,Tasks!$B:$B,$B872,Tasks!$C:$C,$G872,Tasks!$I:$I,"&lt;="&amp;INDEX(Weeks!$D:$D,MATCH($C872,Weeks!$A:$A,0)),Tasks!$I:$I,"&lt;&gt;")/COUNTIFS(Tasks!$A:$A,$A872,Tasks!$B:$B,$B872,Tasks!$C:$C,$G872)*100,0),"")</f>
        <v/>
      </c>
    </row>
    <row r="873" spans="1:8" ht="15" hidden="1" customHeight="1">
      <c r="A873" t="s">
        <v>97</v>
      </c>
      <c r="B873" t="s">
        <v>98</v>
      </c>
      <c r="C873">
        <v>40</v>
      </c>
      <c r="D873">
        <v>10</v>
      </c>
      <c r="E873">
        <v>1</v>
      </c>
      <c r="F873">
        <v>2</v>
      </c>
      <c r="G873" t="s">
        <v>116</v>
      </c>
      <c r="H873" t="str">
        <f>IFERROR(ROUND(COUNTIFS(Tasks!$A:$A,$A873,Tasks!$B:$B,$B873,Tasks!$C:$C,$G873,Tasks!$I:$I,"&lt;="&amp;INDEX(Weeks!$D:$D,MATCH($C873,Weeks!$A:$A,0)),Tasks!$I:$I,"&lt;&gt;")/COUNTIFS(Tasks!$A:$A,$A873,Tasks!$B:$B,$B873,Tasks!$C:$C,$G873)*100,0),"")</f>
        <v/>
      </c>
    </row>
    <row r="874" spans="1:8" ht="15" hidden="1" customHeight="1">
      <c r="A874" t="s">
        <v>97</v>
      </c>
      <c r="B874" t="s">
        <v>98</v>
      </c>
      <c r="C874">
        <v>41</v>
      </c>
      <c r="D874">
        <v>10</v>
      </c>
      <c r="E874">
        <v>2</v>
      </c>
      <c r="F874">
        <v>2</v>
      </c>
      <c r="G874" t="s">
        <v>116</v>
      </c>
      <c r="H874" t="str">
        <f>IFERROR(ROUND(COUNTIFS(Tasks!$A:$A,$A874,Tasks!$B:$B,$B874,Tasks!$C:$C,$G874,Tasks!$I:$I,"&lt;="&amp;INDEX(Weeks!$D:$D,MATCH($C874,Weeks!$A:$A,0)),Tasks!$I:$I,"&lt;&gt;")/COUNTIFS(Tasks!$A:$A,$A874,Tasks!$B:$B,$B874,Tasks!$C:$C,$G874)*100,0),"")</f>
        <v/>
      </c>
    </row>
    <row r="875" spans="1:8" ht="15" hidden="1" customHeight="1">
      <c r="A875" t="s">
        <v>97</v>
      </c>
      <c r="B875" t="s">
        <v>98</v>
      </c>
      <c r="C875">
        <v>42</v>
      </c>
      <c r="D875">
        <v>10</v>
      </c>
      <c r="E875">
        <v>3</v>
      </c>
      <c r="F875">
        <v>2</v>
      </c>
      <c r="G875" t="s">
        <v>116</v>
      </c>
      <c r="H875" t="str">
        <f>IFERROR(ROUND(COUNTIFS(Tasks!$A:$A,$A875,Tasks!$B:$B,$B875,Tasks!$C:$C,$G875,Tasks!$I:$I,"&lt;="&amp;INDEX(Weeks!$D:$D,MATCH($C875,Weeks!$A:$A,0)),Tasks!$I:$I,"&lt;&gt;")/COUNTIFS(Tasks!$A:$A,$A875,Tasks!$B:$B,$B875,Tasks!$C:$C,$G875)*100,0),"")</f>
        <v/>
      </c>
    </row>
    <row r="876" spans="1:8" ht="15" hidden="1" customHeight="1">
      <c r="A876" t="s">
        <v>97</v>
      </c>
      <c r="B876" t="s">
        <v>98</v>
      </c>
      <c r="C876">
        <v>43</v>
      </c>
      <c r="D876">
        <v>10</v>
      </c>
      <c r="E876">
        <v>4</v>
      </c>
      <c r="F876">
        <v>2</v>
      </c>
      <c r="G876" t="s">
        <v>116</v>
      </c>
      <c r="H876" t="str">
        <f>IFERROR(ROUND(COUNTIFS(Tasks!$A:$A,$A876,Tasks!$B:$B,$B876,Tasks!$C:$C,$G876,Tasks!$I:$I,"&lt;="&amp;INDEX(Weeks!$D:$D,MATCH($C876,Weeks!$A:$A,0)),Tasks!$I:$I,"&lt;&gt;")/COUNTIFS(Tasks!$A:$A,$A876,Tasks!$B:$B,$B876,Tasks!$C:$C,$G876)*100,0),"")</f>
        <v/>
      </c>
    </row>
    <row r="877" spans="1:8" ht="15" hidden="1" customHeight="1">
      <c r="A877" t="s">
        <v>97</v>
      </c>
      <c r="B877" t="s">
        <v>98</v>
      </c>
      <c r="C877">
        <v>44</v>
      </c>
      <c r="D877">
        <v>10</v>
      </c>
      <c r="E877">
        <v>5</v>
      </c>
      <c r="F877">
        <v>2</v>
      </c>
      <c r="G877" t="s">
        <v>116</v>
      </c>
      <c r="H877" t="str">
        <f>IFERROR(ROUND(COUNTIFS(Tasks!$A:$A,$A877,Tasks!$B:$B,$B877,Tasks!$C:$C,$G877,Tasks!$I:$I,"&lt;="&amp;INDEX(Weeks!$D:$D,MATCH($C877,Weeks!$A:$A,0)),Tasks!$I:$I,"&lt;&gt;")/COUNTIFS(Tasks!$A:$A,$A877,Tasks!$B:$B,$B877,Tasks!$C:$C,$G877)*100,0),"")</f>
        <v/>
      </c>
    </row>
    <row r="878" spans="1:8" ht="15" hidden="1" customHeight="1">
      <c r="A878" t="s">
        <v>97</v>
      </c>
      <c r="B878" t="s">
        <v>98</v>
      </c>
      <c r="C878">
        <v>45</v>
      </c>
      <c r="D878">
        <v>11</v>
      </c>
      <c r="E878">
        <v>1</v>
      </c>
      <c r="F878">
        <v>2</v>
      </c>
      <c r="G878" t="s">
        <v>116</v>
      </c>
      <c r="H878" t="str">
        <f>IFERROR(ROUND(COUNTIFS(Tasks!$A:$A,$A878,Tasks!$B:$B,$B878,Tasks!$C:$C,$G878,Tasks!$I:$I,"&lt;="&amp;INDEX(Weeks!$D:$D,MATCH($C878,Weeks!$A:$A,0)),Tasks!$I:$I,"&lt;&gt;")/COUNTIFS(Tasks!$A:$A,$A878,Tasks!$B:$B,$B878,Tasks!$C:$C,$G878)*100,0),"")</f>
        <v/>
      </c>
    </row>
    <row r="879" spans="1:8" ht="15" hidden="1" customHeight="1">
      <c r="A879" t="s">
        <v>97</v>
      </c>
      <c r="B879" t="s">
        <v>98</v>
      </c>
      <c r="C879">
        <v>46</v>
      </c>
      <c r="D879">
        <v>11</v>
      </c>
      <c r="E879">
        <v>2</v>
      </c>
      <c r="F879">
        <v>2</v>
      </c>
      <c r="G879" t="s">
        <v>116</v>
      </c>
      <c r="H879" t="str">
        <f>IFERROR(ROUND(COUNTIFS(Tasks!$A:$A,$A879,Tasks!$B:$B,$B879,Tasks!$C:$C,$G879,Tasks!$I:$I,"&lt;="&amp;INDEX(Weeks!$D:$D,MATCH($C879,Weeks!$A:$A,0)),Tasks!$I:$I,"&lt;&gt;")/COUNTIFS(Tasks!$A:$A,$A879,Tasks!$B:$B,$B879,Tasks!$C:$C,$G879)*100,0),"")</f>
        <v/>
      </c>
    </row>
    <row r="880" spans="1:8" ht="15" hidden="1" customHeight="1">
      <c r="A880" t="s">
        <v>97</v>
      </c>
      <c r="B880" t="s">
        <v>98</v>
      </c>
      <c r="C880">
        <v>47</v>
      </c>
      <c r="D880">
        <v>11</v>
      </c>
      <c r="E880">
        <v>3</v>
      </c>
      <c r="F880">
        <v>2</v>
      </c>
      <c r="G880" t="s">
        <v>116</v>
      </c>
      <c r="H880" t="str">
        <f>IFERROR(ROUND(COUNTIFS(Tasks!$A:$A,$A880,Tasks!$B:$B,$B880,Tasks!$C:$C,$G880,Tasks!$I:$I,"&lt;="&amp;INDEX(Weeks!$D:$D,MATCH($C880,Weeks!$A:$A,0)),Tasks!$I:$I,"&lt;&gt;")/COUNTIFS(Tasks!$A:$A,$A880,Tasks!$B:$B,$B880,Tasks!$C:$C,$G880)*100,0),"")</f>
        <v/>
      </c>
    </row>
    <row r="881" spans="1:8" ht="15" hidden="1" customHeight="1">
      <c r="A881" t="s">
        <v>97</v>
      </c>
      <c r="B881" t="s">
        <v>98</v>
      </c>
      <c r="C881">
        <v>48</v>
      </c>
      <c r="D881">
        <v>11</v>
      </c>
      <c r="E881">
        <v>4</v>
      </c>
      <c r="F881">
        <v>2</v>
      </c>
      <c r="G881" t="s">
        <v>116</v>
      </c>
      <c r="H881" t="str">
        <f>IFERROR(ROUND(COUNTIFS(Tasks!$A:$A,$A881,Tasks!$B:$B,$B881,Tasks!$C:$C,$G881,Tasks!$I:$I,"&lt;="&amp;INDEX(Weeks!$D:$D,MATCH($C881,Weeks!$A:$A,0)),Tasks!$I:$I,"&lt;&gt;")/COUNTIFS(Tasks!$A:$A,$A881,Tasks!$B:$B,$B881,Tasks!$C:$C,$G881)*100,0),"")</f>
        <v/>
      </c>
    </row>
    <row r="882" spans="1:8" ht="15" hidden="1" customHeight="1">
      <c r="A882" t="s">
        <v>97</v>
      </c>
      <c r="B882" t="s">
        <v>98</v>
      </c>
      <c r="C882">
        <v>49</v>
      </c>
      <c r="D882">
        <v>12</v>
      </c>
      <c r="E882">
        <v>1</v>
      </c>
      <c r="F882">
        <v>2</v>
      </c>
      <c r="G882" t="s">
        <v>116</v>
      </c>
      <c r="H882" t="str">
        <f>IFERROR(ROUND(COUNTIFS(Tasks!$A:$A,$A882,Tasks!$B:$B,$B882,Tasks!$C:$C,$G882,Tasks!$I:$I,"&lt;="&amp;INDEX(Weeks!$D:$D,MATCH($C882,Weeks!$A:$A,0)),Tasks!$I:$I,"&lt;&gt;")/COUNTIFS(Tasks!$A:$A,$A882,Tasks!$B:$B,$B882,Tasks!$C:$C,$G882)*100,0),"")</f>
        <v/>
      </c>
    </row>
    <row r="883" spans="1:8" ht="15" hidden="1" customHeight="1">
      <c r="A883" t="s">
        <v>97</v>
      </c>
      <c r="B883" t="s">
        <v>98</v>
      </c>
      <c r="C883">
        <v>50</v>
      </c>
      <c r="D883">
        <v>12</v>
      </c>
      <c r="E883">
        <v>2</v>
      </c>
      <c r="F883">
        <v>2</v>
      </c>
      <c r="G883" t="s">
        <v>116</v>
      </c>
      <c r="H883" t="str">
        <f>IFERROR(ROUND(COUNTIFS(Tasks!$A:$A,$A883,Tasks!$B:$B,$B883,Tasks!$C:$C,$G883,Tasks!$I:$I,"&lt;="&amp;INDEX(Weeks!$D:$D,MATCH($C883,Weeks!$A:$A,0)),Tasks!$I:$I,"&lt;&gt;")/COUNTIFS(Tasks!$A:$A,$A883,Tasks!$B:$B,$B883,Tasks!$C:$C,$G883)*100,0),"")</f>
        <v/>
      </c>
    </row>
    <row r="884" spans="1:8" ht="15" hidden="1" customHeight="1">
      <c r="A884" t="s">
        <v>97</v>
      </c>
      <c r="B884" t="s">
        <v>98</v>
      </c>
      <c r="C884">
        <v>51</v>
      </c>
      <c r="D884">
        <v>12</v>
      </c>
      <c r="E884">
        <v>3</v>
      </c>
      <c r="F884">
        <v>2</v>
      </c>
      <c r="G884" t="s">
        <v>116</v>
      </c>
      <c r="H884" t="str">
        <f>IFERROR(ROUND(COUNTIFS(Tasks!$A:$A,$A884,Tasks!$B:$B,$B884,Tasks!$C:$C,$G884,Tasks!$I:$I,"&lt;="&amp;INDEX(Weeks!$D:$D,MATCH($C884,Weeks!$A:$A,0)),Tasks!$I:$I,"&lt;&gt;")/COUNTIFS(Tasks!$A:$A,$A884,Tasks!$B:$B,$B884,Tasks!$C:$C,$G884)*100,0),"")</f>
        <v/>
      </c>
    </row>
    <row r="885" spans="1:8" ht="15" hidden="1" customHeight="1">
      <c r="A885" t="s">
        <v>97</v>
      </c>
      <c r="B885" t="s">
        <v>98</v>
      </c>
      <c r="C885">
        <v>52</v>
      </c>
      <c r="D885">
        <v>12</v>
      </c>
      <c r="E885">
        <v>4</v>
      </c>
      <c r="F885">
        <v>2</v>
      </c>
      <c r="G885" t="s">
        <v>116</v>
      </c>
      <c r="H885" t="str">
        <f>IFERROR(ROUND(COUNTIFS(Tasks!$A:$A,$A885,Tasks!$B:$B,$B885,Tasks!$C:$C,$G885,Tasks!$I:$I,"&lt;="&amp;INDEX(Weeks!$D:$D,MATCH($C885,Weeks!$A:$A,0)),Tasks!$I:$I,"&lt;&gt;")/COUNTIFS(Tasks!$A:$A,$A885,Tasks!$B:$B,$B885,Tasks!$C:$C,$G885)*100,0),"")</f>
        <v/>
      </c>
    </row>
    <row r="886" spans="1:8" ht="15" hidden="1" customHeight="1">
      <c r="A886" t="s">
        <v>97</v>
      </c>
      <c r="B886" t="s">
        <v>98</v>
      </c>
      <c r="C886">
        <v>1</v>
      </c>
      <c r="D886">
        <v>1</v>
      </c>
      <c r="E886">
        <v>1</v>
      </c>
      <c r="F886">
        <v>3</v>
      </c>
      <c r="G886" t="s">
        <v>117</v>
      </c>
      <c r="H886" t="str">
        <f>IFERROR(ROUND(COUNTIFS(Tasks!$A:$A,$A886,Tasks!$B:$B,$B886,Tasks!$C:$C,$G886,Tasks!$I:$I,"&lt;="&amp;INDEX(Weeks!$D:$D,MATCH($C886,Weeks!$A:$A,0)),Tasks!$I:$I,"&lt;&gt;")/COUNTIFS(Tasks!$A:$A,$A886,Tasks!$B:$B,$B886,Tasks!$C:$C,$G886)*100,0),"")</f>
        <v/>
      </c>
    </row>
    <row r="887" spans="1:8" ht="15" hidden="1" customHeight="1">
      <c r="A887" t="s">
        <v>97</v>
      </c>
      <c r="B887" t="s">
        <v>98</v>
      </c>
      <c r="C887">
        <v>2</v>
      </c>
      <c r="D887">
        <v>1</v>
      </c>
      <c r="E887">
        <v>2</v>
      </c>
      <c r="F887">
        <v>3</v>
      </c>
      <c r="G887" t="s">
        <v>117</v>
      </c>
      <c r="H887" t="str">
        <f>IFERROR(ROUND(COUNTIFS(Tasks!$A:$A,$A887,Tasks!$B:$B,$B887,Tasks!$C:$C,$G887,Tasks!$I:$I,"&lt;="&amp;INDEX(Weeks!$D:$D,MATCH($C887,Weeks!$A:$A,0)),Tasks!$I:$I,"&lt;&gt;")/COUNTIFS(Tasks!$A:$A,$A887,Tasks!$B:$B,$B887,Tasks!$C:$C,$G887)*100,0),"")</f>
        <v/>
      </c>
    </row>
    <row r="888" spans="1:8" ht="15" hidden="1" customHeight="1">
      <c r="A888" t="s">
        <v>97</v>
      </c>
      <c r="B888" t="s">
        <v>98</v>
      </c>
      <c r="C888">
        <v>3</v>
      </c>
      <c r="D888">
        <v>1</v>
      </c>
      <c r="E888">
        <v>3</v>
      </c>
      <c r="F888">
        <v>3</v>
      </c>
      <c r="G888" t="s">
        <v>117</v>
      </c>
      <c r="H888" t="str">
        <f>IFERROR(ROUND(COUNTIFS(Tasks!$A:$A,$A888,Tasks!$B:$B,$B888,Tasks!$C:$C,$G888,Tasks!$I:$I,"&lt;="&amp;INDEX(Weeks!$D:$D,MATCH($C888,Weeks!$A:$A,0)),Tasks!$I:$I,"&lt;&gt;")/COUNTIFS(Tasks!$A:$A,$A888,Tasks!$B:$B,$B888,Tasks!$C:$C,$G888)*100,0),"")</f>
        <v/>
      </c>
    </row>
    <row r="889" spans="1:8" ht="15" hidden="1" customHeight="1">
      <c r="A889" t="s">
        <v>97</v>
      </c>
      <c r="B889" t="s">
        <v>98</v>
      </c>
      <c r="C889">
        <v>4</v>
      </c>
      <c r="D889">
        <v>1</v>
      </c>
      <c r="E889">
        <v>4</v>
      </c>
      <c r="F889">
        <v>3</v>
      </c>
      <c r="G889" t="s">
        <v>117</v>
      </c>
      <c r="H889" t="str">
        <f>IFERROR(ROUND(COUNTIFS(Tasks!$A:$A,$A889,Tasks!$B:$B,$B889,Tasks!$C:$C,$G889,Tasks!$I:$I,"&lt;="&amp;INDEX(Weeks!$D:$D,MATCH($C889,Weeks!$A:$A,0)),Tasks!$I:$I,"&lt;&gt;")/COUNTIFS(Tasks!$A:$A,$A889,Tasks!$B:$B,$B889,Tasks!$C:$C,$G889)*100,0),"")</f>
        <v/>
      </c>
    </row>
    <row r="890" spans="1:8" ht="15" hidden="1" customHeight="1">
      <c r="A890" t="s">
        <v>97</v>
      </c>
      <c r="B890" t="s">
        <v>98</v>
      </c>
      <c r="C890">
        <v>5</v>
      </c>
      <c r="D890">
        <v>1</v>
      </c>
      <c r="E890">
        <v>5</v>
      </c>
      <c r="F890">
        <v>3</v>
      </c>
      <c r="G890" t="s">
        <v>117</v>
      </c>
      <c r="H890" t="str">
        <f>IFERROR(ROUND(COUNTIFS(Tasks!$A:$A,$A890,Tasks!$B:$B,$B890,Tasks!$C:$C,$G890,Tasks!$I:$I,"&lt;="&amp;INDEX(Weeks!$D:$D,MATCH($C890,Weeks!$A:$A,0)),Tasks!$I:$I,"&lt;&gt;")/COUNTIFS(Tasks!$A:$A,$A890,Tasks!$B:$B,$B890,Tasks!$C:$C,$G890)*100,0),"")</f>
        <v/>
      </c>
    </row>
    <row r="891" spans="1:8" ht="15" hidden="1" customHeight="1">
      <c r="A891" t="s">
        <v>97</v>
      </c>
      <c r="B891" t="s">
        <v>98</v>
      </c>
      <c r="C891">
        <v>6</v>
      </c>
      <c r="D891">
        <v>2</v>
      </c>
      <c r="E891">
        <v>1</v>
      </c>
      <c r="F891">
        <v>3</v>
      </c>
      <c r="G891" t="s">
        <v>117</v>
      </c>
      <c r="H891" t="str">
        <f>IFERROR(ROUND(COUNTIFS(Tasks!$A:$A,$A891,Tasks!$B:$B,$B891,Tasks!$C:$C,$G891,Tasks!$I:$I,"&lt;="&amp;INDEX(Weeks!$D:$D,MATCH($C891,Weeks!$A:$A,0)),Tasks!$I:$I,"&lt;&gt;")/COUNTIFS(Tasks!$A:$A,$A891,Tasks!$B:$B,$B891,Tasks!$C:$C,$G891)*100,0),"")</f>
        <v/>
      </c>
    </row>
    <row r="892" spans="1:8" ht="15" hidden="1" customHeight="1">
      <c r="A892" t="s">
        <v>97</v>
      </c>
      <c r="B892" t="s">
        <v>98</v>
      </c>
      <c r="C892">
        <v>7</v>
      </c>
      <c r="D892">
        <v>2</v>
      </c>
      <c r="E892">
        <v>2</v>
      </c>
      <c r="F892">
        <v>3</v>
      </c>
      <c r="G892" t="s">
        <v>117</v>
      </c>
      <c r="H892" t="str">
        <f>IFERROR(ROUND(COUNTIFS(Tasks!$A:$A,$A892,Tasks!$B:$B,$B892,Tasks!$C:$C,$G892,Tasks!$I:$I,"&lt;="&amp;INDEX(Weeks!$D:$D,MATCH($C892,Weeks!$A:$A,0)),Tasks!$I:$I,"&lt;&gt;")/COUNTIFS(Tasks!$A:$A,$A892,Tasks!$B:$B,$B892,Tasks!$C:$C,$G892)*100,0),"")</f>
        <v/>
      </c>
    </row>
    <row r="893" spans="1:8" ht="15" hidden="1" customHeight="1">
      <c r="A893" t="s">
        <v>97</v>
      </c>
      <c r="B893" t="s">
        <v>98</v>
      </c>
      <c r="C893">
        <v>8</v>
      </c>
      <c r="D893">
        <v>2</v>
      </c>
      <c r="E893">
        <v>3</v>
      </c>
      <c r="F893">
        <v>3</v>
      </c>
      <c r="G893" t="s">
        <v>117</v>
      </c>
      <c r="H893" t="str">
        <f>IFERROR(ROUND(COUNTIFS(Tasks!$A:$A,$A893,Tasks!$B:$B,$B893,Tasks!$C:$C,$G893,Tasks!$I:$I,"&lt;="&amp;INDEX(Weeks!$D:$D,MATCH($C893,Weeks!$A:$A,0)),Tasks!$I:$I,"&lt;&gt;")/COUNTIFS(Tasks!$A:$A,$A893,Tasks!$B:$B,$B893,Tasks!$C:$C,$G893)*100,0),"")</f>
        <v/>
      </c>
    </row>
    <row r="894" spans="1:8" ht="15" hidden="1" customHeight="1">
      <c r="A894" t="s">
        <v>97</v>
      </c>
      <c r="B894" t="s">
        <v>98</v>
      </c>
      <c r="C894">
        <v>9</v>
      </c>
      <c r="D894">
        <v>2</v>
      </c>
      <c r="E894">
        <v>4</v>
      </c>
      <c r="F894">
        <v>3</v>
      </c>
      <c r="G894" t="s">
        <v>117</v>
      </c>
      <c r="H894" t="str">
        <f>IFERROR(ROUND(COUNTIFS(Tasks!$A:$A,$A894,Tasks!$B:$B,$B894,Tasks!$C:$C,$G894,Tasks!$I:$I,"&lt;="&amp;INDEX(Weeks!$D:$D,MATCH($C894,Weeks!$A:$A,0)),Tasks!$I:$I,"&lt;&gt;")/COUNTIFS(Tasks!$A:$A,$A894,Tasks!$B:$B,$B894,Tasks!$C:$C,$G894)*100,0),"")</f>
        <v/>
      </c>
    </row>
    <row r="895" spans="1:8" ht="15" hidden="1" customHeight="1">
      <c r="A895" t="s">
        <v>97</v>
      </c>
      <c r="B895" t="s">
        <v>98</v>
      </c>
      <c r="C895">
        <v>10</v>
      </c>
      <c r="D895">
        <v>3</v>
      </c>
      <c r="E895">
        <v>1</v>
      </c>
      <c r="F895">
        <v>3</v>
      </c>
      <c r="G895" t="s">
        <v>117</v>
      </c>
      <c r="H895" t="str">
        <f>IFERROR(ROUND(COUNTIFS(Tasks!$A:$A,$A895,Tasks!$B:$B,$B895,Tasks!$C:$C,$G895,Tasks!$I:$I,"&lt;="&amp;INDEX(Weeks!$D:$D,MATCH($C895,Weeks!$A:$A,0)),Tasks!$I:$I,"&lt;&gt;")/COUNTIFS(Tasks!$A:$A,$A895,Tasks!$B:$B,$B895,Tasks!$C:$C,$G895)*100,0),"")</f>
        <v/>
      </c>
    </row>
    <row r="896" spans="1:8" ht="15" hidden="1" customHeight="1">
      <c r="A896" t="s">
        <v>97</v>
      </c>
      <c r="B896" t="s">
        <v>98</v>
      </c>
      <c r="C896">
        <v>11</v>
      </c>
      <c r="D896">
        <v>3</v>
      </c>
      <c r="E896">
        <v>2</v>
      </c>
      <c r="F896">
        <v>3</v>
      </c>
      <c r="G896" t="s">
        <v>117</v>
      </c>
      <c r="H896" t="str">
        <f>IFERROR(ROUND(COUNTIFS(Tasks!$A:$A,$A896,Tasks!$B:$B,$B896,Tasks!$C:$C,$G896,Tasks!$I:$I,"&lt;="&amp;INDEX(Weeks!$D:$D,MATCH($C896,Weeks!$A:$A,0)),Tasks!$I:$I,"&lt;&gt;")/COUNTIFS(Tasks!$A:$A,$A896,Tasks!$B:$B,$B896,Tasks!$C:$C,$G896)*100,0),"")</f>
        <v/>
      </c>
    </row>
    <row r="897" spans="1:8" ht="15" hidden="1" customHeight="1">
      <c r="A897" t="s">
        <v>97</v>
      </c>
      <c r="B897" t="s">
        <v>98</v>
      </c>
      <c r="C897">
        <v>12</v>
      </c>
      <c r="D897">
        <v>3</v>
      </c>
      <c r="E897">
        <v>3</v>
      </c>
      <c r="F897">
        <v>3</v>
      </c>
      <c r="G897" t="s">
        <v>117</v>
      </c>
      <c r="H897" t="str">
        <f>IFERROR(ROUND(COUNTIFS(Tasks!$A:$A,$A897,Tasks!$B:$B,$B897,Tasks!$C:$C,$G897,Tasks!$I:$I,"&lt;="&amp;INDEX(Weeks!$D:$D,MATCH($C897,Weeks!$A:$A,0)),Tasks!$I:$I,"&lt;&gt;")/COUNTIFS(Tasks!$A:$A,$A897,Tasks!$B:$B,$B897,Tasks!$C:$C,$G897)*100,0),"")</f>
        <v/>
      </c>
    </row>
    <row r="898" spans="1:8" ht="15" hidden="1" customHeight="1">
      <c r="A898" t="s">
        <v>97</v>
      </c>
      <c r="B898" t="s">
        <v>98</v>
      </c>
      <c r="C898">
        <v>13</v>
      </c>
      <c r="D898">
        <v>3</v>
      </c>
      <c r="E898">
        <v>4</v>
      </c>
      <c r="F898">
        <v>3</v>
      </c>
      <c r="G898" t="s">
        <v>117</v>
      </c>
      <c r="H898" t="str">
        <f>IFERROR(ROUND(COUNTIFS(Tasks!$A:$A,$A898,Tasks!$B:$B,$B898,Tasks!$C:$C,$G898,Tasks!$I:$I,"&lt;="&amp;INDEX(Weeks!$D:$D,MATCH($C898,Weeks!$A:$A,0)),Tasks!$I:$I,"&lt;&gt;")/COUNTIFS(Tasks!$A:$A,$A898,Tasks!$B:$B,$B898,Tasks!$C:$C,$G898)*100,0),"")</f>
        <v/>
      </c>
    </row>
    <row r="899" spans="1:8" ht="15" hidden="1" customHeight="1">
      <c r="A899" t="s">
        <v>97</v>
      </c>
      <c r="B899" t="s">
        <v>98</v>
      </c>
      <c r="C899">
        <v>14</v>
      </c>
      <c r="D899">
        <v>4</v>
      </c>
      <c r="E899">
        <v>1</v>
      </c>
      <c r="F899">
        <v>3</v>
      </c>
      <c r="G899" t="s">
        <v>117</v>
      </c>
      <c r="H899" t="str">
        <f>IFERROR(ROUND(COUNTIFS(Tasks!$A:$A,$A899,Tasks!$B:$B,$B899,Tasks!$C:$C,$G899,Tasks!$I:$I,"&lt;="&amp;INDEX(Weeks!$D:$D,MATCH($C899,Weeks!$A:$A,0)),Tasks!$I:$I,"&lt;&gt;")/COUNTIFS(Tasks!$A:$A,$A899,Tasks!$B:$B,$B899,Tasks!$C:$C,$G899)*100,0),"")</f>
        <v/>
      </c>
    </row>
    <row r="900" spans="1:8" ht="15" hidden="1" customHeight="1">
      <c r="A900" t="s">
        <v>97</v>
      </c>
      <c r="B900" t="s">
        <v>98</v>
      </c>
      <c r="C900">
        <v>15</v>
      </c>
      <c r="D900">
        <v>4</v>
      </c>
      <c r="E900">
        <v>2</v>
      </c>
      <c r="F900">
        <v>3</v>
      </c>
      <c r="G900" t="s">
        <v>117</v>
      </c>
      <c r="H900" t="str">
        <f>IFERROR(ROUND(COUNTIFS(Tasks!$A:$A,$A900,Tasks!$B:$B,$B900,Tasks!$C:$C,$G900,Tasks!$I:$I,"&lt;="&amp;INDEX(Weeks!$D:$D,MATCH($C900,Weeks!$A:$A,0)),Tasks!$I:$I,"&lt;&gt;")/COUNTIFS(Tasks!$A:$A,$A900,Tasks!$B:$B,$B900,Tasks!$C:$C,$G900)*100,0),"")</f>
        <v/>
      </c>
    </row>
    <row r="901" spans="1:8" ht="15" hidden="1" customHeight="1">
      <c r="A901" t="s">
        <v>97</v>
      </c>
      <c r="B901" t="s">
        <v>98</v>
      </c>
      <c r="C901">
        <v>16</v>
      </c>
      <c r="D901">
        <v>4</v>
      </c>
      <c r="E901">
        <v>3</v>
      </c>
      <c r="F901">
        <v>3</v>
      </c>
      <c r="G901" t="s">
        <v>117</v>
      </c>
      <c r="H901" t="str">
        <f>IFERROR(ROUND(COUNTIFS(Tasks!$A:$A,$A901,Tasks!$B:$B,$B901,Tasks!$C:$C,$G901,Tasks!$I:$I,"&lt;="&amp;INDEX(Weeks!$D:$D,MATCH($C901,Weeks!$A:$A,0)),Tasks!$I:$I,"&lt;&gt;")/COUNTIFS(Tasks!$A:$A,$A901,Tasks!$B:$B,$B901,Tasks!$C:$C,$G901)*100,0),"")</f>
        <v/>
      </c>
    </row>
    <row r="902" spans="1:8" ht="15" hidden="1" customHeight="1">
      <c r="A902" t="s">
        <v>97</v>
      </c>
      <c r="B902" t="s">
        <v>98</v>
      </c>
      <c r="C902">
        <v>17</v>
      </c>
      <c r="D902">
        <v>4</v>
      </c>
      <c r="E902">
        <v>4</v>
      </c>
      <c r="F902">
        <v>3</v>
      </c>
      <c r="G902" t="s">
        <v>117</v>
      </c>
      <c r="H902" t="str">
        <f>IFERROR(ROUND(COUNTIFS(Tasks!$A:$A,$A902,Tasks!$B:$B,$B902,Tasks!$C:$C,$G902,Tasks!$I:$I,"&lt;="&amp;INDEX(Weeks!$D:$D,MATCH($C902,Weeks!$A:$A,0)),Tasks!$I:$I,"&lt;&gt;")/COUNTIFS(Tasks!$A:$A,$A902,Tasks!$B:$B,$B902,Tasks!$C:$C,$G902)*100,0),"")</f>
        <v/>
      </c>
    </row>
    <row r="903" spans="1:8" ht="15" hidden="1" customHeight="1">
      <c r="A903" t="s">
        <v>97</v>
      </c>
      <c r="B903" t="s">
        <v>98</v>
      </c>
      <c r="C903">
        <v>18</v>
      </c>
      <c r="D903">
        <v>5</v>
      </c>
      <c r="E903">
        <v>1</v>
      </c>
      <c r="F903">
        <v>3</v>
      </c>
      <c r="G903" t="s">
        <v>117</v>
      </c>
      <c r="H903" t="str">
        <f>IFERROR(ROUND(COUNTIFS(Tasks!$A:$A,$A903,Tasks!$B:$B,$B903,Tasks!$C:$C,$G903,Tasks!$I:$I,"&lt;="&amp;INDEX(Weeks!$D:$D,MATCH($C903,Weeks!$A:$A,0)),Tasks!$I:$I,"&lt;&gt;")/COUNTIFS(Tasks!$A:$A,$A903,Tasks!$B:$B,$B903,Tasks!$C:$C,$G903)*100,0),"")</f>
        <v/>
      </c>
    </row>
    <row r="904" spans="1:8" ht="15" hidden="1" customHeight="1">
      <c r="A904" t="s">
        <v>97</v>
      </c>
      <c r="B904" t="s">
        <v>98</v>
      </c>
      <c r="C904">
        <v>19</v>
      </c>
      <c r="D904">
        <v>5</v>
      </c>
      <c r="E904">
        <v>2</v>
      </c>
      <c r="F904">
        <v>3</v>
      </c>
      <c r="G904" t="s">
        <v>117</v>
      </c>
      <c r="H904" t="str">
        <f>IFERROR(ROUND(COUNTIFS(Tasks!$A:$A,$A904,Tasks!$B:$B,$B904,Tasks!$C:$C,$G904,Tasks!$I:$I,"&lt;="&amp;INDEX(Weeks!$D:$D,MATCH($C904,Weeks!$A:$A,0)),Tasks!$I:$I,"&lt;&gt;")/COUNTIFS(Tasks!$A:$A,$A904,Tasks!$B:$B,$B904,Tasks!$C:$C,$G904)*100,0),"")</f>
        <v/>
      </c>
    </row>
    <row r="905" spans="1:8" ht="15" hidden="1" customHeight="1">
      <c r="A905" t="s">
        <v>97</v>
      </c>
      <c r="B905" t="s">
        <v>98</v>
      </c>
      <c r="C905">
        <v>20</v>
      </c>
      <c r="D905">
        <v>5</v>
      </c>
      <c r="E905">
        <v>3</v>
      </c>
      <c r="F905">
        <v>3</v>
      </c>
      <c r="G905" t="s">
        <v>117</v>
      </c>
      <c r="H905" t="str">
        <f>IFERROR(ROUND(COUNTIFS(Tasks!$A:$A,$A905,Tasks!$B:$B,$B905,Tasks!$C:$C,$G905,Tasks!$I:$I,"&lt;="&amp;INDEX(Weeks!$D:$D,MATCH($C905,Weeks!$A:$A,0)),Tasks!$I:$I,"&lt;&gt;")/COUNTIFS(Tasks!$A:$A,$A905,Tasks!$B:$B,$B905,Tasks!$C:$C,$G905)*100,0),"")</f>
        <v/>
      </c>
    </row>
    <row r="906" spans="1:8" ht="15" hidden="1" customHeight="1">
      <c r="A906" t="s">
        <v>97</v>
      </c>
      <c r="B906" t="s">
        <v>98</v>
      </c>
      <c r="C906">
        <v>21</v>
      </c>
      <c r="D906">
        <v>5</v>
      </c>
      <c r="E906">
        <v>4</v>
      </c>
      <c r="F906">
        <v>3</v>
      </c>
      <c r="G906" t="s">
        <v>117</v>
      </c>
      <c r="H906" t="str">
        <f>IFERROR(ROUND(COUNTIFS(Tasks!$A:$A,$A906,Tasks!$B:$B,$B906,Tasks!$C:$C,$G906,Tasks!$I:$I,"&lt;="&amp;INDEX(Weeks!$D:$D,MATCH($C906,Weeks!$A:$A,0)),Tasks!$I:$I,"&lt;&gt;")/COUNTIFS(Tasks!$A:$A,$A906,Tasks!$B:$B,$B906,Tasks!$C:$C,$G906)*100,0),"")</f>
        <v/>
      </c>
    </row>
    <row r="907" spans="1:8" ht="15" hidden="1" customHeight="1">
      <c r="A907" t="s">
        <v>97</v>
      </c>
      <c r="B907" t="s">
        <v>98</v>
      </c>
      <c r="C907">
        <v>22</v>
      </c>
      <c r="D907">
        <v>5</v>
      </c>
      <c r="E907">
        <v>5</v>
      </c>
      <c r="F907">
        <v>3</v>
      </c>
      <c r="G907" t="s">
        <v>117</v>
      </c>
      <c r="H907" t="str">
        <f>IFERROR(ROUND(COUNTIFS(Tasks!$A:$A,$A907,Tasks!$B:$B,$B907,Tasks!$C:$C,$G907,Tasks!$I:$I,"&lt;="&amp;INDEX(Weeks!$D:$D,MATCH($C907,Weeks!$A:$A,0)),Tasks!$I:$I,"&lt;&gt;")/COUNTIFS(Tasks!$A:$A,$A907,Tasks!$B:$B,$B907,Tasks!$C:$C,$G907)*100,0),"")</f>
        <v/>
      </c>
    </row>
    <row r="908" spans="1:8" ht="15" hidden="1" customHeight="1">
      <c r="A908" t="s">
        <v>97</v>
      </c>
      <c r="B908" t="s">
        <v>98</v>
      </c>
      <c r="C908">
        <v>23</v>
      </c>
      <c r="D908">
        <v>6</v>
      </c>
      <c r="E908">
        <v>1</v>
      </c>
      <c r="F908">
        <v>3</v>
      </c>
      <c r="G908" t="s">
        <v>117</v>
      </c>
      <c r="H908" t="str">
        <f>IFERROR(ROUND(COUNTIFS(Tasks!$A:$A,$A908,Tasks!$B:$B,$B908,Tasks!$C:$C,$G908,Tasks!$I:$I,"&lt;="&amp;INDEX(Weeks!$D:$D,MATCH($C908,Weeks!$A:$A,0)),Tasks!$I:$I,"&lt;&gt;")/COUNTIFS(Tasks!$A:$A,$A908,Tasks!$B:$B,$B908,Tasks!$C:$C,$G908)*100,0),"")</f>
        <v/>
      </c>
    </row>
    <row r="909" spans="1:8" ht="15" hidden="1" customHeight="1">
      <c r="A909" t="s">
        <v>97</v>
      </c>
      <c r="B909" t="s">
        <v>98</v>
      </c>
      <c r="C909">
        <v>24</v>
      </c>
      <c r="D909">
        <v>6</v>
      </c>
      <c r="E909">
        <v>2</v>
      </c>
      <c r="F909">
        <v>3</v>
      </c>
      <c r="G909" t="s">
        <v>117</v>
      </c>
      <c r="H909" t="str">
        <f>IFERROR(ROUND(COUNTIFS(Tasks!$A:$A,$A909,Tasks!$B:$B,$B909,Tasks!$C:$C,$G909,Tasks!$I:$I,"&lt;="&amp;INDEX(Weeks!$D:$D,MATCH($C909,Weeks!$A:$A,0)),Tasks!$I:$I,"&lt;&gt;")/COUNTIFS(Tasks!$A:$A,$A909,Tasks!$B:$B,$B909,Tasks!$C:$C,$G909)*100,0),"")</f>
        <v/>
      </c>
    </row>
    <row r="910" spans="1:8" ht="15" hidden="1" customHeight="1">
      <c r="A910" t="s">
        <v>97</v>
      </c>
      <c r="B910" t="s">
        <v>98</v>
      </c>
      <c r="C910">
        <v>25</v>
      </c>
      <c r="D910">
        <v>6</v>
      </c>
      <c r="E910">
        <v>3</v>
      </c>
      <c r="F910">
        <v>3</v>
      </c>
      <c r="G910" t="s">
        <v>117</v>
      </c>
      <c r="H910" t="str">
        <f>IFERROR(ROUND(COUNTIFS(Tasks!$A:$A,$A910,Tasks!$B:$B,$B910,Tasks!$C:$C,$G910,Tasks!$I:$I,"&lt;="&amp;INDEX(Weeks!$D:$D,MATCH($C910,Weeks!$A:$A,0)),Tasks!$I:$I,"&lt;&gt;")/COUNTIFS(Tasks!$A:$A,$A910,Tasks!$B:$B,$B910,Tasks!$C:$C,$G910)*100,0),"")</f>
        <v/>
      </c>
    </row>
    <row r="911" spans="1:8" ht="15" hidden="1" customHeight="1">
      <c r="A911" t="s">
        <v>97</v>
      </c>
      <c r="B911" t="s">
        <v>98</v>
      </c>
      <c r="C911">
        <v>26</v>
      </c>
      <c r="D911">
        <v>6</v>
      </c>
      <c r="E911">
        <v>4</v>
      </c>
      <c r="F911">
        <v>3</v>
      </c>
      <c r="G911" t="s">
        <v>117</v>
      </c>
      <c r="H911" t="str">
        <f>IFERROR(ROUND(COUNTIFS(Tasks!$A:$A,$A911,Tasks!$B:$B,$B911,Tasks!$C:$C,$G911,Tasks!$I:$I,"&lt;="&amp;INDEX(Weeks!$D:$D,MATCH($C911,Weeks!$A:$A,0)),Tasks!$I:$I,"&lt;&gt;")/COUNTIFS(Tasks!$A:$A,$A911,Tasks!$B:$B,$B911,Tasks!$C:$C,$G911)*100,0),"")</f>
        <v/>
      </c>
    </row>
    <row r="912" spans="1:8" ht="15" hidden="1" customHeight="1">
      <c r="A912" t="s">
        <v>97</v>
      </c>
      <c r="B912" t="s">
        <v>98</v>
      </c>
      <c r="C912">
        <v>27</v>
      </c>
      <c r="D912">
        <v>7</v>
      </c>
      <c r="E912">
        <v>1</v>
      </c>
      <c r="F912">
        <v>3</v>
      </c>
      <c r="G912" t="s">
        <v>117</v>
      </c>
      <c r="H912" t="str">
        <f>IFERROR(ROUND(COUNTIFS(Tasks!$A:$A,$A912,Tasks!$B:$B,$B912,Tasks!$C:$C,$G912,Tasks!$I:$I,"&lt;="&amp;INDEX(Weeks!$D:$D,MATCH($C912,Weeks!$A:$A,0)),Tasks!$I:$I,"&lt;&gt;")/COUNTIFS(Tasks!$A:$A,$A912,Tasks!$B:$B,$B912,Tasks!$C:$C,$G912)*100,0),"")</f>
        <v/>
      </c>
    </row>
    <row r="913" spans="1:8" ht="15" hidden="1" customHeight="1">
      <c r="A913" t="s">
        <v>97</v>
      </c>
      <c r="B913" t="s">
        <v>98</v>
      </c>
      <c r="C913">
        <v>28</v>
      </c>
      <c r="D913">
        <v>7</v>
      </c>
      <c r="E913">
        <v>2</v>
      </c>
      <c r="F913">
        <v>3</v>
      </c>
      <c r="G913" t="s">
        <v>117</v>
      </c>
      <c r="H913" t="str">
        <f>IFERROR(ROUND(COUNTIFS(Tasks!$A:$A,$A913,Tasks!$B:$B,$B913,Tasks!$C:$C,$G913,Tasks!$I:$I,"&lt;="&amp;INDEX(Weeks!$D:$D,MATCH($C913,Weeks!$A:$A,0)),Tasks!$I:$I,"&lt;&gt;")/COUNTIFS(Tasks!$A:$A,$A913,Tasks!$B:$B,$B913,Tasks!$C:$C,$G913)*100,0),"")</f>
        <v/>
      </c>
    </row>
    <row r="914" spans="1:8" ht="15" hidden="1" customHeight="1">
      <c r="A914" t="s">
        <v>97</v>
      </c>
      <c r="B914" t="s">
        <v>98</v>
      </c>
      <c r="C914">
        <v>29</v>
      </c>
      <c r="D914">
        <v>7</v>
      </c>
      <c r="E914">
        <v>3</v>
      </c>
      <c r="F914">
        <v>3</v>
      </c>
      <c r="G914" t="s">
        <v>117</v>
      </c>
      <c r="H914" t="str">
        <f>IFERROR(ROUND(COUNTIFS(Tasks!$A:$A,$A914,Tasks!$B:$B,$B914,Tasks!$C:$C,$G914,Tasks!$I:$I,"&lt;="&amp;INDEX(Weeks!$D:$D,MATCH($C914,Weeks!$A:$A,0)),Tasks!$I:$I,"&lt;&gt;")/COUNTIFS(Tasks!$A:$A,$A914,Tasks!$B:$B,$B914,Tasks!$C:$C,$G914)*100,0),"")</f>
        <v/>
      </c>
    </row>
    <row r="915" spans="1:8" ht="15" hidden="1" customHeight="1">
      <c r="A915" t="s">
        <v>97</v>
      </c>
      <c r="B915" t="s">
        <v>98</v>
      </c>
      <c r="C915">
        <v>30</v>
      </c>
      <c r="D915">
        <v>7</v>
      </c>
      <c r="E915">
        <v>4</v>
      </c>
      <c r="F915">
        <v>3</v>
      </c>
      <c r="G915" t="s">
        <v>117</v>
      </c>
      <c r="H915" t="str">
        <f>IFERROR(ROUND(COUNTIFS(Tasks!$A:$A,$A915,Tasks!$B:$B,$B915,Tasks!$C:$C,$G915,Tasks!$I:$I,"&lt;="&amp;INDEX(Weeks!$D:$D,MATCH($C915,Weeks!$A:$A,0)),Tasks!$I:$I,"&lt;&gt;")/COUNTIFS(Tasks!$A:$A,$A915,Tasks!$B:$B,$B915,Tasks!$C:$C,$G915)*100,0),"")</f>
        <v/>
      </c>
    </row>
    <row r="916" spans="1:8" ht="15" hidden="1" customHeight="1">
      <c r="A916" t="s">
        <v>97</v>
      </c>
      <c r="B916" t="s">
        <v>98</v>
      </c>
      <c r="C916">
        <v>31</v>
      </c>
      <c r="D916">
        <v>8</v>
      </c>
      <c r="E916">
        <v>1</v>
      </c>
      <c r="F916">
        <v>3</v>
      </c>
      <c r="G916" t="s">
        <v>117</v>
      </c>
      <c r="H916" t="str">
        <f>IFERROR(ROUND(COUNTIFS(Tasks!$A:$A,$A916,Tasks!$B:$B,$B916,Tasks!$C:$C,$G916,Tasks!$I:$I,"&lt;="&amp;INDEX(Weeks!$D:$D,MATCH($C916,Weeks!$A:$A,0)),Tasks!$I:$I,"&lt;&gt;")/COUNTIFS(Tasks!$A:$A,$A916,Tasks!$B:$B,$B916,Tasks!$C:$C,$G916)*100,0),"")</f>
        <v/>
      </c>
    </row>
    <row r="917" spans="1:8" ht="15" hidden="1" customHeight="1">
      <c r="A917" t="s">
        <v>97</v>
      </c>
      <c r="B917" t="s">
        <v>98</v>
      </c>
      <c r="C917">
        <v>32</v>
      </c>
      <c r="D917">
        <v>8</v>
      </c>
      <c r="E917">
        <v>2</v>
      </c>
      <c r="F917">
        <v>3</v>
      </c>
      <c r="G917" t="s">
        <v>117</v>
      </c>
      <c r="H917" t="str">
        <f>IFERROR(ROUND(COUNTIFS(Tasks!$A:$A,$A917,Tasks!$B:$B,$B917,Tasks!$C:$C,$G917,Tasks!$I:$I,"&lt;="&amp;INDEX(Weeks!$D:$D,MATCH($C917,Weeks!$A:$A,0)),Tasks!$I:$I,"&lt;&gt;")/COUNTIFS(Tasks!$A:$A,$A917,Tasks!$B:$B,$B917,Tasks!$C:$C,$G917)*100,0),"")</f>
        <v/>
      </c>
    </row>
    <row r="918" spans="1:8" ht="15" hidden="1" customHeight="1">
      <c r="A918" t="s">
        <v>97</v>
      </c>
      <c r="B918" t="s">
        <v>98</v>
      </c>
      <c r="C918">
        <v>33</v>
      </c>
      <c r="D918">
        <v>8</v>
      </c>
      <c r="E918">
        <v>3</v>
      </c>
      <c r="F918">
        <v>3</v>
      </c>
      <c r="G918" t="s">
        <v>117</v>
      </c>
      <c r="H918" t="str">
        <f>IFERROR(ROUND(COUNTIFS(Tasks!$A:$A,$A918,Tasks!$B:$B,$B918,Tasks!$C:$C,$G918,Tasks!$I:$I,"&lt;="&amp;INDEX(Weeks!$D:$D,MATCH($C918,Weeks!$A:$A,0)),Tasks!$I:$I,"&lt;&gt;")/COUNTIFS(Tasks!$A:$A,$A918,Tasks!$B:$B,$B918,Tasks!$C:$C,$G918)*100,0),"")</f>
        <v/>
      </c>
    </row>
    <row r="919" spans="1:8" ht="15" hidden="1" customHeight="1">
      <c r="A919" t="s">
        <v>97</v>
      </c>
      <c r="B919" t="s">
        <v>98</v>
      </c>
      <c r="C919">
        <v>34</v>
      </c>
      <c r="D919">
        <v>8</v>
      </c>
      <c r="E919">
        <v>4</v>
      </c>
      <c r="F919">
        <v>3</v>
      </c>
      <c r="G919" t="s">
        <v>117</v>
      </c>
      <c r="H919" t="str">
        <f>IFERROR(ROUND(COUNTIFS(Tasks!$A:$A,$A919,Tasks!$B:$B,$B919,Tasks!$C:$C,$G919,Tasks!$I:$I,"&lt;="&amp;INDEX(Weeks!$D:$D,MATCH($C919,Weeks!$A:$A,0)),Tasks!$I:$I,"&lt;&gt;")/COUNTIFS(Tasks!$A:$A,$A919,Tasks!$B:$B,$B919,Tasks!$C:$C,$G919)*100,0),"")</f>
        <v/>
      </c>
    </row>
    <row r="920" spans="1:8" ht="15" hidden="1" customHeight="1">
      <c r="A920" t="s">
        <v>97</v>
      </c>
      <c r="B920" t="s">
        <v>98</v>
      </c>
      <c r="C920">
        <v>35</v>
      </c>
      <c r="D920">
        <v>8</v>
      </c>
      <c r="E920">
        <v>5</v>
      </c>
      <c r="F920">
        <v>3</v>
      </c>
      <c r="G920" t="s">
        <v>117</v>
      </c>
      <c r="H920" t="str">
        <f>IFERROR(ROUND(COUNTIFS(Tasks!$A:$A,$A920,Tasks!$B:$B,$B920,Tasks!$C:$C,$G920,Tasks!$I:$I,"&lt;="&amp;INDEX(Weeks!$D:$D,MATCH($C920,Weeks!$A:$A,0)),Tasks!$I:$I,"&lt;&gt;")/COUNTIFS(Tasks!$A:$A,$A920,Tasks!$B:$B,$B920,Tasks!$C:$C,$G920)*100,0),"")</f>
        <v/>
      </c>
    </row>
    <row r="921" spans="1:8" ht="15" hidden="1" customHeight="1">
      <c r="A921" t="s">
        <v>97</v>
      </c>
      <c r="B921" t="s">
        <v>98</v>
      </c>
      <c r="C921">
        <v>36</v>
      </c>
      <c r="D921">
        <v>9</v>
      </c>
      <c r="E921">
        <v>1</v>
      </c>
      <c r="F921">
        <v>3</v>
      </c>
      <c r="G921" t="s">
        <v>117</v>
      </c>
      <c r="H921" t="str">
        <f>IFERROR(ROUND(COUNTIFS(Tasks!$A:$A,$A921,Tasks!$B:$B,$B921,Tasks!$C:$C,$G921,Tasks!$I:$I,"&lt;="&amp;INDEX(Weeks!$D:$D,MATCH($C921,Weeks!$A:$A,0)),Tasks!$I:$I,"&lt;&gt;")/COUNTIFS(Tasks!$A:$A,$A921,Tasks!$B:$B,$B921,Tasks!$C:$C,$G921)*100,0),"")</f>
        <v/>
      </c>
    </row>
    <row r="922" spans="1:8" ht="15" hidden="1" customHeight="1">
      <c r="A922" t="s">
        <v>97</v>
      </c>
      <c r="B922" t="s">
        <v>98</v>
      </c>
      <c r="C922">
        <v>37</v>
      </c>
      <c r="D922">
        <v>9</v>
      </c>
      <c r="E922">
        <v>2</v>
      </c>
      <c r="F922">
        <v>3</v>
      </c>
      <c r="G922" t="s">
        <v>117</v>
      </c>
      <c r="H922" t="str">
        <f>IFERROR(ROUND(COUNTIFS(Tasks!$A:$A,$A922,Tasks!$B:$B,$B922,Tasks!$C:$C,$G922,Tasks!$I:$I,"&lt;="&amp;INDEX(Weeks!$D:$D,MATCH($C922,Weeks!$A:$A,0)),Tasks!$I:$I,"&lt;&gt;")/COUNTIFS(Tasks!$A:$A,$A922,Tasks!$B:$B,$B922,Tasks!$C:$C,$G922)*100,0),"")</f>
        <v/>
      </c>
    </row>
    <row r="923" spans="1:8" ht="15" hidden="1" customHeight="1">
      <c r="A923" t="s">
        <v>97</v>
      </c>
      <c r="B923" t="s">
        <v>98</v>
      </c>
      <c r="C923">
        <v>38</v>
      </c>
      <c r="D923">
        <v>9</v>
      </c>
      <c r="E923">
        <v>3</v>
      </c>
      <c r="F923">
        <v>3</v>
      </c>
      <c r="G923" t="s">
        <v>117</v>
      </c>
      <c r="H923" t="str">
        <f>IFERROR(ROUND(COUNTIFS(Tasks!$A:$A,$A923,Tasks!$B:$B,$B923,Tasks!$C:$C,$G923,Tasks!$I:$I,"&lt;="&amp;INDEX(Weeks!$D:$D,MATCH($C923,Weeks!$A:$A,0)),Tasks!$I:$I,"&lt;&gt;")/COUNTIFS(Tasks!$A:$A,$A923,Tasks!$B:$B,$B923,Tasks!$C:$C,$G923)*100,0),"")</f>
        <v/>
      </c>
    </row>
    <row r="924" spans="1:8" ht="15" hidden="1" customHeight="1">
      <c r="A924" t="s">
        <v>97</v>
      </c>
      <c r="B924" t="s">
        <v>98</v>
      </c>
      <c r="C924">
        <v>39</v>
      </c>
      <c r="D924">
        <v>9</v>
      </c>
      <c r="E924">
        <v>4</v>
      </c>
      <c r="F924">
        <v>3</v>
      </c>
      <c r="G924" t="s">
        <v>117</v>
      </c>
      <c r="H924" t="str">
        <f>IFERROR(ROUND(COUNTIFS(Tasks!$A:$A,$A924,Tasks!$B:$B,$B924,Tasks!$C:$C,$G924,Tasks!$I:$I,"&lt;="&amp;INDEX(Weeks!$D:$D,MATCH($C924,Weeks!$A:$A,0)),Tasks!$I:$I,"&lt;&gt;")/COUNTIFS(Tasks!$A:$A,$A924,Tasks!$B:$B,$B924,Tasks!$C:$C,$G924)*100,0),"")</f>
        <v/>
      </c>
    </row>
    <row r="925" spans="1:8" ht="15" hidden="1" customHeight="1">
      <c r="A925" t="s">
        <v>97</v>
      </c>
      <c r="B925" t="s">
        <v>98</v>
      </c>
      <c r="C925">
        <v>40</v>
      </c>
      <c r="D925">
        <v>10</v>
      </c>
      <c r="E925">
        <v>1</v>
      </c>
      <c r="F925">
        <v>3</v>
      </c>
      <c r="G925" t="s">
        <v>117</v>
      </c>
      <c r="H925" t="str">
        <f>IFERROR(ROUND(COUNTIFS(Tasks!$A:$A,$A925,Tasks!$B:$B,$B925,Tasks!$C:$C,$G925,Tasks!$I:$I,"&lt;="&amp;INDEX(Weeks!$D:$D,MATCH($C925,Weeks!$A:$A,0)),Tasks!$I:$I,"&lt;&gt;")/COUNTIFS(Tasks!$A:$A,$A925,Tasks!$B:$B,$B925,Tasks!$C:$C,$G925)*100,0),"")</f>
        <v/>
      </c>
    </row>
    <row r="926" spans="1:8" ht="15" hidden="1" customHeight="1">
      <c r="A926" t="s">
        <v>97</v>
      </c>
      <c r="B926" t="s">
        <v>98</v>
      </c>
      <c r="C926">
        <v>41</v>
      </c>
      <c r="D926">
        <v>10</v>
      </c>
      <c r="E926">
        <v>2</v>
      </c>
      <c r="F926">
        <v>3</v>
      </c>
      <c r="G926" t="s">
        <v>117</v>
      </c>
      <c r="H926" t="str">
        <f>IFERROR(ROUND(COUNTIFS(Tasks!$A:$A,$A926,Tasks!$B:$B,$B926,Tasks!$C:$C,$G926,Tasks!$I:$I,"&lt;="&amp;INDEX(Weeks!$D:$D,MATCH($C926,Weeks!$A:$A,0)),Tasks!$I:$I,"&lt;&gt;")/COUNTIFS(Tasks!$A:$A,$A926,Tasks!$B:$B,$B926,Tasks!$C:$C,$G926)*100,0),"")</f>
        <v/>
      </c>
    </row>
    <row r="927" spans="1:8" ht="15" hidden="1" customHeight="1">
      <c r="A927" t="s">
        <v>97</v>
      </c>
      <c r="B927" t="s">
        <v>98</v>
      </c>
      <c r="C927">
        <v>42</v>
      </c>
      <c r="D927">
        <v>10</v>
      </c>
      <c r="E927">
        <v>3</v>
      </c>
      <c r="F927">
        <v>3</v>
      </c>
      <c r="G927" t="s">
        <v>117</v>
      </c>
      <c r="H927" t="str">
        <f>IFERROR(ROUND(COUNTIFS(Tasks!$A:$A,$A927,Tasks!$B:$B,$B927,Tasks!$C:$C,$G927,Tasks!$I:$I,"&lt;="&amp;INDEX(Weeks!$D:$D,MATCH($C927,Weeks!$A:$A,0)),Tasks!$I:$I,"&lt;&gt;")/COUNTIFS(Tasks!$A:$A,$A927,Tasks!$B:$B,$B927,Tasks!$C:$C,$G927)*100,0),"")</f>
        <v/>
      </c>
    </row>
    <row r="928" spans="1:8" ht="15" hidden="1" customHeight="1">
      <c r="A928" t="s">
        <v>97</v>
      </c>
      <c r="B928" t="s">
        <v>98</v>
      </c>
      <c r="C928">
        <v>43</v>
      </c>
      <c r="D928">
        <v>10</v>
      </c>
      <c r="E928">
        <v>4</v>
      </c>
      <c r="F928">
        <v>3</v>
      </c>
      <c r="G928" t="s">
        <v>117</v>
      </c>
      <c r="H928" t="str">
        <f>IFERROR(ROUND(COUNTIFS(Tasks!$A:$A,$A928,Tasks!$B:$B,$B928,Tasks!$C:$C,$G928,Tasks!$I:$I,"&lt;="&amp;INDEX(Weeks!$D:$D,MATCH($C928,Weeks!$A:$A,0)),Tasks!$I:$I,"&lt;&gt;")/COUNTIFS(Tasks!$A:$A,$A928,Tasks!$B:$B,$B928,Tasks!$C:$C,$G928)*100,0),"")</f>
        <v/>
      </c>
    </row>
    <row r="929" spans="1:8" ht="15" hidden="1" customHeight="1">
      <c r="A929" t="s">
        <v>97</v>
      </c>
      <c r="B929" t="s">
        <v>98</v>
      </c>
      <c r="C929">
        <v>44</v>
      </c>
      <c r="D929">
        <v>10</v>
      </c>
      <c r="E929">
        <v>5</v>
      </c>
      <c r="F929">
        <v>3</v>
      </c>
      <c r="G929" t="s">
        <v>117</v>
      </c>
      <c r="H929" t="str">
        <f>IFERROR(ROUND(COUNTIFS(Tasks!$A:$A,$A929,Tasks!$B:$B,$B929,Tasks!$C:$C,$G929,Tasks!$I:$I,"&lt;="&amp;INDEX(Weeks!$D:$D,MATCH($C929,Weeks!$A:$A,0)),Tasks!$I:$I,"&lt;&gt;")/COUNTIFS(Tasks!$A:$A,$A929,Tasks!$B:$B,$B929,Tasks!$C:$C,$G929)*100,0),"")</f>
        <v/>
      </c>
    </row>
    <row r="930" spans="1:8" ht="15" hidden="1" customHeight="1">
      <c r="A930" t="s">
        <v>97</v>
      </c>
      <c r="B930" t="s">
        <v>98</v>
      </c>
      <c r="C930">
        <v>45</v>
      </c>
      <c r="D930">
        <v>11</v>
      </c>
      <c r="E930">
        <v>1</v>
      </c>
      <c r="F930">
        <v>3</v>
      </c>
      <c r="G930" t="s">
        <v>117</v>
      </c>
      <c r="H930" t="str">
        <f>IFERROR(ROUND(COUNTIFS(Tasks!$A:$A,$A930,Tasks!$B:$B,$B930,Tasks!$C:$C,$G930,Tasks!$I:$I,"&lt;="&amp;INDEX(Weeks!$D:$D,MATCH($C930,Weeks!$A:$A,0)),Tasks!$I:$I,"&lt;&gt;")/COUNTIFS(Tasks!$A:$A,$A930,Tasks!$B:$B,$B930,Tasks!$C:$C,$G930)*100,0),"")</f>
        <v/>
      </c>
    </row>
    <row r="931" spans="1:8" ht="15" hidden="1" customHeight="1">
      <c r="A931" t="s">
        <v>97</v>
      </c>
      <c r="B931" t="s">
        <v>98</v>
      </c>
      <c r="C931">
        <v>46</v>
      </c>
      <c r="D931">
        <v>11</v>
      </c>
      <c r="E931">
        <v>2</v>
      </c>
      <c r="F931">
        <v>3</v>
      </c>
      <c r="G931" t="s">
        <v>117</v>
      </c>
      <c r="H931" t="str">
        <f>IFERROR(ROUND(COUNTIFS(Tasks!$A:$A,$A931,Tasks!$B:$B,$B931,Tasks!$C:$C,$G931,Tasks!$I:$I,"&lt;="&amp;INDEX(Weeks!$D:$D,MATCH($C931,Weeks!$A:$A,0)),Tasks!$I:$I,"&lt;&gt;")/COUNTIFS(Tasks!$A:$A,$A931,Tasks!$B:$B,$B931,Tasks!$C:$C,$G931)*100,0),"")</f>
        <v/>
      </c>
    </row>
    <row r="932" spans="1:8" ht="15" hidden="1" customHeight="1">
      <c r="A932" t="s">
        <v>97</v>
      </c>
      <c r="B932" t="s">
        <v>98</v>
      </c>
      <c r="C932">
        <v>47</v>
      </c>
      <c r="D932">
        <v>11</v>
      </c>
      <c r="E932">
        <v>3</v>
      </c>
      <c r="F932">
        <v>3</v>
      </c>
      <c r="G932" t="s">
        <v>117</v>
      </c>
      <c r="H932" t="str">
        <f>IFERROR(ROUND(COUNTIFS(Tasks!$A:$A,$A932,Tasks!$B:$B,$B932,Tasks!$C:$C,$G932,Tasks!$I:$I,"&lt;="&amp;INDEX(Weeks!$D:$D,MATCH($C932,Weeks!$A:$A,0)),Tasks!$I:$I,"&lt;&gt;")/COUNTIFS(Tasks!$A:$A,$A932,Tasks!$B:$B,$B932,Tasks!$C:$C,$G932)*100,0),"")</f>
        <v/>
      </c>
    </row>
    <row r="933" spans="1:8" ht="15" hidden="1" customHeight="1">
      <c r="A933" t="s">
        <v>97</v>
      </c>
      <c r="B933" t="s">
        <v>98</v>
      </c>
      <c r="C933">
        <v>48</v>
      </c>
      <c r="D933">
        <v>11</v>
      </c>
      <c r="E933">
        <v>4</v>
      </c>
      <c r="F933">
        <v>3</v>
      </c>
      <c r="G933" t="s">
        <v>117</v>
      </c>
      <c r="H933" t="str">
        <f>IFERROR(ROUND(COUNTIFS(Tasks!$A:$A,$A933,Tasks!$B:$B,$B933,Tasks!$C:$C,$G933,Tasks!$I:$I,"&lt;="&amp;INDEX(Weeks!$D:$D,MATCH($C933,Weeks!$A:$A,0)),Tasks!$I:$I,"&lt;&gt;")/COUNTIFS(Tasks!$A:$A,$A933,Tasks!$B:$B,$B933,Tasks!$C:$C,$G933)*100,0),"")</f>
        <v/>
      </c>
    </row>
    <row r="934" spans="1:8" ht="15" hidden="1" customHeight="1">
      <c r="A934" t="s">
        <v>97</v>
      </c>
      <c r="B934" t="s">
        <v>98</v>
      </c>
      <c r="C934">
        <v>49</v>
      </c>
      <c r="D934">
        <v>12</v>
      </c>
      <c r="E934">
        <v>1</v>
      </c>
      <c r="F934">
        <v>3</v>
      </c>
      <c r="G934" t="s">
        <v>117</v>
      </c>
      <c r="H934" t="str">
        <f>IFERROR(ROUND(COUNTIFS(Tasks!$A:$A,$A934,Tasks!$B:$B,$B934,Tasks!$C:$C,$G934,Tasks!$I:$I,"&lt;="&amp;INDEX(Weeks!$D:$D,MATCH($C934,Weeks!$A:$A,0)),Tasks!$I:$I,"&lt;&gt;")/COUNTIFS(Tasks!$A:$A,$A934,Tasks!$B:$B,$B934,Tasks!$C:$C,$G934)*100,0),"")</f>
        <v/>
      </c>
    </row>
    <row r="935" spans="1:8" ht="15" hidden="1" customHeight="1">
      <c r="A935" t="s">
        <v>97</v>
      </c>
      <c r="B935" t="s">
        <v>98</v>
      </c>
      <c r="C935">
        <v>50</v>
      </c>
      <c r="D935">
        <v>12</v>
      </c>
      <c r="E935">
        <v>2</v>
      </c>
      <c r="F935">
        <v>3</v>
      </c>
      <c r="G935" t="s">
        <v>117</v>
      </c>
      <c r="H935" t="str">
        <f>IFERROR(ROUND(COUNTIFS(Tasks!$A:$A,$A935,Tasks!$B:$B,$B935,Tasks!$C:$C,$G935,Tasks!$I:$I,"&lt;="&amp;INDEX(Weeks!$D:$D,MATCH($C935,Weeks!$A:$A,0)),Tasks!$I:$I,"&lt;&gt;")/COUNTIFS(Tasks!$A:$A,$A935,Tasks!$B:$B,$B935,Tasks!$C:$C,$G935)*100,0),"")</f>
        <v/>
      </c>
    </row>
    <row r="936" spans="1:8" ht="15" hidden="1" customHeight="1">
      <c r="A936" t="s">
        <v>97</v>
      </c>
      <c r="B936" t="s">
        <v>98</v>
      </c>
      <c r="C936">
        <v>51</v>
      </c>
      <c r="D936">
        <v>12</v>
      </c>
      <c r="E936">
        <v>3</v>
      </c>
      <c r="F936">
        <v>3</v>
      </c>
      <c r="G936" t="s">
        <v>117</v>
      </c>
      <c r="H936" t="str">
        <f>IFERROR(ROUND(COUNTIFS(Tasks!$A:$A,$A936,Tasks!$B:$B,$B936,Tasks!$C:$C,$G936,Tasks!$I:$I,"&lt;="&amp;INDEX(Weeks!$D:$D,MATCH($C936,Weeks!$A:$A,0)),Tasks!$I:$I,"&lt;&gt;")/COUNTIFS(Tasks!$A:$A,$A936,Tasks!$B:$B,$B936,Tasks!$C:$C,$G936)*100,0),"")</f>
        <v/>
      </c>
    </row>
    <row r="937" spans="1:8" ht="15" hidden="1" customHeight="1">
      <c r="A937" t="s">
        <v>97</v>
      </c>
      <c r="B937" t="s">
        <v>98</v>
      </c>
      <c r="C937">
        <v>52</v>
      </c>
      <c r="D937">
        <v>12</v>
      </c>
      <c r="E937">
        <v>4</v>
      </c>
      <c r="F937">
        <v>3</v>
      </c>
      <c r="G937" t="s">
        <v>117</v>
      </c>
      <c r="H937" t="str">
        <f>IFERROR(ROUND(COUNTIFS(Tasks!$A:$A,$A937,Tasks!$B:$B,$B937,Tasks!$C:$C,$G937,Tasks!$I:$I,"&lt;="&amp;INDEX(Weeks!$D:$D,MATCH($C937,Weeks!$A:$A,0)),Tasks!$I:$I,"&lt;&gt;")/COUNTIFS(Tasks!$A:$A,$A937,Tasks!$B:$B,$B937,Tasks!$C:$C,$G937)*100,0),"")</f>
        <v/>
      </c>
    </row>
    <row r="938" spans="1:8" ht="15" hidden="1" customHeight="1">
      <c r="A938" t="s">
        <v>97</v>
      </c>
      <c r="B938" t="s">
        <v>98</v>
      </c>
      <c r="C938">
        <v>1</v>
      </c>
      <c r="D938">
        <v>1</v>
      </c>
      <c r="E938">
        <v>1</v>
      </c>
      <c r="F938">
        <v>4</v>
      </c>
      <c r="G938" t="s">
        <v>118</v>
      </c>
      <c r="H938" t="str">
        <f>IFERROR(ROUND(COUNTIFS(Tasks!$A:$A,$A938,Tasks!$B:$B,$B938,Tasks!$C:$C,$G938,Tasks!$I:$I,"&lt;="&amp;INDEX(Weeks!$D:$D,MATCH($C938,Weeks!$A:$A,0)),Tasks!$I:$I,"&lt;&gt;")/COUNTIFS(Tasks!$A:$A,$A938,Tasks!$B:$B,$B938,Tasks!$C:$C,$G938)*100,0),"")</f>
        <v/>
      </c>
    </row>
    <row r="939" spans="1:8" ht="15" hidden="1" customHeight="1">
      <c r="A939" t="s">
        <v>97</v>
      </c>
      <c r="B939" t="s">
        <v>98</v>
      </c>
      <c r="C939">
        <v>2</v>
      </c>
      <c r="D939">
        <v>1</v>
      </c>
      <c r="E939">
        <v>2</v>
      </c>
      <c r="F939">
        <v>4</v>
      </c>
      <c r="G939" t="s">
        <v>118</v>
      </c>
      <c r="H939" t="str">
        <f>IFERROR(ROUND(COUNTIFS(Tasks!$A:$A,$A939,Tasks!$B:$B,$B939,Tasks!$C:$C,$G939,Tasks!$I:$I,"&lt;="&amp;INDEX(Weeks!$D:$D,MATCH($C939,Weeks!$A:$A,0)),Tasks!$I:$I,"&lt;&gt;")/COUNTIFS(Tasks!$A:$A,$A939,Tasks!$B:$B,$B939,Tasks!$C:$C,$G939)*100,0),"")</f>
        <v/>
      </c>
    </row>
    <row r="940" spans="1:8" ht="15" hidden="1" customHeight="1">
      <c r="A940" t="s">
        <v>97</v>
      </c>
      <c r="B940" t="s">
        <v>98</v>
      </c>
      <c r="C940">
        <v>3</v>
      </c>
      <c r="D940">
        <v>1</v>
      </c>
      <c r="E940">
        <v>3</v>
      </c>
      <c r="F940">
        <v>4</v>
      </c>
      <c r="G940" t="s">
        <v>118</v>
      </c>
      <c r="H940" t="str">
        <f>IFERROR(ROUND(COUNTIFS(Tasks!$A:$A,$A940,Tasks!$B:$B,$B940,Tasks!$C:$C,$G940,Tasks!$I:$I,"&lt;="&amp;INDEX(Weeks!$D:$D,MATCH($C940,Weeks!$A:$A,0)),Tasks!$I:$I,"&lt;&gt;")/COUNTIFS(Tasks!$A:$A,$A940,Tasks!$B:$B,$B940,Tasks!$C:$C,$G940)*100,0),"")</f>
        <v/>
      </c>
    </row>
    <row r="941" spans="1:8" ht="15" hidden="1" customHeight="1">
      <c r="A941" t="s">
        <v>97</v>
      </c>
      <c r="B941" t="s">
        <v>98</v>
      </c>
      <c r="C941">
        <v>4</v>
      </c>
      <c r="D941">
        <v>1</v>
      </c>
      <c r="E941">
        <v>4</v>
      </c>
      <c r="F941">
        <v>4</v>
      </c>
      <c r="G941" t="s">
        <v>118</v>
      </c>
      <c r="H941" t="str">
        <f>IFERROR(ROUND(COUNTIFS(Tasks!$A:$A,$A941,Tasks!$B:$B,$B941,Tasks!$C:$C,$G941,Tasks!$I:$I,"&lt;="&amp;INDEX(Weeks!$D:$D,MATCH($C941,Weeks!$A:$A,0)),Tasks!$I:$I,"&lt;&gt;")/COUNTIFS(Tasks!$A:$A,$A941,Tasks!$B:$B,$B941,Tasks!$C:$C,$G941)*100,0),"")</f>
        <v/>
      </c>
    </row>
    <row r="942" spans="1:8" ht="15" hidden="1" customHeight="1">
      <c r="A942" t="s">
        <v>97</v>
      </c>
      <c r="B942" t="s">
        <v>98</v>
      </c>
      <c r="C942">
        <v>5</v>
      </c>
      <c r="D942">
        <v>1</v>
      </c>
      <c r="E942">
        <v>5</v>
      </c>
      <c r="F942">
        <v>4</v>
      </c>
      <c r="G942" t="s">
        <v>118</v>
      </c>
      <c r="H942" t="str">
        <f>IFERROR(ROUND(COUNTIFS(Tasks!$A:$A,$A942,Tasks!$B:$B,$B942,Tasks!$C:$C,$G942,Tasks!$I:$I,"&lt;="&amp;INDEX(Weeks!$D:$D,MATCH($C942,Weeks!$A:$A,0)),Tasks!$I:$I,"&lt;&gt;")/COUNTIFS(Tasks!$A:$A,$A942,Tasks!$B:$B,$B942,Tasks!$C:$C,$G942)*100,0),"")</f>
        <v/>
      </c>
    </row>
    <row r="943" spans="1:8" ht="15" hidden="1" customHeight="1">
      <c r="A943" t="s">
        <v>97</v>
      </c>
      <c r="B943" t="s">
        <v>98</v>
      </c>
      <c r="C943">
        <v>6</v>
      </c>
      <c r="D943">
        <v>2</v>
      </c>
      <c r="E943">
        <v>1</v>
      </c>
      <c r="F943">
        <v>4</v>
      </c>
      <c r="G943" t="s">
        <v>118</v>
      </c>
      <c r="H943" t="str">
        <f>IFERROR(ROUND(COUNTIFS(Tasks!$A:$A,$A943,Tasks!$B:$B,$B943,Tasks!$C:$C,$G943,Tasks!$I:$I,"&lt;="&amp;INDEX(Weeks!$D:$D,MATCH($C943,Weeks!$A:$A,0)),Tasks!$I:$I,"&lt;&gt;")/COUNTIFS(Tasks!$A:$A,$A943,Tasks!$B:$B,$B943,Tasks!$C:$C,$G943)*100,0),"")</f>
        <v/>
      </c>
    </row>
    <row r="944" spans="1:8" ht="15" hidden="1" customHeight="1">
      <c r="A944" t="s">
        <v>97</v>
      </c>
      <c r="B944" t="s">
        <v>98</v>
      </c>
      <c r="C944">
        <v>7</v>
      </c>
      <c r="D944">
        <v>2</v>
      </c>
      <c r="E944">
        <v>2</v>
      </c>
      <c r="F944">
        <v>4</v>
      </c>
      <c r="G944" t="s">
        <v>118</v>
      </c>
      <c r="H944" t="str">
        <f>IFERROR(ROUND(COUNTIFS(Tasks!$A:$A,$A944,Tasks!$B:$B,$B944,Tasks!$C:$C,$G944,Tasks!$I:$I,"&lt;="&amp;INDEX(Weeks!$D:$D,MATCH($C944,Weeks!$A:$A,0)),Tasks!$I:$I,"&lt;&gt;")/COUNTIFS(Tasks!$A:$A,$A944,Tasks!$B:$B,$B944,Tasks!$C:$C,$G944)*100,0),"")</f>
        <v/>
      </c>
    </row>
    <row r="945" spans="1:8" ht="15" hidden="1" customHeight="1">
      <c r="A945" t="s">
        <v>97</v>
      </c>
      <c r="B945" t="s">
        <v>98</v>
      </c>
      <c r="C945">
        <v>8</v>
      </c>
      <c r="D945">
        <v>2</v>
      </c>
      <c r="E945">
        <v>3</v>
      </c>
      <c r="F945">
        <v>4</v>
      </c>
      <c r="G945" t="s">
        <v>118</v>
      </c>
      <c r="H945" t="str">
        <f>IFERROR(ROUND(COUNTIFS(Tasks!$A:$A,$A945,Tasks!$B:$B,$B945,Tasks!$C:$C,$G945,Tasks!$I:$I,"&lt;="&amp;INDEX(Weeks!$D:$D,MATCH($C945,Weeks!$A:$A,0)),Tasks!$I:$I,"&lt;&gt;")/COUNTIFS(Tasks!$A:$A,$A945,Tasks!$B:$B,$B945,Tasks!$C:$C,$G945)*100,0),"")</f>
        <v/>
      </c>
    </row>
    <row r="946" spans="1:8" ht="15" hidden="1" customHeight="1">
      <c r="A946" t="s">
        <v>97</v>
      </c>
      <c r="B946" t="s">
        <v>98</v>
      </c>
      <c r="C946">
        <v>9</v>
      </c>
      <c r="D946">
        <v>2</v>
      </c>
      <c r="E946">
        <v>4</v>
      </c>
      <c r="F946">
        <v>4</v>
      </c>
      <c r="G946" t="s">
        <v>118</v>
      </c>
      <c r="H946" t="str">
        <f>IFERROR(ROUND(COUNTIFS(Tasks!$A:$A,$A946,Tasks!$B:$B,$B946,Tasks!$C:$C,$G946,Tasks!$I:$I,"&lt;="&amp;INDEX(Weeks!$D:$D,MATCH($C946,Weeks!$A:$A,0)),Tasks!$I:$I,"&lt;&gt;")/COUNTIFS(Tasks!$A:$A,$A946,Tasks!$B:$B,$B946,Tasks!$C:$C,$G946)*100,0),"")</f>
        <v/>
      </c>
    </row>
    <row r="947" spans="1:8" ht="15" hidden="1" customHeight="1">
      <c r="A947" t="s">
        <v>97</v>
      </c>
      <c r="B947" t="s">
        <v>98</v>
      </c>
      <c r="C947">
        <v>10</v>
      </c>
      <c r="D947">
        <v>3</v>
      </c>
      <c r="E947">
        <v>1</v>
      </c>
      <c r="F947">
        <v>4</v>
      </c>
      <c r="G947" t="s">
        <v>118</v>
      </c>
      <c r="H947" t="str">
        <f>IFERROR(ROUND(COUNTIFS(Tasks!$A:$A,$A947,Tasks!$B:$B,$B947,Tasks!$C:$C,$G947,Tasks!$I:$I,"&lt;="&amp;INDEX(Weeks!$D:$D,MATCH($C947,Weeks!$A:$A,0)),Tasks!$I:$I,"&lt;&gt;")/COUNTIFS(Tasks!$A:$A,$A947,Tasks!$B:$B,$B947,Tasks!$C:$C,$G947)*100,0),"")</f>
        <v/>
      </c>
    </row>
    <row r="948" spans="1:8" ht="15" hidden="1" customHeight="1">
      <c r="A948" t="s">
        <v>97</v>
      </c>
      <c r="B948" t="s">
        <v>98</v>
      </c>
      <c r="C948">
        <v>11</v>
      </c>
      <c r="D948">
        <v>3</v>
      </c>
      <c r="E948">
        <v>2</v>
      </c>
      <c r="F948">
        <v>4</v>
      </c>
      <c r="G948" t="s">
        <v>118</v>
      </c>
      <c r="H948" t="str">
        <f>IFERROR(ROUND(COUNTIFS(Tasks!$A:$A,$A948,Tasks!$B:$B,$B948,Tasks!$C:$C,$G948,Tasks!$I:$I,"&lt;="&amp;INDEX(Weeks!$D:$D,MATCH($C948,Weeks!$A:$A,0)),Tasks!$I:$I,"&lt;&gt;")/COUNTIFS(Tasks!$A:$A,$A948,Tasks!$B:$B,$B948,Tasks!$C:$C,$G948)*100,0),"")</f>
        <v/>
      </c>
    </row>
    <row r="949" spans="1:8" ht="15" hidden="1" customHeight="1">
      <c r="A949" t="s">
        <v>97</v>
      </c>
      <c r="B949" t="s">
        <v>98</v>
      </c>
      <c r="C949">
        <v>12</v>
      </c>
      <c r="D949">
        <v>3</v>
      </c>
      <c r="E949">
        <v>3</v>
      </c>
      <c r="F949">
        <v>4</v>
      </c>
      <c r="G949" t="s">
        <v>118</v>
      </c>
      <c r="H949" t="str">
        <f>IFERROR(ROUND(COUNTIFS(Tasks!$A:$A,$A949,Tasks!$B:$B,$B949,Tasks!$C:$C,$G949,Tasks!$I:$I,"&lt;="&amp;INDEX(Weeks!$D:$D,MATCH($C949,Weeks!$A:$A,0)),Tasks!$I:$I,"&lt;&gt;")/COUNTIFS(Tasks!$A:$A,$A949,Tasks!$B:$B,$B949,Tasks!$C:$C,$G949)*100,0),"")</f>
        <v/>
      </c>
    </row>
    <row r="950" spans="1:8" ht="15" hidden="1" customHeight="1">
      <c r="A950" t="s">
        <v>97</v>
      </c>
      <c r="B950" t="s">
        <v>98</v>
      </c>
      <c r="C950">
        <v>13</v>
      </c>
      <c r="D950">
        <v>3</v>
      </c>
      <c r="E950">
        <v>4</v>
      </c>
      <c r="F950">
        <v>4</v>
      </c>
      <c r="G950" t="s">
        <v>118</v>
      </c>
      <c r="H950" t="str">
        <f>IFERROR(ROUND(COUNTIFS(Tasks!$A:$A,$A950,Tasks!$B:$B,$B950,Tasks!$C:$C,$G950,Tasks!$I:$I,"&lt;="&amp;INDEX(Weeks!$D:$D,MATCH($C950,Weeks!$A:$A,0)),Tasks!$I:$I,"&lt;&gt;")/COUNTIFS(Tasks!$A:$A,$A950,Tasks!$B:$B,$B950,Tasks!$C:$C,$G950)*100,0),"")</f>
        <v/>
      </c>
    </row>
    <row r="951" spans="1:8" ht="15" hidden="1" customHeight="1">
      <c r="A951" t="s">
        <v>97</v>
      </c>
      <c r="B951" t="s">
        <v>98</v>
      </c>
      <c r="C951">
        <v>14</v>
      </c>
      <c r="D951">
        <v>4</v>
      </c>
      <c r="E951">
        <v>1</v>
      </c>
      <c r="F951">
        <v>4</v>
      </c>
      <c r="G951" t="s">
        <v>118</v>
      </c>
      <c r="H951" t="str">
        <f>IFERROR(ROUND(COUNTIFS(Tasks!$A:$A,$A951,Tasks!$B:$B,$B951,Tasks!$C:$C,$G951,Tasks!$I:$I,"&lt;="&amp;INDEX(Weeks!$D:$D,MATCH($C951,Weeks!$A:$A,0)),Tasks!$I:$I,"&lt;&gt;")/COUNTIFS(Tasks!$A:$A,$A951,Tasks!$B:$B,$B951,Tasks!$C:$C,$G951)*100,0),"")</f>
        <v/>
      </c>
    </row>
    <row r="952" spans="1:8" ht="15" hidden="1" customHeight="1">
      <c r="A952" t="s">
        <v>97</v>
      </c>
      <c r="B952" t="s">
        <v>98</v>
      </c>
      <c r="C952">
        <v>15</v>
      </c>
      <c r="D952">
        <v>4</v>
      </c>
      <c r="E952">
        <v>2</v>
      </c>
      <c r="F952">
        <v>4</v>
      </c>
      <c r="G952" t="s">
        <v>118</v>
      </c>
      <c r="H952" t="str">
        <f>IFERROR(ROUND(COUNTIFS(Tasks!$A:$A,$A952,Tasks!$B:$B,$B952,Tasks!$C:$C,$G952,Tasks!$I:$I,"&lt;="&amp;INDEX(Weeks!$D:$D,MATCH($C952,Weeks!$A:$A,0)),Tasks!$I:$I,"&lt;&gt;")/COUNTIFS(Tasks!$A:$A,$A952,Tasks!$B:$B,$B952,Tasks!$C:$C,$G952)*100,0),"")</f>
        <v/>
      </c>
    </row>
    <row r="953" spans="1:8" ht="15" hidden="1" customHeight="1">
      <c r="A953" t="s">
        <v>97</v>
      </c>
      <c r="B953" t="s">
        <v>98</v>
      </c>
      <c r="C953">
        <v>16</v>
      </c>
      <c r="D953">
        <v>4</v>
      </c>
      <c r="E953">
        <v>3</v>
      </c>
      <c r="F953">
        <v>4</v>
      </c>
      <c r="G953" t="s">
        <v>118</v>
      </c>
      <c r="H953" t="str">
        <f>IFERROR(ROUND(COUNTIFS(Tasks!$A:$A,$A953,Tasks!$B:$B,$B953,Tasks!$C:$C,$G953,Tasks!$I:$I,"&lt;="&amp;INDEX(Weeks!$D:$D,MATCH($C953,Weeks!$A:$A,0)),Tasks!$I:$I,"&lt;&gt;")/COUNTIFS(Tasks!$A:$A,$A953,Tasks!$B:$B,$B953,Tasks!$C:$C,$G953)*100,0),"")</f>
        <v/>
      </c>
    </row>
    <row r="954" spans="1:8" ht="15" hidden="1" customHeight="1">
      <c r="A954" t="s">
        <v>97</v>
      </c>
      <c r="B954" t="s">
        <v>98</v>
      </c>
      <c r="C954">
        <v>17</v>
      </c>
      <c r="D954">
        <v>4</v>
      </c>
      <c r="E954">
        <v>4</v>
      </c>
      <c r="F954">
        <v>4</v>
      </c>
      <c r="G954" t="s">
        <v>118</v>
      </c>
      <c r="H954" t="str">
        <f>IFERROR(ROUND(COUNTIFS(Tasks!$A:$A,$A954,Tasks!$B:$B,$B954,Tasks!$C:$C,$G954,Tasks!$I:$I,"&lt;="&amp;INDEX(Weeks!$D:$D,MATCH($C954,Weeks!$A:$A,0)),Tasks!$I:$I,"&lt;&gt;")/COUNTIFS(Tasks!$A:$A,$A954,Tasks!$B:$B,$B954,Tasks!$C:$C,$G954)*100,0),"")</f>
        <v/>
      </c>
    </row>
    <row r="955" spans="1:8" ht="15" hidden="1" customHeight="1">
      <c r="A955" t="s">
        <v>97</v>
      </c>
      <c r="B955" t="s">
        <v>98</v>
      </c>
      <c r="C955">
        <v>18</v>
      </c>
      <c r="D955">
        <v>5</v>
      </c>
      <c r="E955">
        <v>1</v>
      </c>
      <c r="F955">
        <v>4</v>
      </c>
      <c r="G955" t="s">
        <v>118</v>
      </c>
      <c r="H955" t="str">
        <f>IFERROR(ROUND(COUNTIFS(Tasks!$A:$A,$A955,Tasks!$B:$B,$B955,Tasks!$C:$C,$G955,Tasks!$I:$I,"&lt;="&amp;INDEX(Weeks!$D:$D,MATCH($C955,Weeks!$A:$A,0)),Tasks!$I:$I,"&lt;&gt;")/COUNTIFS(Tasks!$A:$A,$A955,Tasks!$B:$B,$B955,Tasks!$C:$C,$G955)*100,0),"")</f>
        <v/>
      </c>
    </row>
    <row r="956" spans="1:8" ht="15" hidden="1" customHeight="1">
      <c r="A956" t="s">
        <v>97</v>
      </c>
      <c r="B956" t="s">
        <v>98</v>
      </c>
      <c r="C956">
        <v>19</v>
      </c>
      <c r="D956">
        <v>5</v>
      </c>
      <c r="E956">
        <v>2</v>
      </c>
      <c r="F956">
        <v>4</v>
      </c>
      <c r="G956" t="s">
        <v>118</v>
      </c>
      <c r="H956" t="str">
        <f>IFERROR(ROUND(COUNTIFS(Tasks!$A:$A,$A956,Tasks!$B:$B,$B956,Tasks!$C:$C,$G956,Tasks!$I:$I,"&lt;="&amp;INDEX(Weeks!$D:$D,MATCH($C956,Weeks!$A:$A,0)),Tasks!$I:$I,"&lt;&gt;")/COUNTIFS(Tasks!$A:$A,$A956,Tasks!$B:$B,$B956,Tasks!$C:$C,$G956)*100,0),"")</f>
        <v/>
      </c>
    </row>
    <row r="957" spans="1:8" ht="15" hidden="1" customHeight="1">
      <c r="A957" t="s">
        <v>97</v>
      </c>
      <c r="B957" t="s">
        <v>98</v>
      </c>
      <c r="C957">
        <v>20</v>
      </c>
      <c r="D957">
        <v>5</v>
      </c>
      <c r="E957">
        <v>3</v>
      </c>
      <c r="F957">
        <v>4</v>
      </c>
      <c r="G957" t="s">
        <v>118</v>
      </c>
      <c r="H957" t="str">
        <f>IFERROR(ROUND(COUNTIFS(Tasks!$A:$A,$A957,Tasks!$B:$B,$B957,Tasks!$C:$C,$G957,Tasks!$I:$I,"&lt;="&amp;INDEX(Weeks!$D:$D,MATCH($C957,Weeks!$A:$A,0)),Tasks!$I:$I,"&lt;&gt;")/COUNTIFS(Tasks!$A:$A,$A957,Tasks!$B:$B,$B957,Tasks!$C:$C,$G957)*100,0),"")</f>
        <v/>
      </c>
    </row>
    <row r="958" spans="1:8" ht="15" hidden="1" customHeight="1">
      <c r="A958" t="s">
        <v>97</v>
      </c>
      <c r="B958" t="s">
        <v>98</v>
      </c>
      <c r="C958">
        <v>21</v>
      </c>
      <c r="D958">
        <v>5</v>
      </c>
      <c r="E958">
        <v>4</v>
      </c>
      <c r="F958">
        <v>4</v>
      </c>
      <c r="G958" t="s">
        <v>118</v>
      </c>
      <c r="H958" t="str">
        <f>IFERROR(ROUND(COUNTIFS(Tasks!$A:$A,$A958,Tasks!$B:$B,$B958,Tasks!$C:$C,$G958,Tasks!$I:$I,"&lt;="&amp;INDEX(Weeks!$D:$D,MATCH($C958,Weeks!$A:$A,0)),Tasks!$I:$I,"&lt;&gt;")/COUNTIFS(Tasks!$A:$A,$A958,Tasks!$B:$B,$B958,Tasks!$C:$C,$G958)*100,0),"")</f>
        <v/>
      </c>
    </row>
    <row r="959" spans="1:8" ht="15" hidden="1" customHeight="1">
      <c r="A959" t="s">
        <v>97</v>
      </c>
      <c r="B959" t="s">
        <v>98</v>
      </c>
      <c r="C959">
        <v>22</v>
      </c>
      <c r="D959">
        <v>5</v>
      </c>
      <c r="E959">
        <v>5</v>
      </c>
      <c r="F959">
        <v>4</v>
      </c>
      <c r="G959" t="s">
        <v>118</v>
      </c>
      <c r="H959" t="str">
        <f>IFERROR(ROUND(COUNTIFS(Tasks!$A:$A,$A959,Tasks!$B:$B,$B959,Tasks!$C:$C,$G959,Tasks!$I:$I,"&lt;="&amp;INDEX(Weeks!$D:$D,MATCH($C959,Weeks!$A:$A,0)),Tasks!$I:$I,"&lt;&gt;")/COUNTIFS(Tasks!$A:$A,$A959,Tasks!$B:$B,$B959,Tasks!$C:$C,$G959)*100,0),"")</f>
        <v/>
      </c>
    </row>
    <row r="960" spans="1:8" ht="15" hidden="1" customHeight="1">
      <c r="A960" t="s">
        <v>97</v>
      </c>
      <c r="B960" t="s">
        <v>98</v>
      </c>
      <c r="C960">
        <v>23</v>
      </c>
      <c r="D960">
        <v>6</v>
      </c>
      <c r="E960">
        <v>1</v>
      </c>
      <c r="F960">
        <v>4</v>
      </c>
      <c r="G960" t="s">
        <v>118</v>
      </c>
      <c r="H960" t="str">
        <f>IFERROR(ROUND(COUNTIFS(Tasks!$A:$A,$A960,Tasks!$B:$B,$B960,Tasks!$C:$C,$G960,Tasks!$I:$I,"&lt;="&amp;INDEX(Weeks!$D:$D,MATCH($C960,Weeks!$A:$A,0)),Tasks!$I:$I,"&lt;&gt;")/COUNTIFS(Tasks!$A:$A,$A960,Tasks!$B:$B,$B960,Tasks!$C:$C,$G960)*100,0),"")</f>
        <v/>
      </c>
    </row>
    <row r="961" spans="1:8" ht="15" hidden="1" customHeight="1">
      <c r="A961" t="s">
        <v>97</v>
      </c>
      <c r="B961" t="s">
        <v>98</v>
      </c>
      <c r="C961">
        <v>24</v>
      </c>
      <c r="D961">
        <v>6</v>
      </c>
      <c r="E961">
        <v>2</v>
      </c>
      <c r="F961">
        <v>4</v>
      </c>
      <c r="G961" t="s">
        <v>118</v>
      </c>
      <c r="H961" t="str">
        <f>IFERROR(ROUND(COUNTIFS(Tasks!$A:$A,$A961,Tasks!$B:$B,$B961,Tasks!$C:$C,$G961,Tasks!$I:$I,"&lt;="&amp;INDEX(Weeks!$D:$D,MATCH($C961,Weeks!$A:$A,0)),Tasks!$I:$I,"&lt;&gt;")/COUNTIFS(Tasks!$A:$A,$A961,Tasks!$B:$B,$B961,Tasks!$C:$C,$G961)*100,0),"")</f>
        <v/>
      </c>
    </row>
    <row r="962" spans="1:8" ht="15" hidden="1" customHeight="1">
      <c r="A962" t="s">
        <v>97</v>
      </c>
      <c r="B962" t="s">
        <v>98</v>
      </c>
      <c r="C962">
        <v>25</v>
      </c>
      <c r="D962">
        <v>6</v>
      </c>
      <c r="E962">
        <v>3</v>
      </c>
      <c r="F962">
        <v>4</v>
      </c>
      <c r="G962" t="s">
        <v>118</v>
      </c>
      <c r="H962" t="str">
        <f>IFERROR(ROUND(COUNTIFS(Tasks!$A:$A,$A962,Tasks!$B:$B,$B962,Tasks!$C:$C,$G962,Tasks!$I:$I,"&lt;="&amp;INDEX(Weeks!$D:$D,MATCH($C962,Weeks!$A:$A,0)),Tasks!$I:$I,"&lt;&gt;")/COUNTIFS(Tasks!$A:$A,$A962,Tasks!$B:$B,$B962,Tasks!$C:$C,$G962)*100,0),"")</f>
        <v/>
      </c>
    </row>
    <row r="963" spans="1:8" ht="15" hidden="1" customHeight="1">
      <c r="A963" t="s">
        <v>97</v>
      </c>
      <c r="B963" t="s">
        <v>98</v>
      </c>
      <c r="C963">
        <v>26</v>
      </c>
      <c r="D963">
        <v>6</v>
      </c>
      <c r="E963">
        <v>4</v>
      </c>
      <c r="F963">
        <v>4</v>
      </c>
      <c r="G963" t="s">
        <v>118</v>
      </c>
      <c r="H963" t="str">
        <f>IFERROR(ROUND(COUNTIFS(Tasks!$A:$A,$A963,Tasks!$B:$B,$B963,Tasks!$C:$C,$G963,Tasks!$I:$I,"&lt;="&amp;INDEX(Weeks!$D:$D,MATCH($C963,Weeks!$A:$A,0)),Tasks!$I:$I,"&lt;&gt;")/COUNTIFS(Tasks!$A:$A,$A963,Tasks!$B:$B,$B963,Tasks!$C:$C,$G963)*100,0),"")</f>
        <v/>
      </c>
    </row>
    <row r="964" spans="1:8" ht="15" hidden="1" customHeight="1">
      <c r="A964" t="s">
        <v>97</v>
      </c>
      <c r="B964" t="s">
        <v>98</v>
      </c>
      <c r="C964">
        <v>27</v>
      </c>
      <c r="D964">
        <v>7</v>
      </c>
      <c r="E964">
        <v>1</v>
      </c>
      <c r="F964">
        <v>4</v>
      </c>
      <c r="G964" t="s">
        <v>118</v>
      </c>
      <c r="H964" t="str">
        <f>IFERROR(ROUND(COUNTIFS(Tasks!$A:$A,$A964,Tasks!$B:$B,$B964,Tasks!$C:$C,$G964,Tasks!$I:$I,"&lt;="&amp;INDEX(Weeks!$D:$D,MATCH($C964,Weeks!$A:$A,0)),Tasks!$I:$I,"&lt;&gt;")/COUNTIFS(Tasks!$A:$A,$A964,Tasks!$B:$B,$B964,Tasks!$C:$C,$G964)*100,0),"")</f>
        <v/>
      </c>
    </row>
    <row r="965" spans="1:8" ht="15" hidden="1" customHeight="1">
      <c r="A965" t="s">
        <v>97</v>
      </c>
      <c r="B965" t="s">
        <v>98</v>
      </c>
      <c r="C965">
        <v>28</v>
      </c>
      <c r="D965">
        <v>7</v>
      </c>
      <c r="E965">
        <v>2</v>
      </c>
      <c r="F965">
        <v>4</v>
      </c>
      <c r="G965" t="s">
        <v>118</v>
      </c>
      <c r="H965" t="str">
        <f>IFERROR(ROUND(COUNTIFS(Tasks!$A:$A,$A965,Tasks!$B:$B,$B965,Tasks!$C:$C,$G965,Tasks!$I:$I,"&lt;="&amp;INDEX(Weeks!$D:$D,MATCH($C965,Weeks!$A:$A,0)),Tasks!$I:$I,"&lt;&gt;")/COUNTIFS(Tasks!$A:$A,$A965,Tasks!$B:$B,$B965,Tasks!$C:$C,$G965)*100,0),"")</f>
        <v/>
      </c>
    </row>
    <row r="966" spans="1:8" ht="15" hidden="1" customHeight="1">
      <c r="A966" t="s">
        <v>97</v>
      </c>
      <c r="B966" t="s">
        <v>98</v>
      </c>
      <c r="C966">
        <v>29</v>
      </c>
      <c r="D966">
        <v>7</v>
      </c>
      <c r="E966">
        <v>3</v>
      </c>
      <c r="F966">
        <v>4</v>
      </c>
      <c r="G966" t="s">
        <v>118</v>
      </c>
      <c r="H966" t="str">
        <f>IFERROR(ROUND(COUNTIFS(Tasks!$A:$A,$A966,Tasks!$B:$B,$B966,Tasks!$C:$C,$G966,Tasks!$I:$I,"&lt;="&amp;INDEX(Weeks!$D:$D,MATCH($C966,Weeks!$A:$A,0)),Tasks!$I:$I,"&lt;&gt;")/COUNTIFS(Tasks!$A:$A,$A966,Tasks!$B:$B,$B966,Tasks!$C:$C,$G966)*100,0),"")</f>
        <v/>
      </c>
    </row>
    <row r="967" spans="1:8" ht="15" hidden="1" customHeight="1">
      <c r="A967" t="s">
        <v>97</v>
      </c>
      <c r="B967" t="s">
        <v>98</v>
      </c>
      <c r="C967">
        <v>30</v>
      </c>
      <c r="D967">
        <v>7</v>
      </c>
      <c r="E967">
        <v>4</v>
      </c>
      <c r="F967">
        <v>4</v>
      </c>
      <c r="G967" t="s">
        <v>118</v>
      </c>
      <c r="H967" t="str">
        <f>IFERROR(ROUND(COUNTIFS(Tasks!$A:$A,$A967,Tasks!$B:$B,$B967,Tasks!$C:$C,$G967,Tasks!$I:$I,"&lt;="&amp;INDEX(Weeks!$D:$D,MATCH($C967,Weeks!$A:$A,0)),Tasks!$I:$I,"&lt;&gt;")/COUNTIFS(Tasks!$A:$A,$A967,Tasks!$B:$B,$B967,Tasks!$C:$C,$G967)*100,0),"")</f>
        <v/>
      </c>
    </row>
    <row r="968" spans="1:8" ht="15" hidden="1" customHeight="1">
      <c r="A968" t="s">
        <v>97</v>
      </c>
      <c r="B968" t="s">
        <v>98</v>
      </c>
      <c r="C968">
        <v>31</v>
      </c>
      <c r="D968">
        <v>8</v>
      </c>
      <c r="E968">
        <v>1</v>
      </c>
      <c r="F968">
        <v>4</v>
      </c>
      <c r="G968" t="s">
        <v>118</v>
      </c>
      <c r="H968" t="str">
        <f>IFERROR(ROUND(COUNTIFS(Tasks!$A:$A,$A968,Tasks!$B:$B,$B968,Tasks!$C:$C,$G968,Tasks!$I:$I,"&lt;="&amp;INDEX(Weeks!$D:$D,MATCH($C968,Weeks!$A:$A,0)),Tasks!$I:$I,"&lt;&gt;")/COUNTIFS(Tasks!$A:$A,$A968,Tasks!$B:$B,$B968,Tasks!$C:$C,$G968)*100,0),"")</f>
        <v/>
      </c>
    </row>
    <row r="969" spans="1:8" ht="15" hidden="1" customHeight="1">
      <c r="A969" t="s">
        <v>97</v>
      </c>
      <c r="B969" t="s">
        <v>98</v>
      </c>
      <c r="C969">
        <v>32</v>
      </c>
      <c r="D969">
        <v>8</v>
      </c>
      <c r="E969">
        <v>2</v>
      </c>
      <c r="F969">
        <v>4</v>
      </c>
      <c r="G969" t="s">
        <v>118</v>
      </c>
      <c r="H969" t="str">
        <f>IFERROR(ROUND(COUNTIFS(Tasks!$A:$A,$A969,Tasks!$B:$B,$B969,Tasks!$C:$C,$G969,Tasks!$I:$I,"&lt;="&amp;INDEX(Weeks!$D:$D,MATCH($C969,Weeks!$A:$A,0)),Tasks!$I:$I,"&lt;&gt;")/COUNTIFS(Tasks!$A:$A,$A969,Tasks!$B:$B,$B969,Tasks!$C:$C,$G969)*100,0),"")</f>
        <v/>
      </c>
    </row>
    <row r="970" spans="1:8" ht="15" hidden="1" customHeight="1">
      <c r="A970" t="s">
        <v>97</v>
      </c>
      <c r="B970" t="s">
        <v>98</v>
      </c>
      <c r="C970">
        <v>33</v>
      </c>
      <c r="D970">
        <v>8</v>
      </c>
      <c r="E970">
        <v>3</v>
      </c>
      <c r="F970">
        <v>4</v>
      </c>
      <c r="G970" t="s">
        <v>118</v>
      </c>
      <c r="H970" t="str">
        <f>IFERROR(ROUND(COUNTIFS(Tasks!$A:$A,$A970,Tasks!$B:$B,$B970,Tasks!$C:$C,$G970,Tasks!$I:$I,"&lt;="&amp;INDEX(Weeks!$D:$D,MATCH($C970,Weeks!$A:$A,0)),Tasks!$I:$I,"&lt;&gt;")/COUNTIFS(Tasks!$A:$A,$A970,Tasks!$B:$B,$B970,Tasks!$C:$C,$G970)*100,0),"")</f>
        <v/>
      </c>
    </row>
    <row r="971" spans="1:8" ht="15" hidden="1" customHeight="1">
      <c r="A971" t="s">
        <v>97</v>
      </c>
      <c r="B971" t="s">
        <v>98</v>
      </c>
      <c r="C971">
        <v>34</v>
      </c>
      <c r="D971">
        <v>8</v>
      </c>
      <c r="E971">
        <v>4</v>
      </c>
      <c r="F971">
        <v>4</v>
      </c>
      <c r="G971" t="s">
        <v>118</v>
      </c>
      <c r="H971" t="str">
        <f>IFERROR(ROUND(COUNTIFS(Tasks!$A:$A,$A971,Tasks!$B:$B,$B971,Tasks!$C:$C,$G971,Tasks!$I:$I,"&lt;="&amp;INDEX(Weeks!$D:$D,MATCH($C971,Weeks!$A:$A,0)),Tasks!$I:$I,"&lt;&gt;")/COUNTIFS(Tasks!$A:$A,$A971,Tasks!$B:$B,$B971,Tasks!$C:$C,$G971)*100,0),"")</f>
        <v/>
      </c>
    </row>
    <row r="972" spans="1:8" ht="15" hidden="1" customHeight="1">
      <c r="A972" t="s">
        <v>97</v>
      </c>
      <c r="B972" t="s">
        <v>98</v>
      </c>
      <c r="C972">
        <v>35</v>
      </c>
      <c r="D972">
        <v>8</v>
      </c>
      <c r="E972">
        <v>5</v>
      </c>
      <c r="F972">
        <v>4</v>
      </c>
      <c r="G972" t="s">
        <v>118</v>
      </c>
      <c r="H972" t="str">
        <f>IFERROR(ROUND(COUNTIFS(Tasks!$A:$A,$A972,Tasks!$B:$B,$B972,Tasks!$C:$C,$G972,Tasks!$I:$I,"&lt;="&amp;INDEX(Weeks!$D:$D,MATCH($C972,Weeks!$A:$A,0)),Tasks!$I:$I,"&lt;&gt;")/COUNTIFS(Tasks!$A:$A,$A972,Tasks!$B:$B,$B972,Tasks!$C:$C,$G972)*100,0),"")</f>
        <v/>
      </c>
    </row>
    <row r="973" spans="1:8" ht="15" hidden="1" customHeight="1">
      <c r="A973" t="s">
        <v>97</v>
      </c>
      <c r="B973" t="s">
        <v>98</v>
      </c>
      <c r="C973">
        <v>36</v>
      </c>
      <c r="D973">
        <v>9</v>
      </c>
      <c r="E973">
        <v>1</v>
      </c>
      <c r="F973">
        <v>4</v>
      </c>
      <c r="G973" t="s">
        <v>118</v>
      </c>
      <c r="H973" t="str">
        <f>IFERROR(ROUND(COUNTIFS(Tasks!$A:$A,$A973,Tasks!$B:$B,$B973,Tasks!$C:$C,$G973,Tasks!$I:$I,"&lt;="&amp;INDEX(Weeks!$D:$D,MATCH($C973,Weeks!$A:$A,0)),Tasks!$I:$I,"&lt;&gt;")/COUNTIFS(Tasks!$A:$A,$A973,Tasks!$B:$B,$B973,Tasks!$C:$C,$G973)*100,0),"")</f>
        <v/>
      </c>
    </row>
    <row r="974" spans="1:8" ht="15" hidden="1" customHeight="1">
      <c r="A974" t="s">
        <v>97</v>
      </c>
      <c r="B974" t="s">
        <v>98</v>
      </c>
      <c r="C974">
        <v>37</v>
      </c>
      <c r="D974">
        <v>9</v>
      </c>
      <c r="E974">
        <v>2</v>
      </c>
      <c r="F974">
        <v>4</v>
      </c>
      <c r="G974" t="s">
        <v>118</v>
      </c>
      <c r="H974" t="str">
        <f>IFERROR(ROUND(COUNTIFS(Tasks!$A:$A,$A974,Tasks!$B:$B,$B974,Tasks!$C:$C,$G974,Tasks!$I:$I,"&lt;="&amp;INDEX(Weeks!$D:$D,MATCH($C974,Weeks!$A:$A,0)),Tasks!$I:$I,"&lt;&gt;")/COUNTIFS(Tasks!$A:$A,$A974,Tasks!$B:$B,$B974,Tasks!$C:$C,$G974)*100,0),"")</f>
        <v/>
      </c>
    </row>
    <row r="975" spans="1:8" ht="15" hidden="1" customHeight="1">
      <c r="A975" t="s">
        <v>97</v>
      </c>
      <c r="B975" t="s">
        <v>98</v>
      </c>
      <c r="C975">
        <v>38</v>
      </c>
      <c r="D975">
        <v>9</v>
      </c>
      <c r="E975">
        <v>3</v>
      </c>
      <c r="F975">
        <v>4</v>
      </c>
      <c r="G975" t="s">
        <v>118</v>
      </c>
      <c r="H975" t="str">
        <f>IFERROR(ROUND(COUNTIFS(Tasks!$A:$A,$A975,Tasks!$B:$B,$B975,Tasks!$C:$C,$G975,Tasks!$I:$I,"&lt;="&amp;INDEX(Weeks!$D:$D,MATCH($C975,Weeks!$A:$A,0)),Tasks!$I:$I,"&lt;&gt;")/COUNTIFS(Tasks!$A:$A,$A975,Tasks!$B:$B,$B975,Tasks!$C:$C,$G975)*100,0),"")</f>
        <v/>
      </c>
    </row>
    <row r="976" spans="1:8" ht="15" hidden="1" customHeight="1">
      <c r="A976" t="s">
        <v>97</v>
      </c>
      <c r="B976" t="s">
        <v>98</v>
      </c>
      <c r="C976">
        <v>39</v>
      </c>
      <c r="D976">
        <v>9</v>
      </c>
      <c r="E976">
        <v>4</v>
      </c>
      <c r="F976">
        <v>4</v>
      </c>
      <c r="G976" t="s">
        <v>118</v>
      </c>
      <c r="H976" t="str">
        <f>IFERROR(ROUND(COUNTIFS(Tasks!$A:$A,$A976,Tasks!$B:$B,$B976,Tasks!$C:$C,$G976,Tasks!$I:$I,"&lt;="&amp;INDEX(Weeks!$D:$D,MATCH($C976,Weeks!$A:$A,0)),Tasks!$I:$I,"&lt;&gt;")/COUNTIFS(Tasks!$A:$A,$A976,Tasks!$B:$B,$B976,Tasks!$C:$C,$G976)*100,0),"")</f>
        <v/>
      </c>
    </row>
    <row r="977" spans="1:8" ht="15" hidden="1" customHeight="1">
      <c r="A977" t="s">
        <v>97</v>
      </c>
      <c r="B977" t="s">
        <v>98</v>
      </c>
      <c r="C977">
        <v>40</v>
      </c>
      <c r="D977">
        <v>10</v>
      </c>
      <c r="E977">
        <v>1</v>
      </c>
      <c r="F977">
        <v>4</v>
      </c>
      <c r="G977" t="s">
        <v>118</v>
      </c>
      <c r="H977" t="str">
        <f>IFERROR(ROUND(COUNTIFS(Tasks!$A:$A,$A977,Tasks!$B:$B,$B977,Tasks!$C:$C,$G977,Tasks!$I:$I,"&lt;="&amp;INDEX(Weeks!$D:$D,MATCH($C977,Weeks!$A:$A,0)),Tasks!$I:$I,"&lt;&gt;")/COUNTIFS(Tasks!$A:$A,$A977,Tasks!$B:$B,$B977,Tasks!$C:$C,$G977)*100,0),"")</f>
        <v/>
      </c>
    </row>
    <row r="978" spans="1:8" ht="15" hidden="1" customHeight="1">
      <c r="A978" t="s">
        <v>97</v>
      </c>
      <c r="B978" t="s">
        <v>98</v>
      </c>
      <c r="C978">
        <v>41</v>
      </c>
      <c r="D978">
        <v>10</v>
      </c>
      <c r="E978">
        <v>2</v>
      </c>
      <c r="F978">
        <v>4</v>
      </c>
      <c r="G978" t="s">
        <v>118</v>
      </c>
      <c r="H978" t="str">
        <f>IFERROR(ROUND(COUNTIFS(Tasks!$A:$A,$A978,Tasks!$B:$B,$B978,Tasks!$C:$C,$G978,Tasks!$I:$I,"&lt;="&amp;INDEX(Weeks!$D:$D,MATCH($C978,Weeks!$A:$A,0)),Tasks!$I:$I,"&lt;&gt;")/COUNTIFS(Tasks!$A:$A,$A978,Tasks!$B:$B,$B978,Tasks!$C:$C,$G978)*100,0),"")</f>
        <v/>
      </c>
    </row>
    <row r="979" spans="1:8" ht="15" hidden="1" customHeight="1">
      <c r="A979" t="s">
        <v>97</v>
      </c>
      <c r="B979" t="s">
        <v>98</v>
      </c>
      <c r="C979">
        <v>42</v>
      </c>
      <c r="D979">
        <v>10</v>
      </c>
      <c r="E979">
        <v>3</v>
      </c>
      <c r="F979">
        <v>4</v>
      </c>
      <c r="G979" t="s">
        <v>118</v>
      </c>
      <c r="H979" t="str">
        <f>IFERROR(ROUND(COUNTIFS(Tasks!$A:$A,$A979,Tasks!$B:$B,$B979,Tasks!$C:$C,$G979,Tasks!$I:$I,"&lt;="&amp;INDEX(Weeks!$D:$D,MATCH($C979,Weeks!$A:$A,0)),Tasks!$I:$I,"&lt;&gt;")/COUNTIFS(Tasks!$A:$A,$A979,Tasks!$B:$B,$B979,Tasks!$C:$C,$G979)*100,0),"")</f>
        <v/>
      </c>
    </row>
    <row r="980" spans="1:8" ht="15" hidden="1" customHeight="1">
      <c r="A980" t="s">
        <v>97</v>
      </c>
      <c r="B980" t="s">
        <v>98</v>
      </c>
      <c r="C980">
        <v>43</v>
      </c>
      <c r="D980">
        <v>10</v>
      </c>
      <c r="E980">
        <v>4</v>
      </c>
      <c r="F980">
        <v>4</v>
      </c>
      <c r="G980" t="s">
        <v>118</v>
      </c>
      <c r="H980" t="str">
        <f>IFERROR(ROUND(COUNTIFS(Tasks!$A:$A,$A980,Tasks!$B:$B,$B980,Tasks!$C:$C,$G980,Tasks!$I:$I,"&lt;="&amp;INDEX(Weeks!$D:$D,MATCH($C980,Weeks!$A:$A,0)),Tasks!$I:$I,"&lt;&gt;")/COUNTIFS(Tasks!$A:$A,$A980,Tasks!$B:$B,$B980,Tasks!$C:$C,$G980)*100,0),"")</f>
        <v/>
      </c>
    </row>
    <row r="981" spans="1:8" ht="15" hidden="1" customHeight="1">
      <c r="A981" t="s">
        <v>97</v>
      </c>
      <c r="B981" t="s">
        <v>98</v>
      </c>
      <c r="C981">
        <v>44</v>
      </c>
      <c r="D981">
        <v>10</v>
      </c>
      <c r="E981">
        <v>5</v>
      </c>
      <c r="F981">
        <v>4</v>
      </c>
      <c r="G981" t="s">
        <v>118</v>
      </c>
      <c r="H981" t="str">
        <f>IFERROR(ROUND(COUNTIFS(Tasks!$A:$A,$A981,Tasks!$B:$B,$B981,Tasks!$C:$C,$G981,Tasks!$I:$I,"&lt;="&amp;INDEX(Weeks!$D:$D,MATCH($C981,Weeks!$A:$A,0)),Tasks!$I:$I,"&lt;&gt;")/COUNTIFS(Tasks!$A:$A,$A981,Tasks!$B:$B,$B981,Tasks!$C:$C,$G981)*100,0),"")</f>
        <v/>
      </c>
    </row>
    <row r="982" spans="1:8" ht="15" hidden="1" customHeight="1">
      <c r="A982" t="s">
        <v>97</v>
      </c>
      <c r="B982" t="s">
        <v>98</v>
      </c>
      <c r="C982">
        <v>45</v>
      </c>
      <c r="D982">
        <v>11</v>
      </c>
      <c r="E982">
        <v>1</v>
      </c>
      <c r="F982">
        <v>4</v>
      </c>
      <c r="G982" t="s">
        <v>118</v>
      </c>
      <c r="H982" t="str">
        <f>IFERROR(ROUND(COUNTIFS(Tasks!$A:$A,$A982,Tasks!$B:$B,$B982,Tasks!$C:$C,$G982,Tasks!$I:$I,"&lt;="&amp;INDEX(Weeks!$D:$D,MATCH($C982,Weeks!$A:$A,0)),Tasks!$I:$I,"&lt;&gt;")/COUNTIFS(Tasks!$A:$A,$A982,Tasks!$B:$B,$B982,Tasks!$C:$C,$G982)*100,0),"")</f>
        <v/>
      </c>
    </row>
    <row r="983" spans="1:8" ht="15" hidden="1" customHeight="1">
      <c r="A983" t="s">
        <v>97</v>
      </c>
      <c r="B983" t="s">
        <v>98</v>
      </c>
      <c r="C983">
        <v>46</v>
      </c>
      <c r="D983">
        <v>11</v>
      </c>
      <c r="E983">
        <v>2</v>
      </c>
      <c r="F983">
        <v>4</v>
      </c>
      <c r="G983" t="s">
        <v>118</v>
      </c>
      <c r="H983" t="str">
        <f>IFERROR(ROUND(COUNTIFS(Tasks!$A:$A,$A983,Tasks!$B:$B,$B983,Tasks!$C:$C,$G983,Tasks!$I:$I,"&lt;="&amp;INDEX(Weeks!$D:$D,MATCH($C983,Weeks!$A:$A,0)),Tasks!$I:$I,"&lt;&gt;")/COUNTIFS(Tasks!$A:$A,$A983,Tasks!$B:$B,$B983,Tasks!$C:$C,$G983)*100,0),"")</f>
        <v/>
      </c>
    </row>
    <row r="984" spans="1:8" ht="15" hidden="1" customHeight="1">
      <c r="A984" t="s">
        <v>97</v>
      </c>
      <c r="B984" t="s">
        <v>98</v>
      </c>
      <c r="C984">
        <v>47</v>
      </c>
      <c r="D984">
        <v>11</v>
      </c>
      <c r="E984">
        <v>3</v>
      </c>
      <c r="F984">
        <v>4</v>
      </c>
      <c r="G984" t="s">
        <v>118</v>
      </c>
      <c r="H984" t="str">
        <f>IFERROR(ROUND(COUNTIFS(Tasks!$A:$A,$A984,Tasks!$B:$B,$B984,Tasks!$C:$C,$G984,Tasks!$I:$I,"&lt;="&amp;INDEX(Weeks!$D:$D,MATCH($C984,Weeks!$A:$A,0)),Tasks!$I:$I,"&lt;&gt;")/COUNTIFS(Tasks!$A:$A,$A984,Tasks!$B:$B,$B984,Tasks!$C:$C,$G984)*100,0),"")</f>
        <v/>
      </c>
    </row>
    <row r="985" spans="1:8" ht="15" hidden="1" customHeight="1">
      <c r="A985" t="s">
        <v>97</v>
      </c>
      <c r="B985" t="s">
        <v>98</v>
      </c>
      <c r="C985">
        <v>48</v>
      </c>
      <c r="D985">
        <v>11</v>
      </c>
      <c r="E985">
        <v>4</v>
      </c>
      <c r="F985">
        <v>4</v>
      </c>
      <c r="G985" t="s">
        <v>118</v>
      </c>
      <c r="H985" t="str">
        <f>IFERROR(ROUND(COUNTIFS(Tasks!$A:$A,$A985,Tasks!$B:$B,$B985,Tasks!$C:$C,$G985,Tasks!$I:$I,"&lt;="&amp;INDEX(Weeks!$D:$D,MATCH($C985,Weeks!$A:$A,0)),Tasks!$I:$I,"&lt;&gt;")/COUNTIFS(Tasks!$A:$A,$A985,Tasks!$B:$B,$B985,Tasks!$C:$C,$G985)*100,0),"")</f>
        <v/>
      </c>
    </row>
    <row r="986" spans="1:8" ht="15" hidden="1" customHeight="1">
      <c r="A986" t="s">
        <v>97</v>
      </c>
      <c r="B986" t="s">
        <v>98</v>
      </c>
      <c r="C986">
        <v>49</v>
      </c>
      <c r="D986">
        <v>12</v>
      </c>
      <c r="E986">
        <v>1</v>
      </c>
      <c r="F986">
        <v>4</v>
      </c>
      <c r="G986" t="s">
        <v>118</v>
      </c>
      <c r="H986" t="str">
        <f>IFERROR(ROUND(COUNTIFS(Tasks!$A:$A,$A986,Tasks!$B:$B,$B986,Tasks!$C:$C,$G986,Tasks!$I:$I,"&lt;="&amp;INDEX(Weeks!$D:$D,MATCH($C986,Weeks!$A:$A,0)),Tasks!$I:$I,"&lt;&gt;")/COUNTIFS(Tasks!$A:$A,$A986,Tasks!$B:$B,$B986,Tasks!$C:$C,$G986)*100,0),"")</f>
        <v/>
      </c>
    </row>
    <row r="987" spans="1:8" ht="15" hidden="1" customHeight="1">
      <c r="A987" t="s">
        <v>97</v>
      </c>
      <c r="B987" t="s">
        <v>98</v>
      </c>
      <c r="C987">
        <v>50</v>
      </c>
      <c r="D987">
        <v>12</v>
      </c>
      <c r="E987">
        <v>2</v>
      </c>
      <c r="F987">
        <v>4</v>
      </c>
      <c r="G987" t="s">
        <v>118</v>
      </c>
      <c r="H987" t="str">
        <f>IFERROR(ROUND(COUNTIFS(Tasks!$A:$A,$A987,Tasks!$B:$B,$B987,Tasks!$C:$C,$G987,Tasks!$I:$I,"&lt;="&amp;INDEX(Weeks!$D:$D,MATCH($C987,Weeks!$A:$A,0)),Tasks!$I:$I,"&lt;&gt;")/COUNTIFS(Tasks!$A:$A,$A987,Tasks!$B:$B,$B987,Tasks!$C:$C,$G987)*100,0),"")</f>
        <v/>
      </c>
    </row>
    <row r="988" spans="1:8" ht="15" hidden="1" customHeight="1">
      <c r="A988" t="s">
        <v>97</v>
      </c>
      <c r="B988" t="s">
        <v>98</v>
      </c>
      <c r="C988">
        <v>51</v>
      </c>
      <c r="D988">
        <v>12</v>
      </c>
      <c r="E988">
        <v>3</v>
      </c>
      <c r="F988">
        <v>4</v>
      </c>
      <c r="G988" t="s">
        <v>118</v>
      </c>
      <c r="H988" t="str">
        <f>IFERROR(ROUND(COUNTIFS(Tasks!$A:$A,$A988,Tasks!$B:$B,$B988,Tasks!$C:$C,$G988,Tasks!$I:$I,"&lt;="&amp;INDEX(Weeks!$D:$D,MATCH($C988,Weeks!$A:$A,0)),Tasks!$I:$I,"&lt;&gt;")/COUNTIFS(Tasks!$A:$A,$A988,Tasks!$B:$B,$B988,Tasks!$C:$C,$G988)*100,0),"")</f>
        <v/>
      </c>
    </row>
    <row r="989" spans="1:8" ht="15" hidden="1" customHeight="1">
      <c r="A989" t="s">
        <v>97</v>
      </c>
      <c r="B989" t="s">
        <v>98</v>
      </c>
      <c r="C989">
        <v>52</v>
      </c>
      <c r="D989">
        <v>12</v>
      </c>
      <c r="E989">
        <v>4</v>
      </c>
      <c r="F989">
        <v>4</v>
      </c>
      <c r="G989" t="s">
        <v>118</v>
      </c>
      <c r="H989" t="str">
        <f>IFERROR(ROUND(COUNTIFS(Tasks!$A:$A,$A989,Tasks!$B:$B,$B989,Tasks!$C:$C,$G989,Tasks!$I:$I,"&lt;="&amp;INDEX(Weeks!$D:$D,MATCH($C989,Weeks!$A:$A,0)),Tasks!$I:$I,"&lt;&gt;")/COUNTIFS(Tasks!$A:$A,$A989,Tasks!$B:$B,$B989,Tasks!$C:$C,$G989)*100,0),"")</f>
        <v/>
      </c>
    </row>
    <row r="990" spans="1:8" ht="15" hidden="1" customHeight="1">
      <c r="A990" t="s">
        <v>97</v>
      </c>
      <c r="B990" t="s">
        <v>98</v>
      </c>
      <c r="C990">
        <v>1</v>
      </c>
      <c r="D990">
        <v>1</v>
      </c>
      <c r="E990">
        <v>1</v>
      </c>
      <c r="F990">
        <v>5</v>
      </c>
      <c r="G990" t="s">
        <v>119</v>
      </c>
      <c r="H990" t="str">
        <f>IFERROR(ROUND(COUNTIFS(Tasks!$A:$A,$A990,Tasks!$B:$B,$B990,Tasks!$C:$C,$G990,Tasks!$I:$I,"&lt;="&amp;INDEX(Weeks!$D:$D,MATCH($C990,Weeks!$A:$A,0)),Tasks!$I:$I,"&lt;&gt;")/COUNTIFS(Tasks!$A:$A,$A990,Tasks!$B:$B,$B990,Tasks!$C:$C,$G990)*100,0),"")</f>
        <v/>
      </c>
    </row>
    <row r="991" spans="1:8" ht="15" hidden="1" customHeight="1">
      <c r="A991" t="s">
        <v>97</v>
      </c>
      <c r="B991" t="s">
        <v>98</v>
      </c>
      <c r="C991">
        <v>2</v>
      </c>
      <c r="D991">
        <v>1</v>
      </c>
      <c r="E991">
        <v>2</v>
      </c>
      <c r="F991">
        <v>5</v>
      </c>
      <c r="G991" t="s">
        <v>119</v>
      </c>
      <c r="H991" t="str">
        <f>IFERROR(ROUND(COUNTIFS(Tasks!$A:$A,$A991,Tasks!$B:$B,$B991,Tasks!$C:$C,$G991,Tasks!$I:$I,"&lt;="&amp;INDEX(Weeks!$D:$D,MATCH($C991,Weeks!$A:$A,0)),Tasks!$I:$I,"&lt;&gt;")/COUNTIFS(Tasks!$A:$A,$A991,Tasks!$B:$B,$B991,Tasks!$C:$C,$G991)*100,0),"")</f>
        <v/>
      </c>
    </row>
    <row r="992" spans="1:8" ht="15" hidden="1" customHeight="1">
      <c r="A992" t="s">
        <v>97</v>
      </c>
      <c r="B992" t="s">
        <v>98</v>
      </c>
      <c r="C992">
        <v>3</v>
      </c>
      <c r="D992">
        <v>1</v>
      </c>
      <c r="E992">
        <v>3</v>
      </c>
      <c r="F992">
        <v>5</v>
      </c>
      <c r="G992" t="s">
        <v>119</v>
      </c>
      <c r="H992" t="str">
        <f>IFERROR(ROUND(COUNTIFS(Tasks!$A:$A,$A992,Tasks!$B:$B,$B992,Tasks!$C:$C,$G992,Tasks!$I:$I,"&lt;="&amp;INDEX(Weeks!$D:$D,MATCH($C992,Weeks!$A:$A,0)),Tasks!$I:$I,"&lt;&gt;")/COUNTIFS(Tasks!$A:$A,$A992,Tasks!$B:$B,$B992,Tasks!$C:$C,$G992)*100,0),"")</f>
        <v/>
      </c>
    </row>
    <row r="993" spans="1:8" ht="15" hidden="1" customHeight="1">
      <c r="A993" t="s">
        <v>97</v>
      </c>
      <c r="B993" t="s">
        <v>98</v>
      </c>
      <c r="C993">
        <v>4</v>
      </c>
      <c r="D993">
        <v>1</v>
      </c>
      <c r="E993">
        <v>4</v>
      </c>
      <c r="F993">
        <v>5</v>
      </c>
      <c r="G993" t="s">
        <v>119</v>
      </c>
      <c r="H993" t="str">
        <f>IFERROR(ROUND(COUNTIFS(Tasks!$A:$A,$A993,Tasks!$B:$B,$B993,Tasks!$C:$C,$G993,Tasks!$I:$I,"&lt;="&amp;INDEX(Weeks!$D:$D,MATCH($C993,Weeks!$A:$A,0)),Tasks!$I:$I,"&lt;&gt;")/COUNTIFS(Tasks!$A:$A,$A993,Tasks!$B:$B,$B993,Tasks!$C:$C,$G993)*100,0),"")</f>
        <v/>
      </c>
    </row>
    <row r="994" spans="1:8" ht="15" hidden="1" customHeight="1">
      <c r="A994" t="s">
        <v>97</v>
      </c>
      <c r="B994" t="s">
        <v>98</v>
      </c>
      <c r="C994">
        <v>5</v>
      </c>
      <c r="D994">
        <v>1</v>
      </c>
      <c r="E994">
        <v>5</v>
      </c>
      <c r="F994">
        <v>5</v>
      </c>
      <c r="G994" t="s">
        <v>119</v>
      </c>
      <c r="H994" t="str">
        <f>IFERROR(ROUND(COUNTIFS(Tasks!$A:$A,$A994,Tasks!$B:$B,$B994,Tasks!$C:$C,$G994,Tasks!$I:$I,"&lt;="&amp;INDEX(Weeks!$D:$D,MATCH($C994,Weeks!$A:$A,0)),Tasks!$I:$I,"&lt;&gt;")/COUNTIFS(Tasks!$A:$A,$A994,Tasks!$B:$B,$B994,Tasks!$C:$C,$G994)*100,0),"")</f>
        <v/>
      </c>
    </row>
    <row r="995" spans="1:8" ht="15" hidden="1" customHeight="1">
      <c r="A995" t="s">
        <v>97</v>
      </c>
      <c r="B995" t="s">
        <v>98</v>
      </c>
      <c r="C995">
        <v>6</v>
      </c>
      <c r="D995">
        <v>2</v>
      </c>
      <c r="E995">
        <v>1</v>
      </c>
      <c r="F995">
        <v>5</v>
      </c>
      <c r="G995" t="s">
        <v>119</v>
      </c>
      <c r="H995" t="str">
        <f>IFERROR(ROUND(COUNTIFS(Tasks!$A:$A,$A995,Tasks!$B:$B,$B995,Tasks!$C:$C,$G995,Tasks!$I:$I,"&lt;="&amp;INDEX(Weeks!$D:$D,MATCH($C995,Weeks!$A:$A,0)),Tasks!$I:$I,"&lt;&gt;")/COUNTIFS(Tasks!$A:$A,$A995,Tasks!$B:$B,$B995,Tasks!$C:$C,$G995)*100,0),"")</f>
        <v/>
      </c>
    </row>
    <row r="996" spans="1:8" ht="15" hidden="1" customHeight="1">
      <c r="A996" t="s">
        <v>97</v>
      </c>
      <c r="B996" t="s">
        <v>98</v>
      </c>
      <c r="C996">
        <v>7</v>
      </c>
      <c r="D996">
        <v>2</v>
      </c>
      <c r="E996">
        <v>2</v>
      </c>
      <c r="F996">
        <v>5</v>
      </c>
      <c r="G996" t="s">
        <v>119</v>
      </c>
      <c r="H996" t="str">
        <f>IFERROR(ROUND(COUNTIFS(Tasks!$A:$A,$A996,Tasks!$B:$B,$B996,Tasks!$C:$C,$G996,Tasks!$I:$I,"&lt;="&amp;INDEX(Weeks!$D:$D,MATCH($C996,Weeks!$A:$A,0)),Tasks!$I:$I,"&lt;&gt;")/COUNTIFS(Tasks!$A:$A,$A996,Tasks!$B:$B,$B996,Tasks!$C:$C,$G996)*100,0),"")</f>
        <v/>
      </c>
    </row>
    <row r="997" spans="1:8" ht="15" hidden="1" customHeight="1">
      <c r="A997" t="s">
        <v>97</v>
      </c>
      <c r="B997" t="s">
        <v>98</v>
      </c>
      <c r="C997">
        <v>8</v>
      </c>
      <c r="D997">
        <v>2</v>
      </c>
      <c r="E997">
        <v>3</v>
      </c>
      <c r="F997">
        <v>5</v>
      </c>
      <c r="G997" t="s">
        <v>119</v>
      </c>
      <c r="H997" t="str">
        <f>IFERROR(ROUND(COUNTIFS(Tasks!$A:$A,$A997,Tasks!$B:$B,$B997,Tasks!$C:$C,$G997,Tasks!$I:$I,"&lt;="&amp;INDEX(Weeks!$D:$D,MATCH($C997,Weeks!$A:$A,0)),Tasks!$I:$I,"&lt;&gt;")/COUNTIFS(Tasks!$A:$A,$A997,Tasks!$B:$B,$B997,Tasks!$C:$C,$G997)*100,0),"")</f>
        <v/>
      </c>
    </row>
    <row r="998" spans="1:8" ht="15" hidden="1" customHeight="1">
      <c r="A998" t="s">
        <v>97</v>
      </c>
      <c r="B998" t="s">
        <v>98</v>
      </c>
      <c r="C998">
        <v>9</v>
      </c>
      <c r="D998">
        <v>2</v>
      </c>
      <c r="E998">
        <v>4</v>
      </c>
      <c r="F998">
        <v>5</v>
      </c>
      <c r="G998" t="s">
        <v>119</v>
      </c>
      <c r="H998" t="str">
        <f>IFERROR(ROUND(COUNTIFS(Tasks!$A:$A,$A998,Tasks!$B:$B,$B998,Tasks!$C:$C,$G998,Tasks!$I:$I,"&lt;="&amp;INDEX(Weeks!$D:$D,MATCH($C998,Weeks!$A:$A,0)),Tasks!$I:$I,"&lt;&gt;")/COUNTIFS(Tasks!$A:$A,$A998,Tasks!$B:$B,$B998,Tasks!$C:$C,$G998)*100,0),"")</f>
        <v/>
      </c>
    </row>
    <row r="999" spans="1:8" ht="15" hidden="1" customHeight="1">
      <c r="A999" t="s">
        <v>97</v>
      </c>
      <c r="B999" t="s">
        <v>98</v>
      </c>
      <c r="C999">
        <v>10</v>
      </c>
      <c r="D999">
        <v>3</v>
      </c>
      <c r="E999">
        <v>1</v>
      </c>
      <c r="F999">
        <v>5</v>
      </c>
      <c r="G999" t="s">
        <v>119</v>
      </c>
      <c r="H999" t="str">
        <f>IFERROR(ROUND(COUNTIFS(Tasks!$A:$A,$A999,Tasks!$B:$B,$B999,Tasks!$C:$C,$G999,Tasks!$I:$I,"&lt;="&amp;INDEX(Weeks!$D:$D,MATCH($C999,Weeks!$A:$A,0)),Tasks!$I:$I,"&lt;&gt;")/COUNTIFS(Tasks!$A:$A,$A999,Tasks!$B:$B,$B999,Tasks!$C:$C,$G999)*100,0),"")</f>
        <v/>
      </c>
    </row>
    <row r="1000" spans="1:8" ht="15" hidden="1" customHeight="1">
      <c r="A1000" t="s">
        <v>97</v>
      </c>
      <c r="B1000" t="s">
        <v>98</v>
      </c>
      <c r="C1000">
        <v>11</v>
      </c>
      <c r="D1000">
        <v>3</v>
      </c>
      <c r="E1000">
        <v>2</v>
      </c>
      <c r="F1000">
        <v>5</v>
      </c>
      <c r="G1000" t="s">
        <v>119</v>
      </c>
      <c r="H1000" t="str">
        <f>IFERROR(ROUND(COUNTIFS(Tasks!$A:$A,$A1000,Tasks!$B:$B,$B1000,Tasks!$C:$C,$G1000,Tasks!$I:$I,"&lt;="&amp;INDEX(Weeks!$D:$D,MATCH($C1000,Weeks!$A:$A,0)),Tasks!$I:$I,"&lt;&gt;")/COUNTIFS(Tasks!$A:$A,$A1000,Tasks!$B:$B,$B1000,Tasks!$C:$C,$G1000)*100,0),"")</f>
        <v/>
      </c>
    </row>
    <row r="1001" spans="1:8" ht="15" hidden="1" customHeight="1">
      <c r="A1001" t="s">
        <v>97</v>
      </c>
      <c r="B1001" t="s">
        <v>98</v>
      </c>
      <c r="C1001">
        <v>12</v>
      </c>
      <c r="D1001">
        <v>3</v>
      </c>
      <c r="E1001">
        <v>3</v>
      </c>
      <c r="F1001">
        <v>5</v>
      </c>
      <c r="G1001" t="s">
        <v>119</v>
      </c>
      <c r="H1001" t="str">
        <f>IFERROR(ROUND(COUNTIFS(Tasks!$A:$A,$A1001,Tasks!$B:$B,$B1001,Tasks!$C:$C,$G1001,Tasks!$I:$I,"&lt;="&amp;INDEX(Weeks!$D:$D,MATCH($C1001,Weeks!$A:$A,0)),Tasks!$I:$I,"&lt;&gt;")/COUNTIFS(Tasks!$A:$A,$A1001,Tasks!$B:$B,$B1001,Tasks!$C:$C,$G1001)*100,0),"")</f>
        <v/>
      </c>
    </row>
    <row r="1002" spans="1:8" ht="15" hidden="1" customHeight="1">
      <c r="A1002" t="s">
        <v>97</v>
      </c>
      <c r="B1002" t="s">
        <v>98</v>
      </c>
      <c r="C1002">
        <v>13</v>
      </c>
      <c r="D1002">
        <v>3</v>
      </c>
      <c r="E1002">
        <v>4</v>
      </c>
      <c r="F1002">
        <v>5</v>
      </c>
      <c r="G1002" t="s">
        <v>119</v>
      </c>
      <c r="H1002" t="str">
        <f>IFERROR(ROUND(COUNTIFS(Tasks!$A:$A,$A1002,Tasks!$B:$B,$B1002,Tasks!$C:$C,$G1002,Tasks!$I:$I,"&lt;="&amp;INDEX(Weeks!$D:$D,MATCH($C1002,Weeks!$A:$A,0)),Tasks!$I:$I,"&lt;&gt;")/COUNTIFS(Tasks!$A:$A,$A1002,Tasks!$B:$B,$B1002,Tasks!$C:$C,$G1002)*100,0),"")</f>
        <v/>
      </c>
    </row>
    <row r="1003" spans="1:8" ht="15" hidden="1" customHeight="1">
      <c r="A1003" t="s">
        <v>97</v>
      </c>
      <c r="B1003" t="s">
        <v>98</v>
      </c>
      <c r="C1003">
        <v>14</v>
      </c>
      <c r="D1003">
        <v>4</v>
      </c>
      <c r="E1003">
        <v>1</v>
      </c>
      <c r="F1003">
        <v>5</v>
      </c>
      <c r="G1003" t="s">
        <v>119</v>
      </c>
      <c r="H1003" t="str">
        <f>IFERROR(ROUND(COUNTIFS(Tasks!$A:$A,$A1003,Tasks!$B:$B,$B1003,Tasks!$C:$C,$G1003,Tasks!$I:$I,"&lt;="&amp;INDEX(Weeks!$D:$D,MATCH($C1003,Weeks!$A:$A,0)),Tasks!$I:$I,"&lt;&gt;")/COUNTIFS(Tasks!$A:$A,$A1003,Tasks!$B:$B,$B1003,Tasks!$C:$C,$G1003)*100,0),"")</f>
        <v/>
      </c>
    </row>
    <row r="1004" spans="1:8" ht="15" hidden="1" customHeight="1">
      <c r="A1004" t="s">
        <v>97</v>
      </c>
      <c r="B1004" t="s">
        <v>98</v>
      </c>
      <c r="C1004">
        <v>15</v>
      </c>
      <c r="D1004">
        <v>4</v>
      </c>
      <c r="E1004">
        <v>2</v>
      </c>
      <c r="F1004">
        <v>5</v>
      </c>
      <c r="G1004" t="s">
        <v>119</v>
      </c>
      <c r="H1004" t="str">
        <f>IFERROR(ROUND(COUNTIFS(Tasks!$A:$A,$A1004,Tasks!$B:$B,$B1004,Tasks!$C:$C,$G1004,Tasks!$I:$I,"&lt;="&amp;INDEX(Weeks!$D:$D,MATCH($C1004,Weeks!$A:$A,0)),Tasks!$I:$I,"&lt;&gt;")/COUNTIFS(Tasks!$A:$A,$A1004,Tasks!$B:$B,$B1004,Tasks!$C:$C,$G1004)*100,0),"")</f>
        <v/>
      </c>
    </row>
    <row r="1005" spans="1:8" ht="15" hidden="1" customHeight="1">
      <c r="A1005" t="s">
        <v>97</v>
      </c>
      <c r="B1005" t="s">
        <v>98</v>
      </c>
      <c r="C1005">
        <v>16</v>
      </c>
      <c r="D1005">
        <v>4</v>
      </c>
      <c r="E1005">
        <v>3</v>
      </c>
      <c r="F1005">
        <v>5</v>
      </c>
      <c r="G1005" t="s">
        <v>119</v>
      </c>
      <c r="H1005" t="str">
        <f>IFERROR(ROUND(COUNTIFS(Tasks!$A:$A,$A1005,Tasks!$B:$B,$B1005,Tasks!$C:$C,$G1005,Tasks!$I:$I,"&lt;="&amp;INDEX(Weeks!$D:$D,MATCH($C1005,Weeks!$A:$A,0)),Tasks!$I:$I,"&lt;&gt;")/COUNTIFS(Tasks!$A:$A,$A1005,Tasks!$B:$B,$B1005,Tasks!$C:$C,$G1005)*100,0),"")</f>
        <v/>
      </c>
    </row>
    <row r="1006" spans="1:8" ht="15" hidden="1" customHeight="1">
      <c r="A1006" t="s">
        <v>97</v>
      </c>
      <c r="B1006" t="s">
        <v>98</v>
      </c>
      <c r="C1006">
        <v>17</v>
      </c>
      <c r="D1006">
        <v>4</v>
      </c>
      <c r="E1006">
        <v>4</v>
      </c>
      <c r="F1006">
        <v>5</v>
      </c>
      <c r="G1006" t="s">
        <v>119</v>
      </c>
      <c r="H1006" t="str">
        <f>IFERROR(ROUND(COUNTIFS(Tasks!$A:$A,$A1006,Tasks!$B:$B,$B1006,Tasks!$C:$C,$G1006,Tasks!$I:$I,"&lt;="&amp;INDEX(Weeks!$D:$D,MATCH($C1006,Weeks!$A:$A,0)),Tasks!$I:$I,"&lt;&gt;")/COUNTIFS(Tasks!$A:$A,$A1006,Tasks!$B:$B,$B1006,Tasks!$C:$C,$G1006)*100,0),"")</f>
        <v/>
      </c>
    </row>
    <row r="1007" spans="1:8" ht="15" hidden="1" customHeight="1">
      <c r="A1007" t="s">
        <v>97</v>
      </c>
      <c r="B1007" t="s">
        <v>98</v>
      </c>
      <c r="C1007">
        <v>18</v>
      </c>
      <c r="D1007">
        <v>5</v>
      </c>
      <c r="E1007">
        <v>1</v>
      </c>
      <c r="F1007">
        <v>5</v>
      </c>
      <c r="G1007" t="s">
        <v>119</v>
      </c>
      <c r="H1007" t="str">
        <f>IFERROR(ROUND(COUNTIFS(Tasks!$A:$A,$A1007,Tasks!$B:$B,$B1007,Tasks!$C:$C,$G1007,Tasks!$I:$I,"&lt;="&amp;INDEX(Weeks!$D:$D,MATCH($C1007,Weeks!$A:$A,0)),Tasks!$I:$I,"&lt;&gt;")/COUNTIFS(Tasks!$A:$A,$A1007,Tasks!$B:$B,$B1007,Tasks!$C:$C,$G1007)*100,0),"")</f>
        <v/>
      </c>
    </row>
    <row r="1008" spans="1:8" ht="15" hidden="1" customHeight="1">
      <c r="A1008" t="s">
        <v>97</v>
      </c>
      <c r="B1008" t="s">
        <v>98</v>
      </c>
      <c r="C1008">
        <v>19</v>
      </c>
      <c r="D1008">
        <v>5</v>
      </c>
      <c r="E1008">
        <v>2</v>
      </c>
      <c r="F1008">
        <v>5</v>
      </c>
      <c r="G1008" t="s">
        <v>119</v>
      </c>
      <c r="H1008" t="str">
        <f>IFERROR(ROUND(COUNTIFS(Tasks!$A:$A,$A1008,Tasks!$B:$B,$B1008,Tasks!$C:$C,$G1008,Tasks!$I:$I,"&lt;="&amp;INDEX(Weeks!$D:$D,MATCH($C1008,Weeks!$A:$A,0)),Tasks!$I:$I,"&lt;&gt;")/COUNTIFS(Tasks!$A:$A,$A1008,Tasks!$B:$B,$B1008,Tasks!$C:$C,$G1008)*100,0),"")</f>
        <v/>
      </c>
    </row>
    <row r="1009" spans="1:8" ht="15" hidden="1" customHeight="1">
      <c r="A1009" t="s">
        <v>97</v>
      </c>
      <c r="B1009" t="s">
        <v>98</v>
      </c>
      <c r="C1009">
        <v>20</v>
      </c>
      <c r="D1009">
        <v>5</v>
      </c>
      <c r="E1009">
        <v>3</v>
      </c>
      <c r="F1009">
        <v>5</v>
      </c>
      <c r="G1009" t="s">
        <v>119</v>
      </c>
      <c r="H1009" t="str">
        <f>IFERROR(ROUND(COUNTIFS(Tasks!$A:$A,$A1009,Tasks!$B:$B,$B1009,Tasks!$C:$C,$G1009,Tasks!$I:$I,"&lt;="&amp;INDEX(Weeks!$D:$D,MATCH($C1009,Weeks!$A:$A,0)),Tasks!$I:$I,"&lt;&gt;")/COUNTIFS(Tasks!$A:$A,$A1009,Tasks!$B:$B,$B1009,Tasks!$C:$C,$G1009)*100,0),"")</f>
        <v/>
      </c>
    </row>
    <row r="1010" spans="1:8" ht="15" hidden="1" customHeight="1">
      <c r="A1010" t="s">
        <v>97</v>
      </c>
      <c r="B1010" t="s">
        <v>98</v>
      </c>
      <c r="C1010">
        <v>21</v>
      </c>
      <c r="D1010">
        <v>5</v>
      </c>
      <c r="E1010">
        <v>4</v>
      </c>
      <c r="F1010">
        <v>5</v>
      </c>
      <c r="G1010" t="s">
        <v>119</v>
      </c>
      <c r="H1010" t="str">
        <f>IFERROR(ROUND(COUNTIFS(Tasks!$A:$A,$A1010,Tasks!$B:$B,$B1010,Tasks!$C:$C,$G1010,Tasks!$I:$I,"&lt;="&amp;INDEX(Weeks!$D:$D,MATCH($C1010,Weeks!$A:$A,0)),Tasks!$I:$I,"&lt;&gt;")/COUNTIFS(Tasks!$A:$A,$A1010,Tasks!$B:$B,$B1010,Tasks!$C:$C,$G1010)*100,0),"")</f>
        <v/>
      </c>
    </row>
    <row r="1011" spans="1:8" ht="15" hidden="1" customHeight="1">
      <c r="A1011" t="s">
        <v>97</v>
      </c>
      <c r="B1011" t="s">
        <v>98</v>
      </c>
      <c r="C1011">
        <v>22</v>
      </c>
      <c r="D1011">
        <v>5</v>
      </c>
      <c r="E1011">
        <v>5</v>
      </c>
      <c r="F1011">
        <v>5</v>
      </c>
      <c r="G1011" t="s">
        <v>119</v>
      </c>
      <c r="H1011" t="str">
        <f>IFERROR(ROUND(COUNTIFS(Tasks!$A:$A,$A1011,Tasks!$B:$B,$B1011,Tasks!$C:$C,$G1011,Tasks!$I:$I,"&lt;="&amp;INDEX(Weeks!$D:$D,MATCH($C1011,Weeks!$A:$A,0)),Tasks!$I:$I,"&lt;&gt;")/COUNTIFS(Tasks!$A:$A,$A1011,Tasks!$B:$B,$B1011,Tasks!$C:$C,$G1011)*100,0),"")</f>
        <v/>
      </c>
    </row>
    <row r="1012" spans="1:8" ht="15" hidden="1" customHeight="1">
      <c r="A1012" t="s">
        <v>97</v>
      </c>
      <c r="B1012" t="s">
        <v>98</v>
      </c>
      <c r="C1012">
        <v>23</v>
      </c>
      <c r="D1012">
        <v>6</v>
      </c>
      <c r="E1012">
        <v>1</v>
      </c>
      <c r="F1012">
        <v>5</v>
      </c>
      <c r="G1012" t="s">
        <v>119</v>
      </c>
      <c r="H1012" t="str">
        <f>IFERROR(ROUND(COUNTIFS(Tasks!$A:$A,$A1012,Tasks!$B:$B,$B1012,Tasks!$C:$C,$G1012,Tasks!$I:$I,"&lt;="&amp;INDEX(Weeks!$D:$D,MATCH($C1012,Weeks!$A:$A,0)),Tasks!$I:$I,"&lt;&gt;")/COUNTIFS(Tasks!$A:$A,$A1012,Tasks!$B:$B,$B1012,Tasks!$C:$C,$G1012)*100,0),"")</f>
        <v/>
      </c>
    </row>
    <row r="1013" spans="1:8" ht="15" hidden="1" customHeight="1">
      <c r="A1013" t="s">
        <v>97</v>
      </c>
      <c r="B1013" t="s">
        <v>98</v>
      </c>
      <c r="C1013">
        <v>24</v>
      </c>
      <c r="D1013">
        <v>6</v>
      </c>
      <c r="E1013">
        <v>2</v>
      </c>
      <c r="F1013">
        <v>5</v>
      </c>
      <c r="G1013" t="s">
        <v>119</v>
      </c>
      <c r="H1013" t="str">
        <f>IFERROR(ROUND(COUNTIFS(Tasks!$A:$A,$A1013,Tasks!$B:$B,$B1013,Tasks!$C:$C,$G1013,Tasks!$I:$I,"&lt;="&amp;INDEX(Weeks!$D:$D,MATCH($C1013,Weeks!$A:$A,0)),Tasks!$I:$I,"&lt;&gt;")/COUNTIFS(Tasks!$A:$A,$A1013,Tasks!$B:$B,$B1013,Tasks!$C:$C,$G1013)*100,0),"")</f>
        <v/>
      </c>
    </row>
    <row r="1014" spans="1:8" ht="15" hidden="1" customHeight="1">
      <c r="A1014" t="s">
        <v>97</v>
      </c>
      <c r="B1014" t="s">
        <v>98</v>
      </c>
      <c r="C1014">
        <v>25</v>
      </c>
      <c r="D1014">
        <v>6</v>
      </c>
      <c r="E1014">
        <v>3</v>
      </c>
      <c r="F1014">
        <v>5</v>
      </c>
      <c r="G1014" t="s">
        <v>119</v>
      </c>
      <c r="H1014" t="str">
        <f>IFERROR(ROUND(COUNTIFS(Tasks!$A:$A,$A1014,Tasks!$B:$B,$B1014,Tasks!$C:$C,$G1014,Tasks!$I:$I,"&lt;="&amp;INDEX(Weeks!$D:$D,MATCH($C1014,Weeks!$A:$A,0)),Tasks!$I:$I,"&lt;&gt;")/COUNTIFS(Tasks!$A:$A,$A1014,Tasks!$B:$B,$B1014,Tasks!$C:$C,$G1014)*100,0),"")</f>
        <v/>
      </c>
    </row>
    <row r="1015" spans="1:8" ht="15" hidden="1" customHeight="1">
      <c r="A1015" t="s">
        <v>97</v>
      </c>
      <c r="B1015" t="s">
        <v>98</v>
      </c>
      <c r="C1015">
        <v>26</v>
      </c>
      <c r="D1015">
        <v>6</v>
      </c>
      <c r="E1015">
        <v>4</v>
      </c>
      <c r="F1015">
        <v>5</v>
      </c>
      <c r="G1015" t="s">
        <v>119</v>
      </c>
      <c r="H1015" t="str">
        <f>IFERROR(ROUND(COUNTIFS(Tasks!$A:$A,$A1015,Tasks!$B:$B,$B1015,Tasks!$C:$C,$G1015,Tasks!$I:$I,"&lt;="&amp;INDEX(Weeks!$D:$D,MATCH($C1015,Weeks!$A:$A,0)),Tasks!$I:$I,"&lt;&gt;")/COUNTIFS(Tasks!$A:$A,$A1015,Tasks!$B:$B,$B1015,Tasks!$C:$C,$G1015)*100,0),"")</f>
        <v/>
      </c>
    </row>
    <row r="1016" spans="1:8" ht="15" hidden="1" customHeight="1">
      <c r="A1016" t="s">
        <v>97</v>
      </c>
      <c r="B1016" t="s">
        <v>98</v>
      </c>
      <c r="C1016">
        <v>27</v>
      </c>
      <c r="D1016">
        <v>7</v>
      </c>
      <c r="E1016">
        <v>1</v>
      </c>
      <c r="F1016">
        <v>5</v>
      </c>
      <c r="G1016" t="s">
        <v>119</v>
      </c>
      <c r="H1016" t="str">
        <f>IFERROR(ROUND(COUNTIFS(Tasks!$A:$A,$A1016,Tasks!$B:$B,$B1016,Tasks!$C:$C,$G1016,Tasks!$I:$I,"&lt;="&amp;INDEX(Weeks!$D:$D,MATCH($C1016,Weeks!$A:$A,0)),Tasks!$I:$I,"&lt;&gt;")/COUNTIFS(Tasks!$A:$A,$A1016,Tasks!$B:$B,$B1016,Tasks!$C:$C,$G1016)*100,0),"")</f>
        <v/>
      </c>
    </row>
    <row r="1017" spans="1:8" ht="15" hidden="1" customHeight="1">
      <c r="A1017" t="s">
        <v>97</v>
      </c>
      <c r="B1017" t="s">
        <v>98</v>
      </c>
      <c r="C1017">
        <v>28</v>
      </c>
      <c r="D1017">
        <v>7</v>
      </c>
      <c r="E1017">
        <v>2</v>
      </c>
      <c r="F1017">
        <v>5</v>
      </c>
      <c r="G1017" t="s">
        <v>119</v>
      </c>
      <c r="H1017" t="str">
        <f>IFERROR(ROUND(COUNTIFS(Tasks!$A:$A,$A1017,Tasks!$B:$B,$B1017,Tasks!$C:$C,$G1017,Tasks!$I:$I,"&lt;="&amp;INDEX(Weeks!$D:$D,MATCH($C1017,Weeks!$A:$A,0)),Tasks!$I:$I,"&lt;&gt;")/COUNTIFS(Tasks!$A:$A,$A1017,Tasks!$B:$B,$B1017,Tasks!$C:$C,$G1017)*100,0),"")</f>
        <v/>
      </c>
    </row>
    <row r="1018" spans="1:8" ht="15" hidden="1" customHeight="1">
      <c r="A1018" t="s">
        <v>97</v>
      </c>
      <c r="B1018" t="s">
        <v>98</v>
      </c>
      <c r="C1018">
        <v>29</v>
      </c>
      <c r="D1018">
        <v>7</v>
      </c>
      <c r="E1018">
        <v>3</v>
      </c>
      <c r="F1018">
        <v>5</v>
      </c>
      <c r="G1018" t="s">
        <v>119</v>
      </c>
      <c r="H1018" t="str">
        <f>IFERROR(ROUND(COUNTIFS(Tasks!$A:$A,$A1018,Tasks!$B:$B,$B1018,Tasks!$C:$C,$G1018,Tasks!$I:$I,"&lt;="&amp;INDEX(Weeks!$D:$D,MATCH($C1018,Weeks!$A:$A,0)),Tasks!$I:$I,"&lt;&gt;")/COUNTIFS(Tasks!$A:$A,$A1018,Tasks!$B:$B,$B1018,Tasks!$C:$C,$G1018)*100,0),"")</f>
        <v/>
      </c>
    </row>
    <row r="1019" spans="1:8" ht="15" hidden="1" customHeight="1">
      <c r="A1019" t="s">
        <v>97</v>
      </c>
      <c r="B1019" t="s">
        <v>98</v>
      </c>
      <c r="C1019">
        <v>30</v>
      </c>
      <c r="D1019">
        <v>7</v>
      </c>
      <c r="E1019">
        <v>4</v>
      </c>
      <c r="F1019">
        <v>5</v>
      </c>
      <c r="G1019" t="s">
        <v>119</v>
      </c>
      <c r="H1019" t="str">
        <f>IFERROR(ROUND(COUNTIFS(Tasks!$A:$A,$A1019,Tasks!$B:$B,$B1019,Tasks!$C:$C,$G1019,Tasks!$I:$I,"&lt;="&amp;INDEX(Weeks!$D:$D,MATCH($C1019,Weeks!$A:$A,0)),Tasks!$I:$I,"&lt;&gt;")/COUNTIFS(Tasks!$A:$A,$A1019,Tasks!$B:$B,$B1019,Tasks!$C:$C,$G1019)*100,0),"")</f>
        <v/>
      </c>
    </row>
    <row r="1020" spans="1:8" ht="15" hidden="1" customHeight="1">
      <c r="A1020" t="s">
        <v>97</v>
      </c>
      <c r="B1020" t="s">
        <v>98</v>
      </c>
      <c r="C1020">
        <v>31</v>
      </c>
      <c r="D1020">
        <v>8</v>
      </c>
      <c r="E1020">
        <v>1</v>
      </c>
      <c r="F1020">
        <v>5</v>
      </c>
      <c r="G1020" t="s">
        <v>119</v>
      </c>
      <c r="H1020" t="str">
        <f>IFERROR(ROUND(COUNTIFS(Tasks!$A:$A,$A1020,Tasks!$B:$B,$B1020,Tasks!$C:$C,$G1020,Tasks!$I:$I,"&lt;="&amp;INDEX(Weeks!$D:$D,MATCH($C1020,Weeks!$A:$A,0)),Tasks!$I:$I,"&lt;&gt;")/COUNTIFS(Tasks!$A:$A,$A1020,Tasks!$B:$B,$B1020,Tasks!$C:$C,$G1020)*100,0),"")</f>
        <v/>
      </c>
    </row>
    <row r="1021" spans="1:8" ht="15" hidden="1" customHeight="1">
      <c r="A1021" t="s">
        <v>97</v>
      </c>
      <c r="B1021" t="s">
        <v>98</v>
      </c>
      <c r="C1021">
        <v>32</v>
      </c>
      <c r="D1021">
        <v>8</v>
      </c>
      <c r="E1021">
        <v>2</v>
      </c>
      <c r="F1021">
        <v>5</v>
      </c>
      <c r="G1021" t="s">
        <v>119</v>
      </c>
      <c r="H1021" t="str">
        <f>IFERROR(ROUND(COUNTIFS(Tasks!$A:$A,$A1021,Tasks!$B:$B,$B1021,Tasks!$C:$C,$G1021,Tasks!$I:$I,"&lt;="&amp;INDEX(Weeks!$D:$D,MATCH($C1021,Weeks!$A:$A,0)),Tasks!$I:$I,"&lt;&gt;")/COUNTIFS(Tasks!$A:$A,$A1021,Tasks!$B:$B,$B1021,Tasks!$C:$C,$G1021)*100,0),"")</f>
        <v/>
      </c>
    </row>
    <row r="1022" spans="1:8" ht="15" hidden="1" customHeight="1">
      <c r="A1022" t="s">
        <v>97</v>
      </c>
      <c r="B1022" t="s">
        <v>98</v>
      </c>
      <c r="C1022">
        <v>33</v>
      </c>
      <c r="D1022">
        <v>8</v>
      </c>
      <c r="E1022">
        <v>3</v>
      </c>
      <c r="F1022">
        <v>5</v>
      </c>
      <c r="G1022" t="s">
        <v>119</v>
      </c>
      <c r="H1022" t="str">
        <f>IFERROR(ROUND(COUNTIFS(Tasks!$A:$A,$A1022,Tasks!$B:$B,$B1022,Tasks!$C:$C,$G1022,Tasks!$I:$I,"&lt;="&amp;INDEX(Weeks!$D:$D,MATCH($C1022,Weeks!$A:$A,0)),Tasks!$I:$I,"&lt;&gt;")/COUNTIFS(Tasks!$A:$A,$A1022,Tasks!$B:$B,$B1022,Tasks!$C:$C,$G1022)*100,0),"")</f>
        <v/>
      </c>
    </row>
    <row r="1023" spans="1:8" ht="15" hidden="1" customHeight="1">
      <c r="A1023" t="s">
        <v>97</v>
      </c>
      <c r="B1023" t="s">
        <v>98</v>
      </c>
      <c r="C1023">
        <v>34</v>
      </c>
      <c r="D1023">
        <v>8</v>
      </c>
      <c r="E1023">
        <v>4</v>
      </c>
      <c r="F1023">
        <v>5</v>
      </c>
      <c r="G1023" t="s">
        <v>119</v>
      </c>
      <c r="H1023" t="str">
        <f>IFERROR(ROUND(COUNTIFS(Tasks!$A:$A,$A1023,Tasks!$B:$B,$B1023,Tasks!$C:$C,$G1023,Tasks!$I:$I,"&lt;="&amp;INDEX(Weeks!$D:$D,MATCH($C1023,Weeks!$A:$A,0)),Tasks!$I:$I,"&lt;&gt;")/COUNTIFS(Tasks!$A:$A,$A1023,Tasks!$B:$B,$B1023,Tasks!$C:$C,$G1023)*100,0),"")</f>
        <v/>
      </c>
    </row>
    <row r="1024" spans="1:8" ht="15" hidden="1" customHeight="1">
      <c r="A1024" t="s">
        <v>97</v>
      </c>
      <c r="B1024" t="s">
        <v>98</v>
      </c>
      <c r="C1024">
        <v>35</v>
      </c>
      <c r="D1024">
        <v>8</v>
      </c>
      <c r="E1024">
        <v>5</v>
      </c>
      <c r="F1024">
        <v>5</v>
      </c>
      <c r="G1024" t="s">
        <v>119</v>
      </c>
      <c r="H1024" t="str">
        <f>IFERROR(ROUND(COUNTIFS(Tasks!$A:$A,$A1024,Tasks!$B:$B,$B1024,Tasks!$C:$C,$G1024,Tasks!$I:$I,"&lt;="&amp;INDEX(Weeks!$D:$D,MATCH($C1024,Weeks!$A:$A,0)),Tasks!$I:$I,"&lt;&gt;")/COUNTIFS(Tasks!$A:$A,$A1024,Tasks!$B:$B,$B1024,Tasks!$C:$C,$G1024)*100,0),"")</f>
        <v/>
      </c>
    </row>
    <row r="1025" spans="1:8" ht="15" hidden="1" customHeight="1">
      <c r="A1025" t="s">
        <v>97</v>
      </c>
      <c r="B1025" t="s">
        <v>98</v>
      </c>
      <c r="C1025">
        <v>36</v>
      </c>
      <c r="D1025">
        <v>9</v>
      </c>
      <c r="E1025">
        <v>1</v>
      </c>
      <c r="F1025">
        <v>5</v>
      </c>
      <c r="G1025" t="s">
        <v>119</v>
      </c>
      <c r="H1025" t="str">
        <f>IFERROR(ROUND(COUNTIFS(Tasks!$A:$A,$A1025,Tasks!$B:$B,$B1025,Tasks!$C:$C,$G1025,Tasks!$I:$I,"&lt;="&amp;INDEX(Weeks!$D:$D,MATCH($C1025,Weeks!$A:$A,0)),Tasks!$I:$I,"&lt;&gt;")/COUNTIFS(Tasks!$A:$A,$A1025,Tasks!$B:$B,$B1025,Tasks!$C:$C,$G1025)*100,0),"")</f>
        <v/>
      </c>
    </row>
    <row r="1026" spans="1:8" ht="15" hidden="1" customHeight="1">
      <c r="A1026" t="s">
        <v>97</v>
      </c>
      <c r="B1026" t="s">
        <v>98</v>
      </c>
      <c r="C1026">
        <v>37</v>
      </c>
      <c r="D1026">
        <v>9</v>
      </c>
      <c r="E1026">
        <v>2</v>
      </c>
      <c r="F1026">
        <v>5</v>
      </c>
      <c r="G1026" t="s">
        <v>119</v>
      </c>
      <c r="H1026" t="str">
        <f>IFERROR(ROUND(COUNTIFS(Tasks!$A:$A,$A1026,Tasks!$B:$B,$B1026,Tasks!$C:$C,$G1026,Tasks!$I:$I,"&lt;="&amp;INDEX(Weeks!$D:$D,MATCH($C1026,Weeks!$A:$A,0)),Tasks!$I:$I,"&lt;&gt;")/COUNTIFS(Tasks!$A:$A,$A1026,Tasks!$B:$B,$B1026,Tasks!$C:$C,$G1026)*100,0),"")</f>
        <v/>
      </c>
    </row>
    <row r="1027" spans="1:8" ht="15" hidden="1" customHeight="1">
      <c r="A1027" t="s">
        <v>97</v>
      </c>
      <c r="B1027" t="s">
        <v>98</v>
      </c>
      <c r="C1027">
        <v>38</v>
      </c>
      <c r="D1027">
        <v>9</v>
      </c>
      <c r="E1027">
        <v>3</v>
      </c>
      <c r="F1027">
        <v>5</v>
      </c>
      <c r="G1027" t="s">
        <v>119</v>
      </c>
      <c r="H1027" t="str">
        <f>IFERROR(ROUND(COUNTIFS(Tasks!$A:$A,$A1027,Tasks!$B:$B,$B1027,Tasks!$C:$C,$G1027,Tasks!$I:$I,"&lt;="&amp;INDEX(Weeks!$D:$D,MATCH($C1027,Weeks!$A:$A,0)),Tasks!$I:$I,"&lt;&gt;")/COUNTIFS(Tasks!$A:$A,$A1027,Tasks!$B:$B,$B1027,Tasks!$C:$C,$G1027)*100,0),"")</f>
        <v/>
      </c>
    </row>
    <row r="1028" spans="1:8" ht="15" hidden="1" customHeight="1">
      <c r="A1028" t="s">
        <v>97</v>
      </c>
      <c r="B1028" t="s">
        <v>98</v>
      </c>
      <c r="C1028">
        <v>39</v>
      </c>
      <c r="D1028">
        <v>9</v>
      </c>
      <c r="E1028">
        <v>4</v>
      </c>
      <c r="F1028">
        <v>5</v>
      </c>
      <c r="G1028" t="s">
        <v>119</v>
      </c>
      <c r="H1028" t="str">
        <f>IFERROR(ROUND(COUNTIFS(Tasks!$A:$A,$A1028,Tasks!$B:$B,$B1028,Tasks!$C:$C,$G1028,Tasks!$I:$I,"&lt;="&amp;INDEX(Weeks!$D:$D,MATCH($C1028,Weeks!$A:$A,0)),Tasks!$I:$I,"&lt;&gt;")/COUNTIFS(Tasks!$A:$A,$A1028,Tasks!$B:$B,$B1028,Tasks!$C:$C,$G1028)*100,0),"")</f>
        <v/>
      </c>
    </row>
    <row r="1029" spans="1:8" ht="15" hidden="1" customHeight="1">
      <c r="A1029" t="s">
        <v>97</v>
      </c>
      <c r="B1029" t="s">
        <v>98</v>
      </c>
      <c r="C1029">
        <v>40</v>
      </c>
      <c r="D1029">
        <v>10</v>
      </c>
      <c r="E1029">
        <v>1</v>
      </c>
      <c r="F1029">
        <v>5</v>
      </c>
      <c r="G1029" t="s">
        <v>119</v>
      </c>
      <c r="H1029" t="str">
        <f>IFERROR(ROUND(COUNTIFS(Tasks!$A:$A,$A1029,Tasks!$B:$B,$B1029,Tasks!$C:$C,$G1029,Tasks!$I:$I,"&lt;="&amp;INDEX(Weeks!$D:$D,MATCH($C1029,Weeks!$A:$A,0)),Tasks!$I:$I,"&lt;&gt;")/COUNTIFS(Tasks!$A:$A,$A1029,Tasks!$B:$B,$B1029,Tasks!$C:$C,$G1029)*100,0),"")</f>
        <v/>
      </c>
    </row>
    <row r="1030" spans="1:8" ht="15" hidden="1" customHeight="1">
      <c r="A1030" t="s">
        <v>97</v>
      </c>
      <c r="B1030" t="s">
        <v>98</v>
      </c>
      <c r="C1030">
        <v>41</v>
      </c>
      <c r="D1030">
        <v>10</v>
      </c>
      <c r="E1030">
        <v>2</v>
      </c>
      <c r="F1030">
        <v>5</v>
      </c>
      <c r="G1030" t="s">
        <v>119</v>
      </c>
      <c r="H1030" t="str">
        <f>IFERROR(ROUND(COUNTIFS(Tasks!$A:$A,$A1030,Tasks!$B:$B,$B1030,Tasks!$C:$C,$G1030,Tasks!$I:$I,"&lt;="&amp;INDEX(Weeks!$D:$D,MATCH($C1030,Weeks!$A:$A,0)),Tasks!$I:$I,"&lt;&gt;")/COUNTIFS(Tasks!$A:$A,$A1030,Tasks!$B:$B,$B1030,Tasks!$C:$C,$G1030)*100,0),"")</f>
        <v/>
      </c>
    </row>
    <row r="1031" spans="1:8" ht="15" hidden="1" customHeight="1">
      <c r="A1031" t="s">
        <v>97</v>
      </c>
      <c r="B1031" t="s">
        <v>98</v>
      </c>
      <c r="C1031">
        <v>42</v>
      </c>
      <c r="D1031">
        <v>10</v>
      </c>
      <c r="E1031">
        <v>3</v>
      </c>
      <c r="F1031">
        <v>5</v>
      </c>
      <c r="G1031" t="s">
        <v>119</v>
      </c>
      <c r="H1031" t="str">
        <f>IFERROR(ROUND(COUNTIFS(Tasks!$A:$A,$A1031,Tasks!$B:$B,$B1031,Tasks!$C:$C,$G1031,Tasks!$I:$I,"&lt;="&amp;INDEX(Weeks!$D:$D,MATCH($C1031,Weeks!$A:$A,0)),Tasks!$I:$I,"&lt;&gt;")/COUNTIFS(Tasks!$A:$A,$A1031,Tasks!$B:$B,$B1031,Tasks!$C:$C,$G1031)*100,0),"")</f>
        <v/>
      </c>
    </row>
    <row r="1032" spans="1:8" ht="15" hidden="1" customHeight="1">
      <c r="A1032" t="s">
        <v>97</v>
      </c>
      <c r="B1032" t="s">
        <v>98</v>
      </c>
      <c r="C1032">
        <v>43</v>
      </c>
      <c r="D1032">
        <v>10</v>
      </c>
      <c r="E1032">
        <v>4</v>
      </c>
      <c r="F1032">
        <v>5</v>
      </c>
      <c r="G1032" t="s">
        <v>119</v>
      </c>
      <c r="H1032" t="str">
        <f>IFERROR(ROUND(COUNTIFS(Tasks!$A:$A,$A1032,Tasks!$B:$B,$B1032,Tasks!$C:$C,$G1032,Tasks!$I:$I,"&lt;="&amp;INDEX(Weeks!$D:$D,MATCH($C1032,Weeks!$A:$A,0)),Tasks!$I:$I,"&lt;&gt;")/COUNTIFS(Tasks!$A:$A,$A1032,Tasks!$B:$B,$B1032,Tasks!$C:$C,$G1032)*100,0),"")</f>
        <v/>
      </c>
    </row>
    <row r="1033" spans="1:8" ht="15" hidden="1" customHeight="1">
      <c r="A1033" t="s">
        <v>97</v>
      </c>
      <c r="B1033" t="s">
        <v>98</v>
      </c>
      <c r="C1033">
        <v>44</v>
      </c>
      <c r="D1033">
        <v>10</v>
      </c>
      <c r="E1033">
        <v>5</v>
      </c>
      <c r="F1033">
        <v>5</v>
      </c>
      <c r="G1033" t="s">
        <v>119</v>
      </c>
      <c r="H1033" t="str">
        <f>IFERROR(ROUND(COUNTIFS(Tasks!$A:$A,$A1033,Tasks!$B:$B,$B1033,Tasks!$C:$C,$G1033,Tasks!$I:$I,"&lt;="&amp;INDEX(Weeks!$D:$D,MATCH($C1033,Weeks!$A:$A,0)),Tasks!$I:$I,"&lt;&gt;")/COUNTIFS(Tasks!$A:$A,$A1033,Tasks!$B:$B,$B1033,Tasks!$C:$C,$G1033)*100,0),"")</f>
        <v/>
      </c>
    </row>
    <row r="1034" spans="1:8" ht="15" hidden="1" customHeight="1">
      <c r="A1034" t="s">
        <v>97</v>
      </c>
      <c r="B1034" t="s">
        <v>98</v>
      </c>
      <c r="C1034">
        <v>45</v>
      </c>
      <c r="D1034">
        <v>11</v>
      </c>
      <c r="E1034">
        <v>1</v>
      </c>
      <c r="F1034">
        <v>5</v>
      </c>
      <c r="G1034" t="s">
        <v>119</v>
      </c>
      <c r="H1034" t="str">
        <f>IFERROR(ROUND(COUNTIFS(Tasks!$A:$A,$A1034,Tasks!$B:$B,$B1034,Tasks!$C:$C,$G1034,Tasks!$I:$I,"&lt;="&amp;INDEX(Weeks!$D:$D,MATCH($C1034,Weeks!$A:$A,0)),Tasks!$I:$I,"&lt;&gt;")/COUNTIFS(Tasks!$A:$A,$A1034,Tasks!$B:$B,$B1034,Tasks!$C:$C,$G1034)*100,0),"")</f>
        <v/>
      </c>
    </row>
    <row r="1035" spans="1:8" ht="15" hidden="1" customHeight="1">
      <c r="A1035" t="s">
        <v>97</v>
      </c>
      <c r="B1035" t="s">
        <v>98</v>
      </c>
      <c r="C1035">
        <v>46</v>
      </c>
      <c r="D1035">
        <v>11</v>
      </c>
      <c r="E1035">
        <v>2</v>
      </c>
      <c r="F1035">
        <v>5</v>
      </c>
      <c r="G1035" t="s">
        <v>119</v>
      </c>
      <c r="H1035" t="str">
        <f>IFERROR(ROUND(COUNTIFS(Tasks!$A:$A,$A1035,Tasks!$B:$B,$B1035,Tasks!$C:$C,$G1035,Tasks!$I:$I,"&lt;="&amp;INDEX(Weeks!$D:$D,MATCH($C1035,Weeks!$A:$A,0)),Tasks!$I:$I,"&lt;&gt;")/COUNTIFS(Tasks!$A:$A,$A1035,Tasks!$B:$B,$B1035,Tasks!$C:$C,$G1035)*100,0),"")</f>
        <v/>
      </c>
    </row>
    <row r="1036" spans="1:8" ht="15" hidden="1" customHeight="1">
      <c r="A1036" t="s">
        <v>97</v>
      </c>
      <c r="B1036" t="s">
        <v>98</v>
      </c>
      <c r="C1036">
        <v>47</v>
      </c>
      <c r="D1036">
        <v>11</v>
      </c>
      <c r="E1036">
        <v>3</v>
      </c>
      <c r="F1036">
        <v>5</v>
      </c>
      <c r="G1036" t="s">
        <v>119</v>
      </c>
      <c r="H1036" t="str">
        <f>IFERROR(ROUND(COUNTIFS(Tasks!$A:$A,$A1036,Tasks!$B:$B,$B1036,Tasks!$C:$C,$G1036,Tasks!$I:$I,"&lt;="&amp;INDEX(Weeks!$D:$D,MATCH($C1036,Weeks!$A:$A,0)),Tasks!$I:$I,"&lt;&gt;")/COUNTIFS(Tasks!$A:$A,$A1036,Tasks!$B:$B,$B1036,Tasks!$C:$C,$G1036)*100,0),"")</f>
        <v/>
      </c>
    </row>
    <row r="1037" spans="1:8" ht="15" hidden="1" customHeight="1">
      <c r="A1037" t="s">
        <v>97</v>
      </c>
      <c r="B1037" t="s">
        <v>98</v>
      </c>
      <c r="C1037">
        <v>48</v>
      </c>
      <c r="D1037">
        <v>11</v>
      </c>
      <c r="E1037">
        <v>4</v>
      </c>
      <c r="F1037">
        <v>5</v>
      </c>
      <c r="G1037" t="s">
        <v>119</v>
      </c>
      <c r="H1037" t="str">
        <f>IFERROR(ROUND(COUNTIFS(Tasks!$A:$A,$A1037,Tasks!$B:$B,$B1037,Tasks!$C:$C,$G1037,Tasks!$I:$I,"&lt;="&amp;INDEX(Weeks!$D:$D,MATCH($C1037,Weeks!$A:$A,0)),Tasks!$I:$I,"&lt;&gt;")/COUNTIFS(Tasks!$A:$A,$A1037,Tasks!$B:$B,$B1037,Tasks!$C:$C,$G1037)*100,0),"")</f>
        <v/>
      </c>
    </row>
    <row r="1038" spans="1:8" ht="15" hidden="1" customHeight="1">
      <c r="A1038" t="s">
        <v>97</v>
      </c>
      <c r="B1038" t="s">
        <v>98</v>
      </c>
      <c r="C1038">
        <v>49</v>
      </c>
      <c r="D1038">
        <v>12</v>
      </c>
      <c r="E1038">
        <v>1</v>
      </c>
      <c r="F1038">
        <v>5</v>
      </c>
      <c r="G1038" t="s">
        <v>119</v>
      </c>
      <c r="H1038" t="str">
        <f>IFERROR(ROUND(COUNTIFS(Tasks!$A:$A,$A1038,Tasks!$B:$B,$B1038,Tasks!$C:$C,$G1038,Tasks!$I:$I,"&lt;="&amp;INDEX(Weeks!$D:$D,MATCH($C1038,Weeks!$A:$A,0)),Tasks!$I:$I,"&lt;&gt;")/COUNTIFS(Tasks!$A:$A,$A1038,Tasks!$B:$B,$B1038,Tasks!$C:$C,$G1038)*100,0),"")</f>
        <v/>
      </c>
    </row>
    <row r="1039" spans="1:8" ht="15" hidden="1" customHeight="1">
      <c r="A1039" t="s">
        <v>97</v>
      </c>
      <c r="B1039" t="s">
        <v>98</v>
      </c>
      <c r="C1039">
        <v>50</v>
      </c>
      <c r="D1039">
        <v>12</v>
      </c>
      <c r="E1039">
        <v>2</v>
      </c>
      <c r="F1039">
        <v>5</v>
      </c>
      <c r="G1039" t="s">
        <v>119</v>
      </c>
      <c r="H1039" t="str">
        <f>IFERROR(ROUND(COUNTIFS(Tasks!$A:$A,$A1039,Tasks!$B:$B,$B1039,Tasks!$C:$C,$G1039,Tasks!$I:$I,"&lt;="&amp;INDEX(Weeks!$D:$D,MATCH($C1039,Weeks!$A:$A,0)),Tasks!$I:$I,"&lt;&gt;")/COUNTIFS(Tasks!$A:$A,$A1039,Tasks!$B:$B,$B1039,Tasks!$C:$C,$G1039)*100,0),"")</f>
        <v/>
      </c>
    </row>
    <row r="1040" spans="1:8" ht="15" hidden="1" customHeight="1">
      <c r="A1040" t="s">
        <v>97</v>
      </c>
      <c r="B1040" t="s">
        <v>98</v>
      </c>
      <c r="C1040">
        <v>51</v>
      </c>
      <c r="D1040">
        <v>12</v>
      </c>
      <c r="E1040">
        <v>3</v>
      </c>
      <c r="F1040">
        <v>5</v>
      </c>
      <c r="G1040" t="s">
        <v>119</v>
      </c>
      <c r="H1040" t="str">
        <f>IFERROR(ROUND(COUNTIFS(Tasks!$A:$A,$A1040,Tasks!$B:$B,$B1040,Tasks!$C:$C,$G1040,Tasks!$I:$I,"&lt;="&amp;INDEX(Weeks!$D:$D,MATCH($C1040,Weeks!$A:$A,0)),Tasks!$I:$I,"&lt;&gt;")/COUNTIFS(Tasks!$A:$A,$A1040,Tasks!$B:$B,$B1040,Tasks!$C:$C,$G1040)*100,0),"")</f>
        <v/>
      </c>
    </row>
    <row r="1041" spans="1:8" ht="15" hidden="1" customHeight="1">
      <c r="A1041" t="s">
        <v>97</v>
      </c>
      <c r="B1041" t="s">
        <v>98</v>
      </c>
      <c r="C1041">
        <v>52</v>
      </c>
      <c r="D1041">
        <v>12</v>
      </c>
      <c r="E1041">
        <v>4</v>
      </c>
      <c r="F1041">
        <v>5</v>
      </c>
      <c r="G1041" t="s">
        <v>119</v>
      </c>
      <c r="H1041" t="str">
        <f>IFERROR(ROUND(COUNTIFS(Tasks!$A:$A,$A1041,Tasks!$B:$B,$B1041,Tasks!$C:$C,$G1041,Tasks!$I:$I,"&lt;="&amp;INDEX(Weeks!$D:$D,MATCH($C1041,Weeks!$A:$A,0)),Tasks!$I:$I,"&lt;&gt;")/COUNTIFS(Tasks!$A:$A,$A1041,Tasks!$B:$B,$B1041,Tasks!$C:$C,$G1041)*100,0),"")</f>
        <v/>
      </c>
    </row>
    <row r="1042" spans="1:8" ht="15" customHeight="1">
      <c r="A1042" t="s">
        <v>97</v>
      </c>
      <c r="B1042" t="s">
        <v>99</v>
      </c>
      <c r="C1042">
        <v>1</v>
      </c>
      <c r="D1042">
        <v>1</v>
      </c>
      <c r="E1042">
        <v>1</v>
      </c>
      <c r="F1042">
        <v>1</v>
      </c>
      <c r="G1042" t="s">
        <v>115</v>
      </c>
      <c r="H1042" t="str">
        <f>IFERROR(ROUND(COUNTIFS(Tasks!$A:$A,$A1042,Tasks!$B:$B,$B1042,Tasks!$C:$C,$G1042,Tasks!$I:$I,"&lt;="&amp;INDEX(Weeks!$D:$D,MATCH($C1042,Weeks!$A:$A,0)),Tasks!$I:$I,"&lt;&gt;")/COUNTIFS(Tasks!$A:$A,$A1042,Tasks!$B:$B,$B1042,Tasks!$C:$C,$G1042)*100,0),"")</f>
        <v/>
      </c>
    </row>
    <row r="1043" spans="1:8" ht="15" customHeight="1">
      <c r="A1043" t="s">
        <v>97</v>
      </c>
      <c r="B1043" t="s">
        <v>99</v>
      </c>
      <c r="C1043">
        <v>2</v>
      </c>
      <c r="D1043">
        <v>1</v>
      </c>
      <c r="E1043">
        <v>2</v>
      </c>
      <c r="F1043">
        <v>1</v>
      </c>
      <c r="G1043" t="s">
        <v>115</v>
      </c>
      <c r="H1043" t="str">
        <f>IFERROR(ROUND(COUNTIFS(Tasks!$A:$A,$A1043,Tasks!$B:$B,$B1043,Tasks!$C:$C,$G1043,Tasks!$I:$I,"&lt;="&amp;INDEX(Weeks!$D:$D,MATCH($C1043,Weeks!$A:$A,0)),Tasks!$I:$I,"&lt;&gt;")/COUNTIFS(Tasks!$A:$A,$A1043,Tasks!$B:$B,$B1043,Tasks!$C:$C,$G1043)*100,0),"")</f>
        <v/>
      </c>
    </row>
    <row r="1044" spans="1:8" ht="15" customHeight="1">
      <c r="A1044" t="s">
        <v>97</v>
      </c>
      <c r="B1044" t="s">
        <v>99</v>
      </c>
      <c r="C1044">
        <v>3</v>
      </c>
      <c r="D1044">
        <v>1</v>
      </c>
      <c r="E1044">
        <v>3</v>
      </c>
      <c r="F1044">
        <v>1</v>
      </c>
      <c r="G1044" t="s">
        <v>115</v>
      </c>
      <c r="H1044" t="str">
        <f>IFERROR(ROUND(COUNTIFS(Tasks!$A:$A,$A1044,Tasks!$B:$B,$B1044,Tasks!$C:$C,$G1044,Tasks!$I:$I,"&lt;="&amp;INDEX(Weeks!$D:$D,MATCH($C1044,Weeks!$A:$A,0)),Tasks!$I:$I,"&lt;&gt;")/COUNTIFS(Tasks!$A:$A,$A1044,Tasks!$B:$B,$B1044,Tasks!$C:$C,$G1044)*100,0),"")</f>
        <v/>
      </c>
    </row>
    <row r="1045" spans="1:8" ht="15" customHeight="1">
      <c r="A1045" t="s">
        <v>97</v>
      </c>
      <c r="B1045" t="s">
        <v>99</v>
      </c>
      <c r="C1045">
        <v>4</v>
      </c>
      <c r="D1045">
        <v>1</v>
      </c>
      <c r="E1045">
        <v>4</v>
      </c>
      <c r="F1045">
        <v>1</v>
      </c>
      <c r="G1045" t="s">
        <v>115</v>
      </c>
      <c r="H1045" t="str">
        <f>IFERROR(ROUND(COUNTIFS(Tasks!$A:$A,$A1045,Tasks!$B:$B,$B1045,Tasks!$C:$C,$G1045,Tasks!$I:$I,"&lt;="&amp;INDEX(Weeks!$D:$D,MATCH($C1045,Weeks!$A:$A,0)),Tasks!$I:$I,"&lt;&gt;")/COUNTIFS(Tasks!$A:$A,$A1045,Tasks!$B:$B,$B1045,Tasks!$C:$C,$G1045)*100,0),"")</f>
        <v/>
      </c>
    </row>
    <row r="1046" spans="1:8" ht="15" customHeight="1">
      <c r="A1046" t="s">
        <v>97</v>
      </c>
      <c r="B1046" t="s">
        <v>99</v>
      </c>
      <c r="C1046">
        <v>5</v>
      </c>
      <c r="D1046">
        <v>1</v>
      </c>
      <c r="E1046">
        <v>5</v>
      </c>
      <c r="F1046">
        <v>1</v>
      </c>
      <c r="G1046" t="s">
        <v>115</v>
      </c>
      <c r="H1046" t="str">
        <f>IFERROR(ROUND(COUNTIFS(Tasks!$A:$A,$A1046,Tasks!$B:$B,$B1046,Tasks!$C:$C,$G1046,Tasks!$I:$I,"&lt;="&amp;INDEX(Weeks!$D:$D,MATCH($C1046,Weeks!$A:$A,0)),Tasks!$I:$I,"&lt;&gt;")/COUNTIFS(Tasks!$A:$A,$A1046,Tasks!$B:$B,$B1046,Tasks!$C:$C,$G1046)*100,0),"")</f>
        <v/>
      </c>
    </row>
    <row r="1047" spans="1:8" ht="15" customHeight="1">
      <c r="A1047" t="s">
        <v>97</v>
      </c>
      <c r="B1047" t="s">
        <v>99</v>
      </c>
      <c r="C1047">
        <v>6</v>
      </c>
      <c r="D1047">
        <v>2</v>
      </c>
      <c r="E1047">
        <v>1</v>
      </c>
      <c r="F1047">
        <v>1</v>
      </c>
      <c r="G1047" t="s">
        <v>115</v>
      </c>
      <c r="H1047" t="str">
        <f>IFERROR(ROUND(COUNTIFS(Tasks!$A:$A,$A1047,Tasks!$B:$B,$B1047,Tasks!$C:$C,$G1047,Tasks!$I:$I,"&lt;="&amp;INDEX(Weeks!$D:$D,MATCH($C1047,Weeks!$A:$A,0)),Tasks!$I:$I,"&lt;&gt;")/COUNTIFS(Tasks!$A:$A,$A1047,Tasks!$B:$B,$B1047,Tasks!$C:$C,$G1047)*100,0),"")</f>
        <v/>
      </c>
    </row>
    <row r="1048" spans="1:8" ht="15" customHeight="1">
      <c r="A1048" t="s">
        <v>97</v>
      </c>
      <c r="B1048" t="s">
        <v>99</v>
      </c>
      <c r="C1048">
        <v>7</v>
      </c>
      <c r="D1048">
        <v>2</v>
      </c>
      <c r="E1048">
        <v>2</v>
      </c>
      <c r="F1048">
        <v>1</v>
      </c>
      <c r="G1048" t="s">
        <v>115</v>
      </c>
      <c r="H1048" t="str">
        <f>IFERROR(ROUND(COUNTIFS(Tasks!$A:$A,$A1048,Tasks!$B:$B,$B1048,Tasks!$C:$C,$G1048,Tasks!$I:$I,"&lt;="&amp;INDEX(Weeks!$D:$D,MATCH($C1048,Weeks!$A:$A,0)),Tasks!$I:$I,"&lt;&gt;")/COUNTIFS(Tasks!$A:$A,$A1048,Tasks!$B:$B,$B1048,Tasks!$C:$C,$G1048)*100,0),"")</f>
        <v/>
      </c>
    </row>
    <row r="1049" spans="1:8" ht="15" customHeight="1">
      <c r="A1049" t="s">
        <v>97</v>
      </c>
      <c r="B1049" t="s">
        <v>99</v>
      </c>
      <c r="C1049">
        <v>8</v>
      </c>
      <c r="D1049">
        <v>2</v>
      </c>
      <c r="E1049">
        <v>3</v>
      </c>
      <c r="F1049">
        <v>1</v>
      </c>
      <c r="G1049" t="s">
        <v>115</v>
      </c>
      <c r="H1049" t="str">
        <f>IFERROR(ROUND(COUNTIFS(Tasks!$A:$A,$A1049,Tasks!$B:$B,$B1049,Tasks!$C:$C,$G1049,Tasks!$I:$I,"&lt;="&amp;INDEX(Weeks!$D:$D,MATCH($C1049,Weeks!$A:$A,0)),Tasks!$I:$I,"&lt;&gt;")/COUNTIFS(Tasks!$A:$A,$A1049,Tasks!$B:$B,$B1049,Tasks!$C:$C,$G1049)*100,0),"")</f>
        <v/>
      </c>
    </row>
    <row r="1050" spans="1:8" ht="15" customHeight="1">
      <c r="A1050" t="s">
        <v>97</v>
      </c>
      <c r="B1050" t="s">
        <v>99</v>
      </c>
      <c r="C1050">
        <v>9</v>
      </c>
      <c r="D1050">
        <v>2</v>
      </c>
      <c r="E1050">
        <v>4</v>
      </c>
      <c r="F1050">
        <v>1</v>
      </c>
      <c r="G1050" t="s">
        <v>115</v>
      </c>
      <c r="H1050" t="str">
        <f>IFERROR(ROUND(COUNTIFS(Tasks!$A:$A,$A1050,Tasks!$B:$B,$B1050,Tasks!$C:$C,$G1050,Tasks!$I:$I,"&lt;="&amp;INDEX(Weeks!$D:$D,MATCH($C1050,Weeks!$A:$A,0)),Tasks!$I:$I,"&lt;&gt;")/COUNTIFS(Tasks!$A:$A,$A1050,Tasks!$B:$B,$B1050,Tasks!$C:$C,$G1050)*100,0),"")</f>
        <v/>
      </c>
    </row>
    <row r="1051" spans="1:8" ht="15" customHeight="1">
      <c r="A1051" t="s">
        <v>97</v>
      </c>
      <c r="B1051" t="s">
        <v>99</v>
      </c>
      <c r="C1051">
        <v>10</v>
      </c>
      <c r="D1051">
        <v>3</v>
      </c>
      <c r="E1051">
        <v>1</v>
      </c>
      <c r="F1051">
        <v>1</v>
      </c>
      <c r="G1051" t="s">
        <v>115</v>
      </c>
      <c r="H1051" t="str">
        <f>IFERROR(ROUND(COUNTIFS(Tasks!$A:$A,$A1051,Tasks!$B:$B,$B1051,Tasks!$C:$C,$G1051,Tasks!$I:$I,"&lt;="&amp;INDEX(Weeks!$D:$D,MATCH($C1051,Weeks!$A:$A,0)),Tasks!$I:$I,"&lt;&gt;")/COUNTIFS(Tasks!$A:$A,$A1051,Tasks!$B:$B,$B1051,Tasks!$C:$C,$G1051)*100,0),"")</f>
        <v/>
      </c>
    </row>
    <row r="1052" spans="1:8" ht="15" customHeight="1">
      <c r="A1052" t="s">
        <v>97</v>
      </c>
      <c r="B1052" t="s">
        <v>99</v>
      </c>
      <c r="C1052">
        <v>11</v>
      </c>
      <c r="D1052">
        <v>3</v>
      </c>
      <c r="E1052">
        <v>2</v>
      </c>
      <c r="F1052">
        <v>1</v>
      </c>
      <c r="G1052" t="s">
        <v>115</v>
      </c>
      <c r="H1052" t="str">
        <f>IFERROR(ROUND(COUNTIFS(Tasks!$A:$A,$A1052,Tasks!$B:$B,$B1052,Tasks!$C:$C,$G1052,Tasks!$I:$I,"&lt;="&amp;INDEX(Weeks!$D:$D,MATCH($C1052,Weeks!$A:$A,0)),Tasks!$I:$I,"&lt;&gt;")/COUNTIFS(Tasks!$A:$A,$A1052,Tasks!$B:$B,$B1052,Tasks!$C:$C,$G1052)*100,0),"")</f>
        <v/>
      </c>
    </row>
    <row r="1053" spans="1:8" ht="15" customHeight="1">
      <c r="A1053" t="s">
        <v>97</v>
      </c>
      <c r="B1053" t="s">
        <v>99</v>
      </c>
      <c r="C1053">
        <v>12</v>
      </c>
      <c r="D1053">
        <v>3</v>
      </c>
      <c r="E1053">
        <v>3</v>
      </c>
      <c r="F1053">
        <v>1</v>
      </c>
      <c r="G1053" t="s">
        <v>115</v>
      </c>
      <c r="H1053" t="str">
        <f>IFERROR(ROUND(COUNTIFS(Tasks!$A:$A,$A1053,Tasks!$B:$B,$B1053,Tasks!$C:$C,$G1053,Tasks!$I:$I,"&lt;="&amp;INDEX(Weeks!$D:$D,MATCH($C1053,Weeks!$A:$A,0)),Tasks!$I:$I,"&lt;&gt;")/COUNTIFS(Tasks!$A:$A,$A1053,Tasks!$B:$B,$B1053,Tasks!$C:$C,$G1053)*100,0),"")</f>
        <v/>
      </c>
    </row>
    <row r="1054" spans="1:8" ht="15" customHeight="1">
      <c r="A1054" t="s">
        <v>97</v>
      </c>
      <c r="B1054" t="s">
        <v>99</v>
      </c>
      <c r="C1054">
        <v>13</v>
      </c>
      <c r="D1054">
        <v>3</v>
      </c>
      <c r="E1054">
        <v>4</v>
      </c>
      <c r="F1054">
        <v>1</v>
      </c>
      <c r="G1054" t="s">
        <v>115</v>
      </c>
      <c r="H1054" t="str">
        <f>IFERROR(ROUND(COUNTIFS(Tasks!$A:$A,$A1054,Tasks!$B:$B,$B1054,Tasks!$C:$C,$G1054,Tasks!$I:$I,"&lt;="&amp;INDEX(Weeks!$D:$D,MATCH($C1054,Weeks!$A:$A,0)),Tasks!$I:$I,"&lt;&gt;")/COUNTIFS(Tasks!$A:$A,$A1054,Tasks!$B:$B,$B1054,Tasks!$C:$C,$G1054)*100,0),"")</f>
        <v/>
      </c>
    </row>
    <row r="1055" spans="1:8" ht="15" customHeight="1">
      <c r="A1055" t="s">
        <v>97</v>
      </c>
      <c r="B1055" t="s">
        <v>99</v>
      </c>
      <c r="C1055">
        <v>14</v>
      </c>
      <c r="D1055">
        <v>4</v>
      </c>
      <c r="E1055">
        <v>1</v>
      </c>
      <c r="F1055">
        <v>1</v>
      </c>
      <c r="G1055" t="s">
        <v>115</v>
      </c>
      <c r="H1055" t="str">
        <f>IFERROR(ROUND(COUNTIFS(Tasks!$A:$A,$A1055,Tasks!$B:$B,$B1055,Tasks!$C:$C,$G1055,Tasks!$I:$I,"&lt;="&amp;INDEX(Weeks!$D:$D,MATCH($C1055,Weeks!$A:$A,0)),Tasks!$I:$I,"&lt;&gt;")/COUNTIFS(Tasks!$A:$A,$A1055,Tasks!$B:$B,$B1055,Tasks!$C:$C,$G1055)*100,0),"")</f>
        <v/>
      </c>
    </row>
    <row r="1056" spans="1:8" ht="15" customHeight="1">
      <c r="A1056" t="s">
        <v>97</v>
      </c>
      <c r="B1056" t="s">
        <v>99</v>
      </c>
      <c r="C1056">
        <v>15</v>
      </c>
      <c r="D1056">
        <v>4</v>
      </c>
      <c r="E1056">
        <v>2</v>
      </c>
      <c r="F1056">
        <v>1</v>
      </c>
      <c r="G1056" t="s">
        <v>115</v>
      </c>
      <c r="H1056" t="str">
        <f>IFERROR(ROUND(COUNTIFS(Tasks!$A:$A,$A1056,Tasks!$B:$B,$B1056,Tasks!$C:$C,$G1056,Tasks!$I:$I,"&lt;="&amp;INDEX(Weeks!$D:$D,MATCH($C1056,Weeks!$A:$A,0)),Tasks!$I:$I,"&lt;&gt;")/COUNTIFS(Tasks!$A:$A,$A1056,Tasks!$B:$B,$B1056,Tasks!$C:$C,$G1056)*100,0),"")</f>
        <v/>
      </c>
    </row>
    <row r="1057" spans="1:8" ht="15" customHeight="1">
      <c r="A1057" t="s">
        <v>97</v>
      </c>
      <c r="B1057" t="s">
        <v>99</v>
      </c>
      <c r="C1057">
        <v>16</v>
      </c>
      <c r="D1057">
        <v>4</v>
      </c>
      <c r="E1057">
        <v>3</v>
      </c>
      <c r="F1057">
        <v>1</v>
      </c>
      <c r="G1057" t="s">
        <v>115</v>
      </c>
      <c r="H1057" t="str">
        <f>IFERROR(ROUND(COUNTIFS(Tasks!$A:$A,$A1057,Tasks!$B:$B,$B1057,Tasks!$C:$C,$G1057,Tasks!$I:$I,"&lt;="&amp;INDEX(Weeks!$D:$D,MATCH($C1057,Weeks!$A:$A,0)),Tasks!$I:$I,"&lt;&gt;")/COUNTIFS(Tasks!$A:$A,$A1057,Tasks!$B:$B,$B1057,Tasks!$C:$C,$G1057)*100,0),"")</f>
        <v/>
      </c>
    </row>
    <row r="1058" spans="1:8" ht="15" customHeight="1">
      <c r="A1058" t="s">
        <v>97</v>
      </c>
      <c r="B1058" t="s">
        <v>99</v>
      </c>
      <c r="C1058">
        <v>17</v>
      </c>
      <c r="D1058">
        <v>4</v>
      </c>
      <c r="E1058">
        <v>4</v>
      </c>
      <c r="F1058">
        <v>1</v>
      </c>
      <c r="G1058" t="s">
        <v>115</v>
      </c>
      <c r="H1058" t="str">
        <f>IFERROR(ROUND(COUNTIFS(Tasks!$A:$A,$A1058,Tasks!$B:$B,$B1058,Tasks!$C:$C,$G1058,Tasks!$I:$I,"&lt;="&amp;INDEX(Weeks!$D:$D,MATCH($C1058,Weeks!$A:$A,0)),Tasks!$I:$I,"&lt;&gt;")/COUNTIFS(Tasks!$A:$A,$A1058,Tasks!$B:$B,$B1058,Tasks!$C:$C,$G1058)*100,0),"")</f>
        <v/>
      </c>
    </row>
    <row r="1059" spans="1:8" ht="15" customHeight="1">
      <c r="A1059" t="s">
        <v>97</v>
      </c>
      <c r="B1059" t="s">
        <v>99</v>
      </c>
      <c r="C1059">
        <v>18</v>
      </c>
      <c r="D1059">
        <v>5</v>
      </c>
      <c r="E1059">
        <v>1</v>
      </c>
      <c r="F1059">
        <v>1</v>
      </c>
      <c r="G1059" t="s">
        <v>115</v>
      </c>
      <c r="H1059" t="str">
        <f>IFERROR(ROUND(COUNTIFS(Tasks!$A:$A,$A1059,Tasks!$B:$B,$B1059,Tasks!$C:$C,$G1059,Tasks!$I:$I,"&lt;="&amp;INDEX(Weeks!$D:$D,MATCH($C1059,Weeks!$A:$A,0)),Tasks!$I:$I,"&lt;&gt;")/COUNTIFS(Tasks!$A:$A,$A1059,Tasks!$B:$B,$B1059,Tasks!$C:$C,$G1059)*100,0),"")</f>
        <v/>
      </c>
    </row>
    <row r="1060" spans="1:8" ht="15" customHeight="1">
      <c r="A1060" t="s">
        <v>97</v>
      </c>
      <c r="B1060" t="s">
        <v>99</v>
      </c>
      <c r="C1060">
        <v>19</v>
      </c>
      <c r="D1060">
        <v>5</v>
      </c>
      <c r="E1060">
        <v>2</v>
      </c>
      <c r="F1060">
        <v>1</v>
      </c>
      <c r="G1060" t="s">
        <v>115</v>
      </c>
      <c r="H1060" t="str">
        <f>IFERROR(ROUND(COUNTIFS(Tasks!$A:$A,$A1060,Tasks!$B:$B,$B1060,Tasks!$C:$C,$G1060,Tasks!$I:$I,"&lt;="&amp;INDEX(Weeks!$D:$D,MATCH($C1060,Weeks!$A:$A,0)),Tasks!$I:$I,"&lt;&gt;")/COUNTIFS(Tasks!$A:$A,$A1060,Tasks!$B:$B,$B1060,Tasks!$C:$C,$G1060)*100,0),"")</f>
        <v/>
      </c>
    </row>
    <row r="1061" spans="1:8" ht="15" customHeight="1">
      <c r="A1061" t="s">
        <v>97</v>
      </c>
      <c r="B1061" t="s">
        <v>99</v>
      </c>
      <c r="C1061">
        <v>20</v>
      </c>
      <c r="D1061">
        <v>5</v>
      </c>
      <c r="E1061">
        <v>3</v>
      </c>
      <c r="F1061">
        <v>1</v>
      </c>
      <c r="G1061" t="s">
        <v>115</v>
      </c>
      <c r="H1061" t="str">
        <f>IFERROR(ROUND(COUNTIFS(Tasks!$A:$A,$A1061,Tasks!$B:$B,$B1061,Tasks!$C:$C,$G1061,Tasks!$I:$I,"&lt;="&amp;INDEX(Weeks!$D:$D,MATCH($C1061,Weeks!$A:$A,0)),Tasks!$I:$I,"&lt;&gt;")/COUNTIFS(Tasks!$A:$A,$A1061,Tasks!$B:$B,$B1061,Tasks!$C:$C,$G1061)*100,0),"")</f>
        <v/>
      </c>
    </row>
    <row r="1062" spans="1:8" ht="15" customHeight="1">
      <c r="A1062" t="s">
        <v>97</v>
      </c>
      <c r="B1062" t="s">
        <v>99</v>
      </c>
      <c r="C1062">
        <v>21</v>
      </c>
      <c r="D1062">
        <v>5</v>
      </c>
      <c r="E1062">
        <v>4</v>
      </c>
      <c r="F1062">
        <v>1</v>
      </c>
      <c r="G1062" t="s">
        <v>115</v>
      </c>
      <c r="H1062" t="str">
        <f>IFERROR(ROUND(COUNTIFS(Tasks!$A:$A,$A1062,Tasks!$B:$B,$B1062,Tasks!$C:$C,$G1062,Tasks!$I:$I,"&lt;="&amp;INDEX(Weeks!$D:$D,MATCH($C1062,Weeks!$A:$A,0)),Tasks!$I:$I,"&lt;&gt;")/COUNTIFS(Tasks!$A:$A,$A1062,Tasks!$B:$B,$B1062,Tasks!$C:$C,$G1062)*100,0),"")</f>
        <v/>
      </c>
    </row>
    <row r="1063" spans="1:8" ht="15" customHeight="1">
      <c r="A1063" t="s">
        <v>97</v>
      </c>
      <c r="B1063" t="s">
        <v>99</v>
      </c>
      <c r="C1063">
        <v>22</v>
      </c>
      <c r="D1063">
        <v>5</v>
      </c>
      <c r="E1063">
        <v>5</v>
      </c>
      <c r="F1063">
        <v>1</v>
      </c>
      <c r="G1063" t="s">
        <v>115</v>
      </c>
      <c r="H1063" t="str">
        <f>IFERROR(ROUND(COUNTIFS(Tasks!$A:$A,$A1063,Tasks!$B:$B,$B1063,Tasks!$C:$C,$G1063,Tasks!$I:$I,"&lt;="&amp;INDEX(Weeks!$D:$D,MATCH($C1063,Weeks!$A:$A,0)),Tasks!$I:$I,"&lt;&gt;")/COUNTIFS(Tasks!$A:$A,$A1063,Tasks!$B:$B,$B1063,Tasks!$C:$C,$G1063)*100,0),"")</f>
        <v/>
      </c>
    </row>
    <row r="1064" spans="1:8" ht="15" customHeight="1">
      <c r="A1064" t="s">
        <v>97</v>
      </c>
      <c r="B1064" t="s">
        <v>99</v>
      </c>
      <c r="C1064">
        <v>23</v>
      </c>
      <c r="D1064">
        <v>6</v>
      </c>
      <c r="E1064">
        <v>1</v>
      </c>
      <c r="F1064">
        <v>1</v>
      </c>
      <c r="G1064" t="s">
        <v>115</v>
      </c>
      <c r="H1064" t="str">
        <f>IFERROR(ROUND(COUNTIFS(Tasks!$A:$A,$A1064,Tasks!$B:$B,$B1064,Tasks!$C:$C,$G1064,Tasks!$I:$I,"&lt;="&amp;INDEX(Weeks!$D:$D,MATCH($C1064,Weeks!$A:$A,0)),Tasks!$I:$I,"&lt;&gt;")/COUNTIFS(Tasks!$A:$A,$A1064,Tasks!$B:$B,$B1064,Tasks!$C:$C,$G1064)*100,0),"")</f>
        <v/>
      </c>
    </row>
    <row r="1065" spans="1:8" ht="15" customHeight="1">
      <c r="A1065" t="s">
        <v>97</v>
      </c>
      <c r="B1065" t="s">
        <v>99</v>
      </c>
      <c r="C1065">
        <v>24</v>
      </c>
      <c r="D1065">
        <v>6</v>
      </c>
      <c r="E1065">
        <v>2</v>
      </c>
      <c r="F1065">
        <v>1</v>
      </c>
      <c r="G1065" t="s">
        <v>115</v>
      </c>
      <c r="H1065" t="str">
        <f>IFERROR(ROUND(COUNTIFS(Tasks!$A:$A,$A1065,Tasks!$B:$B,$B1065,Tasks!$C:$C,$G1065,Tasks!$I:$I,"&lt;="&amp;INDEX(Weeks!$D:$D,MATCH($C1065,Weeks!$A:$A,0)),Tasks!$I:$I,"&lt;&gt;")/COUNTIFS(Tasks!$A:$A,$A1065,Tasks!$B:$B,$B1065,Tasks!$C:$C,$G1065)*100,0),"")</f>
        <v/>
      </c>
    </row>
    <row r="1066" spans="1:8" ht="15" customHeight="1">
      <c r="A1066" t="s">
        <v>97</v>
      </c>
      <c r="B1066" t="s">
        <v>99</v>
      </c>
      <c r="C1066">
        <v>25</v>
      </c>
      <c r="D1066">
        <v>6</v>
      </c>
      <c r="E1066">
        <v>3</v>
      </c>
      <c r="F1066">
        <v>1</v>
      </c>
      <c r="G1066" t="s">
        <v>115</v>
      </c>
      <c r="H1066" t="str">
        <f>IFERROR(ROUND(COUNTIFS(Tasks!$A:$A,$A1066,Tasks!$B:$B,$B1066,Tasks!$C:$C,$G1066,Tasks!$I:$I,"&lt;="&amp;INDEX(Weeks!$D:$D,MATCH($C1066,Weeks!$A:$A,0)),Tasks!$I:$I,"&lt;&gt;")/COUNTIFS(Tasks!$A:$A,$A1066,Tasks!$B:$B,$B1066,Tasks!$C:$C,$G1066)*100,0),"")</f>
        <v/>
      </c>
    </row>
    <row r="1067" spans="1:8" ht="15" customHeight="1">
      <c r="A1067" t="s">
        <v>97</v>
      </c>
      <c r="B1067" t="s">
        <v>99</v>
      </c>
      <c r="C1067">
        <v>26</v>
      </c>
      <c r="D1067">
        <v>6</v>
      </c>
      <c r="E1067">
        <v>4</v>
      </c>
      <c r="F1067">
        <v>1</v>
      </c>
      <c r="G1067" t="s">
        <v>115</v>
      </c>
      <c r="H1067" t="str">
        <f>IFERROR(ROUND(COUNTIFS(Tasks!$A:$A,$A1067,Tasks!$B:$B,$B1067,Tasks!$C:$C,$G1067,Tasks!$I:$I,"&lt;="&amp;INDEX(Weeks!$D:$D,MATCH($C1067,Weeks!$A:$A,0)),Tasks!$I:$I,"&lt;&gt;")/COUNTIFS(Tasks!$A:$A,$A1067,Tasks!$B:$B,$B1067,Tasks!$C:$C,$G1067)*100,0),"")</f>
        <v/>
      </c>
    </row>
    <row r="1068" spans="1:8" ht="15" customHeight="1">
      <c r="A1068" t="s">
        <v>97</v>
      </c>
      <c r="B1068" t="s">
        <v>99</v>
      </c>
      <c r="C1068">
        <v>27</v>
      </c>
      <c r="D1068">
        <v>7</v>
      </c>
      <c r="E1068">
        <v>1</v>
      </c>
      <c r="F1068">
        <v>1</v>
      </c>
      <c r="G1068" t="s">
        <v>115</v>
      </c>
      <c r="H1068" t="str">
        <f>IFERROR(ROUND(COUNTIFS(Tasks!$A:$A,$A1068,Tasks!$B:$B,$B1068,Tasks!$C:$C,$G1068,Tasks!$I:$I,"&lt;="&amp;INDEX(Weeks!$D:$D,MATCH($C1068,Weeks!$A:$A,0)),Tasks!$I:$I,"&lt;&gt;")/COUNTIFS(Tasks!$A:$A,$A1068,Tasks!$B:$B,$B1068,Tasks!$C:$C,$G1068)*100,0),"")</f>
        <v/>
      </c>
    </row>
    <row r="1069" spans="1:8" ht="15" customHeight="1">
      <c r="A1069" t="s">
        <v>97</v>
      </c>
      <c r="B1069" t="s">
        <v>99</v>
      </c>
      <c r="C1069">
        <v>28</v>
      </c>
      <c r="D1069">
        <v>7</v>
      </c>
      <c r="E1069">
        <v>2</v>
      </c>
      <c r="F1069">
        <v>1</v>
      </c>
      <c r="G1069" t="s">
        <v>115</v>
      </c>
      <c r="H1069" t="str">
        <f>IFERROR(ROUND(COUNTIFS(Tasks!$A:$A,$A1069,Tasks!$B:$B,$B1069,Tasks!$C:$C,$G1069,Tasks!$I:$I,"&lt;="&amp;INDEX(Weeks!$D:$D,MATCH($C1069,Weeks!$A:$A,0)),Tasks!$I:$I,"&lt;&gt;")/COUNTIFS(Tasks!$A:$A,$A1069,Tasks!$B:$B,$B1069,Tasks!$C:$C,$G1069)*100,0),"")</f>
        <v/>
      </c>
    </row>
    <row r="1070" spans="1:8" ht="15" customHeight="1">
      <c r="A1070" t="s">
        <v>97</v>
      </c>
      <c r="B1070" t="s">
        <v>99</v>
      </c>
      <c r="C1070">
        <v>29</v>
      </c>
      <c r="D1070">
        <v>7</v>
      </c>
      <c r="E1070">
        <v>3</v>
      </c>
      <c r="F1070">
        <v>1</v>
      </c>
      <c r="G1070" t="s">
        <v>115</v>
      </c>
      <c r="H1070" t="str">
        <f>IFERROR(ROUND(COUNTIFS(Tasks!$A:$A,$A1070,Tasks!$B:$B,$B1070,Tasks!$C:$C,$G1070,Tasks!$I:$I,"&lt;="&amp;INDEX(Weeks!$D:$D,MATCH($C1070,Weeks!$A:$A,0)),Tasks!$I:$I,"&lt;&gt;")/COUNTIFS(Tasks!$A:$A,$A1070,Tasks!$B:$B,$B1070,Tasks!$C:$C,$G1070)*100,0),"")</f>
        <v/>
      </c>
    </row>
    <row r="1071" spans="1:8" ht="15" customHeight="1">
      <c r="A1071" t="s">
        <v>97</v>
      </c>
      <c r="B1071" t="s">
        <v>99</v>
      </c>
      <c r="C1071">
        <v>30</v>
      </c>
      <c r="D1071">
        <v>7</v>
      </c>
      <c r="E1071">
        <v>4</v>
      </c>
      <c r="F1071">
        <v>1</v>
      </c>
      <c r="G1071" t="s">
        <v>115</v>
      </c>
      <c r="H1071" t="str">
        <f>IFERROR(ROUND(COUNTIFS(Tasks!$A:$A,$A1071,Tasks!$B:$B,$B1071,Tasks!$C:$C,$G1071,Tasks!$I:$I,"&lt;="&amp;INDEX(Weeks!$D:$D,MATCH($C1071,Weeks!$A:$A,0)),Tasks!$I:$I,"&lt;&gt;")/COUNTIFS(Tasks!$A:$A,$A1071,Tasks!$B:$B,$B1071,Tasks!$C:$C,$G1071)*100,0),"")</f>
        <v/>
      </c>
    </row>
    <row r="1072" spans="1:8" ht="15" customHeight="1">
      <c r="A1072" t="s">
        <v>97</v>
      </c>
      <c r="B1072" t="s">
        <v>99</v>
      </c>
      <c r="C1072">
        <v>31</v>
      </c>
      <c r="D1072">
        <v>8</v>
      </c>
      <c r="E1072">
        <v>1</v>
      </c>
      <c r="F1072">
        <v>1</v>
      </c>
      <c r="G1072" t="s">
        <v>115</v>
      </c>
      <c r="H1072" t="str">
        <f>IFERROR(ROUND(COUNTIFS(Tasks!$A:$A,$A1072,Tasks!$B:$B,$B1072,Tasks!$C:$C,$G1072,Tasks!$I:$I,"&lt;="&amp;INDEX(Weeks!$D:$D,MATCH($C1072,Weeks!$A:$A,0)),Tasks!$I:$I,"&lt;&gt;")/COUNTIFS(Tasks!$A:$A,$A1072,Tasks!$B:$B,$B1072,Tasks!$C:$C,$G1072)*100,0),"")</f>
        <v/>
      </c>
    </row>
    <row r="1073" spans="1:8" ht="15" customHeight="1">
      <c r="A1073" t="s">
        <v>97</v>
      </c>
      <c r="B1073" t="s">
        <v>99</v>
      </c>
      <c r="C1073">
        <v>32</v>
      </c>
      <c r="D1073">
        <v>8</v>
      </c>
      <c r="E1073">
        <v>2</v>
      </c>
      <c r="F1073">
        <v>1</v>
      </c>
      <c r="G1073" t="s">
        <v>115</v>
      </c>
      <c r="H1073" t="str">
        <f>IFERROR(ROUND(COUNTIFS(Tasks!$A:$A,$A1073,Tasks!$B:$B,$B1073,Tasks!$C:$C,$G1073,Tasks!$I:$I,"&lt;="&amp;INDEX(Weeks!$D:$D,MATCH($C1073,Weeks!$A:$A,0)),Tasks!$I:$I,"&lt;&gt;")/COUNTIFS(Tasks!$A:$A,$A1073,Tasks!$B:$B,$B1073,Tasks!$C:$C,$G1073)*100,0),"")</f>
        <v/>
      </c>
    </row>
    <row r="1074" spans="1:8" ht="15" customHeight="1">
      <c r="A1074" t="s">
        <v>97</v>
      </c>
      <c r="B1074" t="s">
        <v>99</v>
      </c>
      <c r="C1074">
        <v>33</v>
      </c>
      <c r="D1074">
        <v>8</v>
      </c>
      <c r="E1074">
        <v>3</v>
      </c>
      <c r="F1074">
        <v>1</v>
      </c>
      <c r="G1074" t="s">
        <v>115</v>
      </c>
      <c r="H1074" t="str">
        <f>IFERROR(ROUND(COUNTIFS(Tasks!$A:$A,$A1074,Tasks!$B:$B,$B1074,Tasks!$C:$C,$G1074,Tasks!$I:$I,"&lt;="&amp;INDEX(Weeks!$D:$D,MATCH($C1074,Weeks!$A:$A,0)),Tasks!$I:$I,"&lt;&gt;")/COUNTIFS(Tasks!$A:$A,$A1074,Tasks!$B:$B,$B1074,Tasks!$C:$C,$G1074)*100,0),"")</f>
        <v/>
      </c>
    </row>
    <row r="1075" spans="1:8" ht="15" customHeight="1">
      <c r="A1075" t="s">
        <v>97</v>
      </c>
      <c r="B1075" t="s">
        <v>99</v>
      </c>
      <c r="C1075">
        <v>34</v>
      </c>
      <c r="D1075">
        <v>8</v>
      </c>
      <c r="E1075">
        <v>4</v>
      </c>
      <c r="F1075">
        <v>1</v>
      </c>
      <c r="G1075" t="s">
        <v>115</v>
      </c>
      <c r="H1075" t="str">
        <f>IFERROR(ROUND(COUNTIFS(Tasks!$A:$A,$A1075,Tasks!$B:$B,$B1075,Tasks!$C:$C,$G1075,Tasks!$I:$I,"&lt;="&amp;INDEX(Weeks!$D:$D,MATCH($C1075,Weeks!$A:$A,0)),Tasks!$I:$I,"&lt;&gt;")/COUNTIFS(Tasks!$A:$A,$A1075,Tasks!$B:$B,$B1075,Tasks!$C:$C,$G1075)*100,0),"")</f>
        <v/>
      </c>
    </row>
    <row r="1076" spans="1:8" ht="15" customHeight="1">
      <c r="A1076" t="s">
        <v>97</v>
      </c>
      <c r="B1076" t="s">
        <v>99</v>
      </c>
      <c r="C1076">
        <v>35</v>
      </c>
      <c r="D1076">
        <v>8</v>
      </c>
      <c r="E1076">
        <v>5</v>
      </c>
      <c r="F1076">
        <v>1</v>
      </c>
      <c r="G1076" t="s">
        <v>115</v>
      </c>
      <c r="H1076" t="str">
        <f>IFERROR(ROUND(COUNTIFS(Tasks!$A:$A,$A1076,Tasks!$B:$B,$B1076,Tasks!$C:$C,$G1076,Tasks!$I:$I,"&lt;="&amp;INDEX(Weeks!$D:$D,MATCH($C1076,Weeks!$A:$A,0)),Tasks!$I:$I,"&lt;&gt;")/COUNTIFS(Tasks!$A:$A,$A1076,Tasks!$B:$B,$B1076,Tasks!$C:$C,$G1076)*100,0),"")</f>
        <v/>
      </c>
    </row>
    <row r="1077" spans="1:8" ht="15" customHeight="1">
      <c r="A1077" t="s">
        <v>97</v>
      </c>
      <c r="B1077" t="s">
        <v>99</v>
      </c>
      <c r="C1077">
        <v>36</v>
      </c>
      <c r="D1077">
        <v>9</v>
      </c>
      <c r="E1077">
        <v>1</v>
      </c>
      <c r="F1077">
        <v>1</v>
      </c>
      <c r="G1077" t="s">
        <v>115</v>
      </c>
      <c r="H1077" t="str">
        <f>IFERROR(ROUND(COUNTIFS(Tasks!$A:$A,$A1077,Tasks!$B:$B,$B1077,Tasks!$C:$C,$G1077,Tasks!$I:$I,"&lt;="&amp;INDEX(Weeks!$D:$D,MATCH($C1077,Weeks!$A:$A,0)),Tasks!$I:$I,"&lt;&gt;")/COUNTIFS(Tasks!$A:$A,$A1077,Tasks!$B:$B,$B1077,Tasks!$C:$C,$G1077)*100,0),"")</f>
        <v/>
      </c>
    </row>
    <row r="1078" spans="1:8" ht="15" customHeight="1">
      <c r="A1078" t="s">
        <v>97</v>
      </c>
      <c r="B1078" t="s">
        <v>99</v>
      </c>
      <c r="C1078">
        <v>37</v>
      </c>
      <c r="D1078">
        <v>9</v>
      </c>
      <c r="E1078">
        <v>2</v>
      </c>
      <c r="F1078">
        <v>1</v>
      </c>
      <c r="G1078" t="s">
        <v>115</v>
      </c>
      <c r="H1078" t="str">
        <f>IFERROR(ROUND(COUNTIFS(Tasks!$A:$A,$A1078,Tasks!$B:$B,$B1078,Tasks!$C:$C,$G1078,Tasks!$I:$I,"&lt;="&amp;INDEX(Weeks!$D:$D,MATCH($C1078,Weeks!$A:$A,0)),Tasks!$I:$I,"&lt;&gt;")/COUNTIFS(Tasks!$A:$A,$A1078,Tasks!$B:$B,$B1078,Tasks!$C:$C,$G1078)*100,0),"")</f>
        <v/>
      </c>
    </row>
    <row r="1079" spans="1:8" ht="15" customHeight="1">
      <c r="A1079" t="s">
        <v>97</v>
      </c>
      <c r="B1079" t="s">
        <v>99</v>
      </c>
      <c r="C1079">
        <v>38</v>
      </c>
      <c r="D1079">
        <v>9</v>
      </c>
      <c r="E1079">
        <v>3</v>
      </c>
      <c r="F1079">
        <v>1</v>
      </c>
      <c r="G1079" t="s">
        <v>115</v>
      </c>
      <c r="H1079" t="str">
        <f>IFERROR(ROUND(COUNTIFS(Tasks!$A:$A,$A1079,Tasks!$B:$B,$B1079,Tasks!$C:$C,$G1079,Tasks!$I:$I,"&lt;="&amp;INDEX(Weeks!$D:$D,MATCH($C1079,Weeks!$A:$A,0)),Tasks!$I:$I,"&lt;&gt;")/COUNTIFS(Tasks!$A:$A,$A1079,Tasks!$B:$B,$B1079,Tasks!$C:$C,$G1079)*100,0),"")</f>
        <v/>
      </c>
    </row>
    <row r="1080" spans="1:8" ht="15" customHeight="1">
      <c r="A1080" t="s">
        <v>97</v>
      </c>
      <c r="B1080" t="s">
        <v>99</v>
      </c>
      <c r="C1080">
        <v>39</v>
      </c>
      <c r="D1080">
        <v>9</v>
      </c>
      <c r="E1080">
        <v>4</v>
      </c>
      <c r="F1080">
        <v>1</v>
      </c>
      <c r="G1080" t="s">
        <v>115</v>
      </c>
      <c r="H1080" t="str">
        <f>IFERROR(ROUND(COUNTIFS(Tasks!$A:$A,$A1080,Tasks!$B:$B,$B1080,Tasks!$C:$C,$G1080,Tasks!$I:$I,"&lt;="&amp;INDEX(Weeks!$D:$D,MATCH($C1080,Weeks!$A:$A,0)),Tasks!$I:$I,"&lt;&gt;")/COUNTIFS(Tasks!$A:$A,$A1080,Tasks!$B:$B,$B1080,Tasks!$C:$C,$G1080)*100,0),"")</f>
        <v/>
      </c>
    </row>
    <row r="1081" spans="1:8" ht="15" customHeight="1">
      <c r="A1081" t="s">
        <v>97</v>
      </c>
      <c r="B1081" t="s">
        <v>99</v>
      </c>
      <c r="C1081">
        <v>40</v>
      </c>
      <c r="D1081">
        <v>10</v>
      </c>
      <c r="E1081">
        <v>1</v>
      </c>
      <c r="F1081">
        <v>1</v>
      </c>
      <c r="G1081" t="s">
        <v>115</v>
      </c>
      <c r="H1081" t="str">
        <f>IFERROR(ROUND(COUNTIFS(Tasks!$A:$A,$A1081,Tasks!$B:$B,$B1081,Tasks!$C:$C,$G1081,Tasks!$I:$I,"&lt;="&amp;INDEX(Weeks!$D:$D,MATCH($C1081,Weeks!$A:$A,0)),Tasks!$I:$I,"&lt;&gt;")/COUNTIFS(Tasks!$A:$A,$A1081,Tasks!$B:$B,$B1081,Tasks!$C:$C,$G1081)*100,0),"")</f>
        <v/>
      </c>
    </row>
    <row r="1082" spans="1:8" ht="15" customHeight="1">
      <c r="A1082" t="s">
        <v>97</v>
      </c>
      <c r="B1082" t="s">
        <v>99</v>
      </c>
      <c r="C1082">
        <v>41</v>
      </c>
      <c r="D1082">
        <v>10</v>
      </c>
      <c r="E1082">
        <v>2</v>
      </c>
      <c r="F1082">
        <v>1</v>
      </c>
      <c r="G1082" t="s">
        <v>115</v>
      </c>
      <c r="H1082" t="str">
        <f>IFERROR(ROUND(COUNTIFS(Tasks!$A:$A,$A1082,Tasks!$B:$B,$B1082,Tasks!$C:$C,$G1082,Tasks!$I:$I,"&lt;="&amp;INDEX(Weeks!$D:$D,MATCH($C1082,Weeks!$A:$A,0)),Tasks!$I:$I,"&lt;&gt;")/COUNTIFS(Tasks!$A:$A,$A1082,Tasks!$B:$B,$B1082,Tasks!$C:$C,$G1082)*100,0),"")</f>
        <v/>
      </c>
    </row>
    <row r="1083" spans="1:8" ht="15" customHeight="1">
      <c r="A1083" t="s">
        <v>97</v>
      </c>
      <c r="B1083" t="s">
        <v>99</v>
      </c>
      <c r="C1083">
        <v>42</v>
      </c>
      <c r="D1083">
        <v>10</v>
      </c>
      <c r="E1083">
        <v>3</v>
      </c>
      <c r="F1083">
        <v>1</v>
      </c>
      <c r="G1083" t="s">
        <v>115</v>
      </c>
      <c r="H1083" t="str">
        <f>IFERROR(ROUND(COUNTIFS(Tasks!$A:$A,$A1083,Tasks!$B:$B,$B1083,Tasks!$C:$C,$G1083,Tasks!$I:$I,"&lt;="&amp;INDEX(Weeks!$D:$D,MATCH($C1083,Weeks!$A:$A,0)),Tasks!$I:$I,"&lt;&gt;")/COUNTIFS(Tasks!$A:$A,$A1083,Tasks!$B:$B,$B1083,Tasks!$C:$C,$G1083)*100,0),"")</f>
        <v/>
      </c>
    </row>
    <row r="1084" spans="1:8" ht="15" customHeight="1">
      <c r="A1084" t="s">
        <v>97</v>
      </c>
      <c r="B1084" t="s">
        <v>99</v>
      </c>
      <c r="C1084">
        <v>43</v>
      </c>
      <c r="D1084">
        <v>10</v>
      </c>
      <c r="E1084">
        <v>4</v>
      </c>
      <c r="F1084">
        <v>1</v>
      </c>
      <c r="G1084" t="s">
        <v>115</v>
      </c>
      <c r="H1084" t="str">
        <f>IFERROR(ROUND(COUNTIFS(Tasks!$A:$A,$A1084,Tasks!$B:$B,$B1084,Tasks!$C:$C,$G1084,Tasks!$I:$I,"&lt;="&amp;INDEX(Weeks!$D:$D,MATCH($C1084,Weeks!$A:$A,0)),Tasks!$I:$I,"&lt;&gt;")/COUNTIFS(Tasks!$A:$A,$A1084,Tasks!$B:$B,$B1084,Tasks!$C:$C,$G1084)*100,0),"")</f>
        <v/>
      </c>
    </row>
    <row r="1085" spans="1:8" ht="15" customHeight="1">
      <c r="A1085" t="s">
        <v>97</v>
      </c>
      <c r="B1085" t="s">
        <v>99</v>
      </c>
      <c r="C1085">
        <v>44</v>
      </c>
      <c r="D1085">
        <v>10</v>
      </c>
      <c r="E1085">
        <v>5</v>
      </c>
      <c r="F1085">
        <v>1</v>
      </c>
      <c r="G1085" t="s">
        <v>115</v>
      </c>
      <c r="H1085" t="str">
        <f>IFERROR(ROUND(COUNTIFS(Tasks!$A:$A,$A1085,Tasks!$B:$B,$B1085,Tasks!$C:$C,$G1085,Tasks!$I:$I,"&lt;="&amp;INDEX(Weeks!$D:$D,MATCH($C1085,Weeks!$A:$A,0)),Tasks!$I:$I,"&lt;&gt;")/COUNTIFS(Tasks!$A:$A,$A1085,Tasks!$B:$B,$B1085,Tasks!$C:$C,$G1085)*100,0),"")</f>
        <v/>
      </c>
    </row>
    <row r="1086" spans="1:8" ht="15" customHeight="1">
      <c r="A1086" t="s">
        <v>97</v>
      </c>
      <c r="B1086" t="s">
        <v>99</v>
      </c>
      <c r="C1086">
        <v>45</v>
      </c>
      <c r="D1086">
        <v>11</v>
      </c>
      <c r="E1086">
        <v>1</v>
      </c>
      <c r="F1086">
        <v>1</v>
      </c>
      <c r="G1086" t="s">
        <v>115</v>
      </c>
      <c r="H1086" t="str">
        <f>IFERROR(ROUND(COUNTIFS(Tasks!$A:$A,$A1086,Tasks!$B:$B,$B1086,Tasks!$C:$C,$G1086,Tasks!$I:$I,"&lt;="&amp;INDEX(Weeks!$D:$D,MATCH($C1086,Weeks!$A:$A,0)),Tasks!$I:$I,"&lt;&gt;")/COUNTIFS(Tasks!$A:$A,$A1086,Tasks!$B:$B,$B1086,Tasks!$C:$C,$G1086)*100,0),"")</f>
        <v/>
      </c>
    </row>
    <row r="1087" spans="1:8" ht="15" customHeight="1">
      <c r="A1087" t="s">
        <v>97</v>
      </c>
      <c r="B1087" t="s">
        <v>99</v>
      </c>
      <c r="C1087">
        <v>46</v>
      </c>
      <c r="D1087">
        <v>11</v>
      </c>
      <c r="E1087">
        <v>2</v>
      </c>
      <c r="F1087">
        <v>1</v>
      </c>
      <c r="G1087" t="s">
        <v>115</v>
      </c>
      <c r="H1087" t="str">
        <f>IFERROR(ROUND(COUNTIFS(Tasks!$A:$A,$A1087,Tasks!$B:$B,$B1087,Tasks!$C:$C,$G1087,Tasks!$I:$I,"&lt;="&amp;INDEX(Weeks!$D:$D,MATCH($C1087,Weeks!$A:$A,0)),Tasks!$I:$I,"&lt;&gt;")/COUNTIFS(Tasks!$A:$A,$A1087,Tasks!$B:$B,$B1087,Tasks!$C:$C,$G1087)*100,0),"")</f>
        <v/>
      </c>
    </row>
    <row r="1088" spans="1:8" ht="15" customHeight="1">
      <c r="A1088" t="s">
        <v>97</v>
      </c>
      <c r="B1088" t="s">
        <v>99</v>
      </c>
      <c r="C1088">
        <v>47</v>
      </c>
      <c r="D1088">
        <v>11</v>
      </c>
      <c r="E1088">
        <v>3</v>
      </c>
      <c r="F1088">
        <v>1</v>
      </c>
      <c r="G1088" t="s">
        <v>115</v>
      </c>
      <c r="H1088" t="str">
        <f>IFERROR(ROUND(COUNTIFS(Tasks!$A:$A,$A1088,Tasks!$B:$B,$B1088,Tasks!$C:$C,$G1088,Tasks!$I:$I,"&lt;="&amp;INDEX(Weeks!$D:$D,MATCH($C1088,Weeks!$A:$A,0)),Tasks!$I:$I,"&lt;&gt;")/COUNTIFS(Tasks!$A:$A,$A1088,Tasks!$B:$B,$B1088,Tasks!$C:$C,$G1088)*100,0),"")</f>
        <v/>
      </c>
    </row>
    <row r="1089" spans="1:8" ht="15" customHeight="1">
      <c r="A1089" t="s">
        <v>97</v>
      </c>
      <c r="B1089" t="s">
        <v>99</v>
      </c>
      <c r="C1089">
        <v>48</v>
      </c>
      <c r="D1089">
        <v>11</v>
      </c>
      <c r="E1089">
        <v>4</v>
      </c>
      <c r="F1089">
        <v>1</v>
      </c>
      <c r="G1089" t="s">
        <v>115</v>
      </c>
      <c r="H1089" t="str">
        <f>IFERROR(ROUND(COUNTIFS(Tasks!$A:$A,$A1089,Tasks!$B:$B,$B1089,Tasks!$C:$C,$G1089,Tasks!$I:$I,"&lt;="&amp;INDEX(Weeks!$D:$D,MATCH($C1089,Weeks!$A:$A,0)),Tasks!$I:$I,"&lt;&gt;")/COUNTIFS(Tasks!$A:$A,$A1089,Tasks!$B:$B,$B1089,Tasks!$C:$C,$G1089)*100,0),"")</f>
        <v/>
      </c>
    </row>
    <row r="1090" spans="1:8" ht="15" customHeight="1">
      <c r="A1090" t="s">
        <v>97</v>
      </c>
      <c r="B1090" t="s">
        <v>99</v>
      </c>
      <c r="C1090">
        <v>49</v>
      </c>
      <c r="D1090">
        <v>12</v>
      </c>
      <c r="E1090">
        <v>1</v>
      </c>
      <c r="F1090">
        <v>1</v>
      </c>
      <c r="G1090" t="s">
        <v>115</v>
      </c>
      <c r="H1090" t="str">
        <f>IFERROR(ROUND(COUNTIFS(Tasks!$A:$A,$A1090,Tasks!$B:$B,$B1090,Tasks!$C:$C,$G1090,Tasks!$I:$I,"&lt;="&amp;INDEX(Weeks!$D:$D,MATCH($C1090,Weeks!$A:$A,0)),Tasks!$I:$I,"&lt;&gt;")/COUNTIFS(Tasks!$A:$A,$A1090,Tasks!$B:$B,$B1090,Tasks!$C:$C,$G1090)*100,0),"")</f>
        <v/>
      </c>
    </row>
    <row r="1091" spans="1:8" ht="15" customHeight="1">
      <c r="A1091" t="s">
        <v>97</v>
      </c>
      <c r="B1091" t="s">
        <v>99</v>
      </c>
      <c r="C1091">
        <v>50</v>
      </c>
      <c r="D1091">
        <v>12</v>
      </c>
      <c r="E1091">
        <v>2</v>
      </c>
      <c r="F1091">
        <v>1</v>
      </c>
      <c r="G1091" t="s">
        <v>115</v>
      </c>
      <c r="H1091" t="str">
        <f>IFERROR(ROUND(COUNTIFS(Tasks!$A:$A,$A1091,Tasks!$B:$B,$B1091,Tasks!$C:$C,$G1091,Tasks!$I:$I,"&lt;="&amp;INDEX(Weeks!$D:$D,MATCH($C1091,Weeks!$A:$A,0)),Tasks!$I:$I,"&lt;&gt;")/COUNTIFS(Tasks!$A:$A,$A1091,Tasks!$B:$B,$B1091,Tasks!$C:$C,$G1091)*100,0),"")</f>
        <v/>
      </c>
    </row>
    <row r="1092" spans="1:8" ht="15" customHeight="1">
      <c r="A1092" t="s">
        <v>97</v>
      </c>
      <c r="B1092" t="s">
        <v>99</v>
      </c>
      <c r="C1092">
        <v>51</v>
      </c>
      <c r="D1092">
        <v>12</v>
      </c>
      <c r="E1092">
        <v>3</v>
      </c>
      <c r="F1092">
        <v>1</v>
      </c>
      <c r="G1092" t="s">
        <v>115</v>
      </c>
      <c r="H1092" t="str">
        <f>IFERROR(ROUND(COUNTIFS(Tasks!$A:$A,$A1092,Tasks!$B:$B,$B1092,Tasks!$C:$C,$G1092,Tasks!$I:$I,"&lt;="&amp;INDEX(Weeks!$D:$D,MATCH($C1092,Weeks!$A:$A,0)),Tasks!$I:$I,"&lt;&gt;")/COUNTIFS(Tasks!$A:$A,$A1092,Tasks!$B:$B,$B1092,Tasks!$C:$C,$G1092)*100,0),"")</f>
        <v/>
      </c>
    </row>
    <row r="1093" spans="1:8" ht="15" customHeight="1">
      <c r="A1093" t="s">
        <v>97</v>
      </c>
      <c r="B1093" t="s">
        <v>99</v>
      </c>
      <c r="C1093">
        <v>52</v>
      </c>
      <c r="D1093">
        <v>12</v>
      </c>
      <c r="E1093">
        <v>4</v>
      </c>
      <c r="F1093">
        <v>1</v>
      </c>
      <c r="G1093" t="s">
        <v>115</v>
      </c>
      <c r="H1093" t="str">
        <f>IFERROR(ROUND(COUNTIFS(Tasks!$A:$A,$A1093,Tasks!$B:$B,$B1093,Tasks!$C:$C,$G1093,Tasks!$I:$I,"&lt;="&amp;INDEX(Weeks!$D:$D,MATCH($C1093,Weeks!$A:$A,0)),Tasks!$I:$I,"&lt;&gt;")/COUNTIFS(Tasks!$A:$A,$A1093,Tasks!$B:$B,$B1093,Tasks!$C:$C,$G1093)*100,0),"")</f>
        <v/>
      </c>
    </row>
    <row r="1094" spans="1:8" ht="15" customHeight="1">
      <c r="A1094" t="s">
        <v>97</v>
      </c>
      <c r="B1094" t="s">
        <v>99</v>
      </c>
      <c r="C1094">
        <v>1</v>
      </c>
      <c r="D1094">
        <v>1</v>
      </c>
      <c r="E1094">
        <v>1</v>
      </c>
      <c r="F1094">
        <v>2</v>
      </c>
      <c r="G1094" t="s">
        <v>116</v>
      </c>
      <c r="H1094" t="str">
        <f>IFERROR(ROUND(COUNTIFS(Tasks!$A:$A,$A1094,Tasks!$B:$B,$B1094,Tasks!$C:$C,$G1094,Tasks!$I:$I,"&lt;="&amp;INDEX(Weeks!$D:$D,MATCH($C1094,Weeks!$A:$A,0)),Tasks!$I:$I,"&lt;&gt;")/COUNTIFS(Tasks!$A:$A,$A1094,Tasks!$B:$B,$B1094,Tasks!$C:$C,$G1094)*100,0),"")</f>
        <v/>
      </c>
    </row>
    <row r="1095" spans="1:8" ht="15" customHeight="1">
      <c r="A1095" t="s">
        <v>97</v>
      </c>
      <c r="B1095" t="s">
        <v>99</v>
      </c>
      <c r="C1095">
        <v>2</v>
      </c>
      <c r="D1095">
        <v>1</v>
      </c>
      <c r="E1095">
        <v>2</v>
      </c>
      <c r="F1095">
        <v>2</v>
      </c>
      <c r="G1095" t="s">
        <v>116</v>
      </c>
      <c r="H1095" t="str">
        <f>IFERROR(ROUND(COUNTIFS(Tasks!$A:$A,$A1095,Tasks!$B:$B,$B1095,Tasks!$C:$C,$G1095,Tasks!$I:$I,"&lt;="&amp;INDEX(Weeks!$D:$D,MATCH($C1095,Weeks!$A:$A,0)),Tasks!$I:$I,"&lt;&gt;")/COUNTIFS(Tasks!$A:$A,$A1095,Tasks!$B:$B,$B1095,Tasks!$C:$C,$G1095)*100,0),"")</f>
        <v/>
      </c>
    </row>
    <row r="1096" spans="1:8" ht="15" customHeight="1">
      <c r="A1096" t="s">
        <v>97</v>
      </c>
      <c r="B1096" t="s">
        <v>99</v>
      </c>
      <c r="C1096">
        <v>3</v>
      </c>
      <c r="D1096">
        <v>1</v>
      </c>
      <c r="E1096">
        <v>3</v>
      </c>
      <c r="F1096">
        <v>2</v>
      </c>
      <c r="G1096" t="s">
        <v>116</v>
      </c>
      <c r="H1096" t="str">
        <f>IFERROR(ROUND(COUNTIFS(Tasks!$A:$A,$A1096,Tasks!$B:$B,$B1096,Tasks!$C:$C,$G1096,Tasks!$I:$I,"&lt;="&amp;INDEX(Weeks!$D:$D,MATCH($C1096,Weeks!$A:$A,0)),Tasks!$I:$I,"&lt;&gt;")/COUNTIFS(Tasks!$A:$A,$A1096,Tasks!$B:$B,$B1096,Tasks!$C:$C,$G1096)*100,0),"")</f>
        <v/>
      </c>
    </row>
    <row r="1097" spans="1:8" ht="15" customHeight="1">
      <c r="A1097" t="s">
        <v>97</v>
      </c>
      <c r="B1097" t="s">
        <v>99</v>
      </c>
      <c r="C1097">
        <v>4</v>
      </c>
      <c r="D1097">
        <v>1</v>
      </c>
      <c r="E1097">
        <v>4</v>
      </c>
      <c r="F1097">
        <v>2</v>
      </c>
      <c r="G1097" t="s">
        <v>116</v>
      </c>
      <c r="H1097" t="str">
        <f>IFERROR(ROUND(COUNTIFS(Tasks!$A:$A,$A1097,Tasks!$B:$B,$B1097,Tasks!$C:$C,$G1097,Tasks!$I:$I,"&lt;="&amp;INDEX(Weeks!$D:$D,MATCH($C1097,Weeks!$A:$A,0)),Tasks!$I:$I,"&lt;&gt;")/COUNTIFS(Tasks!$A:$A,$A1097,Tasks!$B:$B,$B1097,Tasks!$C:$C,$G1097)*100,0),"")</f>
        <v/>
      </c>
    </row>
    <row r="1098" spans="1:8" ht="15" customHeight="1">
      <c r="A1098" t="s">
        <v>97</v>
      </c>
      <c r="B1098" t="s">
        <v>99</v>
      </c>
      <c r="C1098">
        <v>5</v>
      </c>
      <c r="D1098">
        <v>1</v>
      </c>
      <c r="E1098">
        <v>5</v>
      </c>
      <c r="F1098">
        <v>2</v>
      </c>
      <c r="G1098" t="s">
        <v>116</v>
      </c>
      <c r="H1098" t="str">
        <f>IFERROR(ROUND(COUNTIFS(Tasks!$A:$A,$A1098,Tasks!$B:$B,$B1098,Tasks!$C:$C,$G1098,Tasks!$I:$I,"&lt;="&amp;INDEX(Weeks!$D:$D,MATCH($C1098,Weeks!$A:$A,0)),Tasks!$I:$I,"&lt;&gt;")/COUNTIFS(Tasks!$A:$A,$A1098,Tasks!$B:$B,$B1098,Tasks!$C:$C,$G1098)*100,0),"")</f>
        <v/>
      </c>
    </row>
    <row r="1099" spans="1:8" ht="15" customHeight="1">
      <c r="A1099" t="s">
        <v>97</v>
      </c>
      <c r="B1099" t="s">
        <v>99</v>
      </c>
      <c r="C1099">
        <v>6</v>
      </c>
      <c r="D1099">
        <v>2</v>
      </c>
      <c r="E1099">
        <v>1</v>
      </c>
      <c r="F1099">
        <v>2</v>
      </c>
      <c r="G1099" t="s">
        <v>116</v>
      </c>
      <c r="H1099" t="str">
        <f>IFERROR(ROUND(COUNTIFS(Tasks!$A:$A,$A1099,Tasks!$B:$B,$B1099,Tasks!$C:$C,$G1099,Tasks!$I:$I,"&lt;="&amp;INDEX(Weeks!$D:$D,MATCH($C1099,Weeks!$A:$A,0)),Tasks!$I:$I,"&lt;&gt;")/COUNTIFS(Tasks!$A:$A,$A1099,Tasks!$B:$B,$B1099,Tasks!$C:$C,$G1099)*100,0),"")</f>
        <v/>
      </c>
    </row>
    <row r="1100" spans="1:8" ht="15" customHeight="1">
      <c r="A1100" t="s">
        <v>97</v>
      </c>
      <c r="B1100" t="s">
        <v>99</v>
      </c>
      <c r="C1100">
        <v>7</v>
      </c>
      <c r="D1100">
        <v>2</v>
      </c>
      <c r="E1100">
        <v>2</v>
      </c>
      <c r="F1100">
        <v>2</v>
      </c>
      <c r="G1100" t="s">
        <v>116</v>
      </c>
      <c r="H1100" t="str">
        <f>IFERROR(ROUND(COUNTIFS(Tasks!$A:$A,$A1100,Tasks!$B:$B,$B1100,Tasks!$C:$C,$G1100,Tasks!$I:$I,"&lt;="&amp;INDEX(Weeks!$D:$D,MATCH($C1100,Weeks!$A:$A,0)),Tasks!$I:$I,"&lt;&gt;")/COUNTIFS(Tasks!$A:$A,$A1100,Tasks!$B:$B,$B1100,Tasks!$C:$C,$G1100)*100,0),"")</f>
        <v/>
      </c>
    </row>
    <row r="1101" spans="1:8" ht="15" customHeight="1">
      <c r="A1101" t="s">
        <v>97</v>
      </c>
      <c r="B1101" t="s">
        <v>99</v>
      </c>
      <c r="C1101">
        <v>8</v>
      </c>
      <c r="D1101">
        <v>2</v>
      </c>
      <c r="E1101">
        <v>3</v>
      </c>
      <c r="F1101">
        <v>2</v>
      </c>
      <c r="G1101" t="s">
        <v>116</v>
      </c>
      <c r="H1101" t="str">
        <f>IFERROR(ROUND(COUNTIFS(Tasks!$A:$A,$A1101,Tasks!$B:$B,$B1101,Tasks!$C:$C,$G1101,Tasks!$I:$I,"&lt;="&amp;INDEX(Weeks!$D:$D,MATCH($C1101,Weeks!$A:$A,0)),Tasks!$I:$I,"&lt;&gt;")/COUNTIFS(Tasks!$A:$A,$A1101,Tasks!$B:$B,$B1101,Tasks!$C:$C,$G1101)*100,0),"")</f>
        <v/>
      </c>
    </row>
    <row r="1102" spans="1:8" ht="15" customHeight="1">
      <c r="A1102" t="s">
        <v>97</v>
      </c>
      <c r="B1102" t="s">
        <v>99</v>
      </c>
      <c r="C1102">
        <v>9</v>
      </c>
      <c r="D1102">
        <v>2</v>
      </c>
      <c r="E1102">
        <v>4</v>
      </c>
      <c r="F1102">
        <v>2</v>
      </c>
      <c r="G1102" t="s">
        <v>116</v>
      </c>
      <c r="H1102" t="str">
        <f>IFERROR(ROUND(COUNTIFS(Tasks!$A:$A,$A1102,Tasks!$B:$B,$B1102,Tasks!$C:$C,$G1102,Tasks!$I:$I,"&lt;="&amp;INDEX(Weeks!$D:$D,MATCH($C1102,Weeks!$A:$A,0)),Tasks!$I:$I,"&lt;&gt;")/COUNTIFS(Tasks!$A:$A,$A1102,Tasks!$B:$B,$B1102,Tasks!$C:$C,$G1102)*100,0),"")</f>
        <v/>
      </c>
    </row>
    <row r="1103" spans="1:8" ht="15" customHeight="1">
      <c r="A1103" t="s">
        <v>97</v>
      </c>
      <c r="B1103" t="s">
        <v>99</v>
      </c>
      <c r="C1103">
        <v>10</v>
      </c>
      <c r="D1103">
        <v>3</v>
      </c>
      <c r="E1103">
        <v>1</v>
      </c>
      <c r="F1103">
        <v>2</v>
      </c>
      <c r="G1103" t="s">
        <v>116</v>
      </c>
      <c r="H1103" t="str">
        <f>IFERROR(ROUND(COUNTIFS(Tasks!$A:$A,$A1103,Tasks!$B:$B,$B1103,Tasks!$C:$C,$G1103,Tasks!$I:$I,"&lt;="&amp;INDEX(Weeks!$D:$D,MATCH($C1103,Weeks!$A:$A,0)),Tasks!$I:$I,"&lt;&gt;")/COUNTIFS(Tasks!$A:$A,$A1103,Tasks!$B:$B,$B1103,Tasks!$C:$C,$G1103)*100,0),"")</f>
        <v/>
      </c>
    </row>
    <row r="1104" spans="1:8" ht="15" customHeight="1">
      <c r="A1104" t="s">
        <v>97</v>
      </c>
      <c r="B1104" t="s">
        <v>99</v>
      </c>
      <c r="C1104">
        <v>11</v>
      </c>
      <c r="D1104">
        <v>3</v>
      </c>
      <c r="E1104">
        <v>2</v>
      </c>
      <c r="F1104">
        <v>2</v>
      </c>
      <c r="G1104" t="s">
        <v>116</v>
      </c>
      <c r="H1104" t="str">
        <f>IFERROR(ROUND(COUNTIFS(Tasks!$A:$A,$A1104,Tasks!$B:$B,$B1104,Tasks!$C:$C,$G1104,Tasks!$I:$I,"&lt;="&amp;INDEX(Weeks!$D:$D,MATCH($C1104,Weeks!$A:$A,0)),Tasks!$I:$I,"&lt;&gt;")/COUNTIFS(Tasks!$A:$A,$A1104,Tasks!$B:$B,$B1104,Tasks!$C:$C,$G1104)*100,0),"")</f>
        <v/>
      </c>
    </row>
    <row r="1105" spans="1:8" ht="15" customHeight="1">
      <c r="A1105" t="s">
        <v>97</v>
      </c>
      <c r="B1105" t="s">
        <v>99</v>
      </c>
      <c r="C1105">
        <v>12</v>
      </c>
      <c r="D1105">
        <v>3</v>
      </c>
      <c r="E1105">
        <v>3</v>
      </c>
      <c r="F1105">
        <v>2</v>
      </c>
      <c r="G1105" t="s">
        <v>116</v>
      </c>
      <c r="H1105" t="str">
        <f>IFERROR(ROUND(COUNTIFS(Tasks!$A:$A,$A1105,Tasks!$B:$B,$B1105,Tasks!$C:$C,$G1105,Tasks!$I:$I,"&lt;="&amp;INDEX(Weeks!$D:$D,MATCH($C1105,Weeks!$A:$A,0)),Tasks!$I:$I,"&lt;&gt;")/COUNTIFS(Tasks!$A:$A,$A1105,Tasks!$B:$B,$B1105,Tasks!$C:$C,$G1105)*100,0),"")</f>
        <v/>
      </c>
    </row>
    <row r="1106" spans="1:8" ht="15" customHeight="1">
      <c r="A1106" t="s">
        <v>97</v>
      </c>
      <c r="B1106" t="s">
        <v>99</v>
      </c>
      <c r="C1106">
        <v>13</v>
      </c>
      <c r="D1106">
        <v>3</v>
      </c>
      <c r="E1106">
        <v>4</v>
      </c>
      <c r="F1106">
        <v>2</v>
      </c>
      <c r="G1106" t="s">
        <v>116</v>
      </c>
      <c r="H1106" t="str">
        <f>IFERROR(ROUND(COUNTIFS(Tasks!$A:$A,$A1106,Tasks!$B:$B,$B1106,Tasks!$C:$C,$G1106,Tasks!$I:$I,"&lt;="&amp;INDEX(Weeks!$D:$D,MATCH($C1106,Weeks!$A:$A,0)),Tasks!$I:$I,"&lt;&gt;")/COUNTIFS(Tasks!$A:$A,$A1106,Tasks!$B:$B,$B1106,Tasks!$C:$C,$G1106)*100,0),"")</f>
        <v/>
      </c>
    </row>
    <row r="1107" spans="1:8" ht="15" customHeight="1">
      <c r="A1107" t="s">
        <v>97</v>
      </c>
      <c r="B1107" t="s">
        <v>99</v>
      </c>
      <c r="C1107">
        <v>14</v>
      </c>
      <c r="D1107">
        <v>4</v>
      </c>
      <c r="E1107">
        <v>1</v>
      </c>
      <c r="F1107">
        <v>2</v>
      </c>
      <c r="G1107" t="s">
        <v>116</v>
      </c>
      <c r="H1107" t="str">
        <f>IFERROR(ROUND(COUNTIFS(Tasks!$A:$A,$A1107,Tasks!$B:$B,$B1107,Tasks!$C:$C,$G1107,Tasks!$I:$I,"&lt;="&amp;INDEX(Weeks!$D:$D,MATCH($C1107,Weeks!$A:$A,0)),Tasks!$I:$I,"&lt;&gt;")/COUNTIFS(Tasks!$A:$A,$A1107,Tasks!$B:$B,$B1107,Tasks!$C:$C,$G1107)*100,0),"")</f>
        <v/>
      </c>
    </row>
    <row r="1108" spans="1:8" ht="15" customHeight="1">
      <c r="A1108" t="s">
        <v>97</v>
      </c>
      <c r="B1108" t="s">
        <v>99</v>
      </c>
      <c r="C1108">
        <v>15</v>
      </c>
      <c r="D1108">
        <v>4</v>
      </c>
      <c r="E1108">
        <v>2</v>
      </c>
      <c r="F1108">
        <v>2</v>
      </c>
      <c r="G1108" t="s">
        <v>116</v>
      </c>
      <c r="H1108" t="str">
        <f>IFERROR(ROUND(COUNTIFS(Tasks!$A:$A,$A1108,Tasks!$B:$B,$B1108,Tasks!$C:$C,$G1108,Tasks!$I:$I,"&lt;="&amp;INDEX(Weeks!$D:$D,MATCH($C1108,Weeks!$A:$A,0)),Tasks!$I:$I,"&lt;&gt;")/COUNTIFS(Tasks!$A:$A,$A1108,Tasks!$B:$B,$B1108,Tasks!$C:$C,$G1108)*100,0),"")</f>
        <v/>
      </c>
    </row>
    <row r="1109" spans="1:8" ht="15" customHeight="1">
      <c r="A1109" t="s">
        <v>97</v>
      </c>
      <c r="B1109" t="s">
        <v>99</v>
      </c>
      <c r="C1109">
        <v>16</v>
      </c>
      <c r="D1109">
        <v>4</v>
      </c>
      <c r="E1109">
        <v>3</v>
      </c>
      <c r="F1109">
        <v>2</v>
      </c>
      <c r="G1109" t="s">
        <v>116</v>
      </c>
      <c r="H1109" t="str">
        <f>IFERROR(ROUND(COUNTIFS(Tasks!$A:$A,$A1109,Tasks!$B:$B,$B1109,Tasks!$C:$C,$G1109,Tasks!$I:$I,"&lt;="&amp;INDEX(Weeks!$D:$D,MATCH($C1109,Weeks!$A:$A,0)),Tasks!$I:$I,"&lt;&gt;")/COUNTIFS(Tasks!$A:$A,$A1109,Tasks!$B:$B,$B1109,Tasks!$C:$C,$G1109)*100,0),"")</f>
        <v/>
      </c>
    </row>
    <row r="1110" spans="1:8" ht="15" customHeight="1">
      <c r="A1110" t="s">
        <v>97</v>
      </c>
      <c r="B1110" t="s">
        <v>99</v>
      </c>
      <c r="C1110">
        <v>17</v>
      </c>
      <c r="D1110">
        <v>4</v>
      </c>
      <c r="E1110">
        <v>4</v>
      </c>
      <c r="F1110">
        <v>2</v>
      </c>
      <c r="G1110" t="s">
        <v>116</v>
      </c>
      <c r="H1110" t="str">
        <f>IFERROR(ROUND(COUNTIFS(Tasks!$A:$A,$A1110,Tasks!$B:$B,$B1110,Tasks!$C:$C,$G1110,Tasks!$I:$I,"&lt;="&amp;INDEX(Weeks!$D:$D,MATCH($C1110,Weeks!$A:$A,0)),Tasks!$I:$I,"&lt;&gt;")/COUNTIFS(Tasks!$A:$A,$A1110,Tasks!$B:$B,$B1110,Tasks!$C:$C,$G1110)*100,0),"")</f>
        <v/>
      </c>
    </row>
    <row r="1111" spans="1:8" ht="15" customHeight="1">
      <c r="A1111" t="s">
        <v>97</v>
      </c>
      <c r="B1111" t="s">
        <v>99</v>
      </c>
      <c r="C1111">
        <v>18</v>
      </c>
      <c r="D1111">
        <v>5</v>
      </c>
      <c r="E1111">
        <v>1</v>
      </c>
      <c r="F1111">
        <v>2</v>
      </c>
      <c r="G1111" t="s">
        <v>116</v>
      </c>
      <c r="H1111" t="str">
        <f>IFERROR(ROUND(COUNTIFS(Tasks!$A:$A,$A1111,Tasks!$B:$B,$B1111,Tasks!$C:$C,$G1111,Tasks!$I:$I,"&lt;="&amp;INDEX(Weeks!$D:$D,MATCH($C1111,Weeks!$A:$A,0)),Tasks!$I:$I,"&lt;&gt;")/COUNTIFS(Tasks!$A:$A,$A1111,Tasks!$B:$B,$B1111,Tasks!$C:$C,$G1111)*100,0),"")</f>
        <v/>
      </c>
    </row>
    <row r="1112" spans="1:8" ht="15" customHeight="1">
      <c r="A1112" t="s">
        <v>97</v>
      </c>
      <c r="B1112" t="s">
        <v>99</v>
      </c>
      <c r="C1112">
        <v>19</v>
      </c>
      <c r="D1112">
        <v>5</v>
      </c>
      <c r="E1112">
        <v>2</v>
      </c>
      <c r="F1112">
        <v>2</v>
      </c>
      <c r="G1112" t="s">
        <v>116</v>
      </c>
      <c r="H1112" t="str">
        <f>IFERROR(ROUND(COUNTIFS(Tasks!$A:$A,$A1112,Tasks!$B:$B,$B1112,Tasks!$C:$C,$G1112,Tasks!$I:$I,"&lt;="&amp;INDEX(Weeks!$D:$D,MATCH($C1112,Weeks!$A:$A,0)),Tasks!$I:$I,"&lt;&gt;")/COUNTIFS(Tasks!$A:$A,$A1112,Tasks!$B:$B,$B1112,Tasks!$C:$C,$G1112)*100,0),"")</f>
        <v/>
      </c>
    </row>
    <row r="1113" spans="1:8" ht="15" customHeight="1">
      <c r="A1113" t="s">
        <v>97</v>
      </c>
      <c r="B1113" t="s">
        <v>99</v>
      </c>
      <c r="C1113">
        <v>20</v>
      </c>
      <c r="D1113">
        <v>5</v>
      </c>
      <c r="E1113">
        <v>3</v>
      </c>
      <c r="F1113">
        <v>2</v>
      </c>
      <c r="G1113" t="s">
        <v>116</v>
      </c>
      <c r="H1113" t="str">
        <f>IFERROR(ROUND(COUNTIFS(Tasks!$A:$A,$A1113,Tasks!$B:$B,$B1113,Tasks!$C:$C,$G1113,Tasks!$I:$I,"&lt;="&amp;INDEX(Weeks!$D:$D,MATCH($C1113,Weeks!$A:$A,0)),Tasks!$I:$I,"&lt;&gt;")/COUNTIFS(Tasks!$A:$A,$A1113,Tasks!$B:$B,$B1113,Tasks!$C:$C,$G1113)*100,0),"")</f>
        <v/>
      </c>
    </row>
    <row r="1114" spans="1:8" ht="15" customHeight="1">
      <c r="A1114" t="s">
        <v>97</v>
      </c>
      <c r="B1114" t="s">
        <v>99</v>
      </c>
      <c r="C1114">
        <v>21</v>
      </c>
      <c r="D1114">
        <v>5</v>
      </c>
      <c r="E1114">
        <v>4</v>
      </c>
      <c r="F1114">
        <v>2</v>
      </c>
      <c r="G1114" t="s">
        <v>116</v>
      </c>
      <c r="H1114" t="str">
        <f>IFERROR(ROUND(COUNTIFS(Tasks!$A:$A,$A1114,Tasks!$B:$B,$B1114,Tasks!$C:$C,$G1114,Tasks!$I:$I,"&lt;="&amp;INDEX(Weeks!$D:$D,MATCH($C1114,Weeks!$A:$A,0)),Tasks!$I:$I,"&lt;&gt;")/COUNTIFS(Tasks!$A:$A,$A1114,Tasks!$B:$B,$B1114,Tasks!$C:$C,$G1114)*100,0),"")</f>
        <v/>
      </c>
    </row>
    <row r="1115" spans="1:8" ht="15" customHeight="1">
      <c r="A1115" t="s">
        <v>97</v>
      </c>
      <c r="B1115" t="s">
        <v>99</v>
      </c>
      <c r="C1115">
        <v>22</v>
      </c>
      <c r="D1115">
        <v>5</v>
      </c>
      <c r="E1115">
        <v>5</v>
      </c>
      <c r="F1115">
        <v>2</v>
      </c>
      <c r="G1115" t="s">
        <v>116</v>
      </c>
      <c r="H1115" t="str">
        <f>IFERROR(ROUND(COUNTIFS(Tasks!$A:$A,$A1115,Tasks!$B:$B,$B1115,Tasks!$C:$C,$G1115,Tasks!$I:$I,"&lt;="&amp;INDEX(Weeks!$D:$D,MATCH($C1115,Weeks!$A:$A,0)),Tasks!$I:$I,"&lt;&gt;")/COUNTIFS(Tasks!$A:$A,$A1115,Tasks!$B:$B,$B1115,Tasks!$C:$C,$G1115)*100,0),"")</f>
        <v/>
      </c>
    </row>
    <row r="1116" spans="1:8" ht="15" customHeight="1">
      <c r="A1116" t="s">
        <v>97</v>
      </c>
      <c r="B1116" t="s">
        <v>99</v>
      </c>
      <c r="C1116">
        <v>23</v>
      </c>
      <c r="D1116">
        <v>6</v>
      </c>
      <c r="E1116">
        <v>1</v>
      </c>
      <c r="F1116">
        <v>2</v>
      </c>
      <c r="G1116" t="s">
        <v>116</v>
      </c>
      <c r="H1116" t="str">
        <f>IFERROR(ROUND(COUNTIFS(Tasks!$A:$A,$A1116,Tasks!$B:$B,$B1116,Tasks!$C:$C,$G1116,Tasks!$I:$I,"&lt;="&amp;INDEX(Weeks!$D:$D,MATCH($C1116,Weeks!$A:$A,0)),Tasks!$I:$I,"&lt;&gt;")/COUNTIFS(Tasks!$A:$A,$A1116,Tasks!$B:$B,$B1116,Tasks!$C:$C,$G1116)*100,0),"")</f>
        <v/>
      </c>
    </row>
    <row r="1117" spans="1:8" ht="15" customHeight="1">
      <c r="A1117" t="s">
        <v>97</v>
      </c>
      <c r="B1117" t="s">
        <v>99</v>
      </c>
      <c r="C1117">
        <v>24</v>
      </c>
      <c r="D1117">
        <v>6</v>
      </c>
      <c r="E1117">
        <v>2</v>
      </c>
      <c r="F1117">
        <v>2</v>
      </c>
      <c r="G1117" t="s">
        <v>116</v>
      </c>
      <c r="H1117" t="str">
        <f>IFERROR(ROUND(COUNTIFS(Tasks!$A:$A,$A1117,Tasks!$B:$B,$B1117,Tasks!$C:$C,$G1117,Tasks!$I:$I,"&lt;="&amp;INDEX(Weeks!$D:$D,MATCH($C1117,Weeks!$A:$A,0)),Tasks!$I:$I,"&lt;&gt;")/COUNTIFS(Tasks!$A:$A,$A1117,Tasks!$B:$B,$B1117,Tasks!$C:$C,$G1117)*100,0),"")</f>
        <v/>
      </c>
    </row>
    <row r="1118" spans="1:8" ht="15" customHeight="1">
      <c r="A1118" t="s">
        <v>97</v>
      </c>
      <c r="B1118" t="s">
        <v>99</v>
      </c>
      <c r="C1118">
        <v>25</v>
      </c>
      <c r="D1118">
        <v>6</v>
      </c>
      <c r="E1118">
        <v>3</v>
      </c>
      <c r="F1118">
        <v>2</v>
      </c>
      <c r="G1118" t="s">
        <v>116</v>
      </c>
      <c r="H1118" t="str">
        <f>IFERROR(ROUND(COUNTIFS(Tasks!$A:$A,$A1118,Tasks!$B:$B,$B1118,Tasks!$C:$C,$G1118,Tasks!$I:$I,"&lt;="&amp;INDEX(Weeks!$D:$D,MATCH($C1118,Weeks!$A:$A,0)),Tasks!$I:$I,"&lt;&gt;")/COUNTIFS(Tasks!$A:$A,$A1118,Tasks!$B:$B,$B1118,Tasks!$C:$C,$G1118)*100,0),"")</f>
        <v/>
      </c>
    </row>
    <row r="1119" spans="1:8" ht="15" customHeight="1">
      <c r="A1119" t="s">
        <v>97</v>
      </c>
      <c r="B1119" t="s">
        <v>99</v>
      </c>
      <c r="C1119">
        <v>26</v>
      </c>
      <c r="D1119">
        <v>6</v>
      </c>
      <c r="E1119">
        <v>4</v>
      </c>
      <c r="F1119">
        <v>2</v>
      </c>
      <c r="G1119" t="s">
        <v>116</v>
      </c>
      <c r="H1119" t="str">
        <f>IFERROR(ROUND(COUNTIFS(Tasks!$A:$A,$A1119,Tasks!$B:$B,$B1119,Tasks!$C:$C,$G1119,Tasks!$I:$I,"&lt;="&amp;INDEX(Weeks!$D:$D,MATCH($C1119,Weeks!$A:$A,0)),Tasks!$I:$I,"&lt;&gt;")/COUNTIFS(Tasks!$A:$A,$A1119,Tasks!$B:$B,$B1119,Tasks!$C:$C,$G1119)*100,0),"")</f>
        <v/>
      </c>
    </row>
    <row r="1120" spans="1:8" ht="15" customHeight="1">
      <c r="A1120" t="s">
        <v>97</v>
      </c>
      <c r="B1120" t="s">
        <v>99</v>
      </c>
      <c r="C1120">
        <v>27</v>
      </c>
      <c r="D1120">
        <v>7</v>
      </c>
      <c r="E1120">
        <v>1</v>
      </c>
      <c r="F1120">
        <v>2</v>
      </c>
      <c r="G1120" t="s">
        <v>116</v>
      </c>
      <c r="H1120" t="str">
        <f>IFERROR(ROUND(COUNTIFS(Tasks!$A:$A,$A1120,Tasks!$B:$B,$B1120,Tasks!$C:$C,$G1120,Tasks!$I:$I,"&lt;="&amp;INDEX(Weeks!$D:$D,MATCH($C1120,Weeks!$A:$A,0)),Tasks!$I:$I,"&lt;&gt;")/COUNTIFS(Tasks!$A:$A,$A1120,Tasks!$B:$B,$B1120,Tasks!$C:$C,$G1120)*100,0),"")</f>
        <v/>
      </c>
    </row>
    <row r="1121" spans="1:8" ht="15" customHeight="1">
      <c r="A1121" t="s">
        <v>97</v>
      </c>
      <c r="B1121" t="s">
        <v>99</v>
      </c>
      <c r="C1121">
        <v>28</v>
      </c>
      <c r="D1121">
        <v>7</v>
      </c>
      <c r="E1121">
        <v>2</v>
      </c>
      <c r="F1121">
        <v>2</v>
      </c>
      <c r="G1121" t="s">
        <v>116</v>
      </c>
      <c r="H1121" t="str">
        <f>IFERROR(ROUND(COUNTIFS(Tasks!$A:$A,$A1121,Tasks!$B:$B,$B1121,Tasks!$C:$C,$G1121,Tasks!$I:$I,"&lt;="&amp;INDEX(Weeks!$D:$D,MATCH($C1121,Weeks!$A:$A,0)),Tasks!$I:$I,"&lt;&gt;")/COUNTIFS(Tasks!$A:$A,$A1121,Tasks!$B:$B,$B1121,Tasks!$C:$C,$G1121)*100,0),"")</f>
        <v/>
      </c>
    </row>
    <row r="1122" spans="1:8" ht="15" customHeight="1">
      <c r="A1122" t="s">
        <v>97</v>
      </c>
      <c r="B1122" t="s">
        <v>99</v>
      </c>
      <c r="C1122">
        <v>29</v>
      </c>
      <c r="D1122">
        <v>7</v>
      </c>
      <c r="E1122">
        <v>3</v>
      </c>
      <c r="F1122">
        <v>2</v>
      </c>
      <c r="G1122" t="s">
        <v>116</v>
      </c>
      <c r="H1122" t="str">
        <f>IFERROR(ROUND(COUNTIFS(Tasks!$A:$A,$A1122,Tasks!$B:$B,$B1122,Tasks!$C:$C,$G1122,Tasks!$I:$I,"&lt;="&amp;INDEX(Weeks!$D:$D,MATCH($C1122,Weeks!$A:$A,0)),Tasks!$I:$I,"&lt;&gt;")/COUNTIFS(Tasks!$A:$A,$A1122,Tasks!$B:$B,$B1122,Tasks!$C:$C,$G1122)*100,0),"")</f>
        <v/>
      </c>
    </row>
    <row r="1123" spans="1:8" ht="15" customHeight="1">
      <c r="A1123" t="s">
        <v>97</v>
      </c>
      <c r="B1123" t="s">
        <v>99</v>
      </c>
      <c r="C1123">
        <v>30</v>
      </c>
      <c r="D1123">
        <v>7</v>
      </c>
      <c r="E1123">
        <v>4</v>
      </c>
      <c r="F1123">
        <v>2</v>
      </c>
      <c r="G1123" t="s">
        <v>116</v>
      </c>
      <c r="H1123" t="str">
        <f>IFERROR(ROUND(COUNTIFS(Tasks!$A:$A,$A1123,Tasks!$B:$B,$B1123,Tasks!$C:$C,$G1123,Tasks!$I:$I,"&lt;="&amp;INDEX(Weeks!$D:$D,MATCH($C1123,Weeks!$A:$A,0)),Tasks!$I:$I,"&lt;&gt;")/COUNTIFS(Tasks!$A:$A,$A1123,Tasks!$B:$B,$B1123,Tasks!$C:$C,$G1123)*100,0),"")</f>
        <v/>
      </c>
    </row>
    <row r="1124" spans="1:8" ht="15" customHeight="1">
      <c r="A1124" t="s">
        <v>97</v>
      </c>
      <c r="B1124" t="s">
        <v>99</v>
      </c>
      <c r="C1124">
        <v>31</v>
      </c>
      <c r="D1124">
        <v>8</v>
      </c>
      <c r="E1124">
        <v>1</v>
      </c>
      <c r="F1124">
        <v>2</v>
      </c>
      <c r="G1124" t="s">
        <v>116</v>
      </c>
      <c r="H1124" t="str">
        <f>IFERROR(ROUND(COUNTIFS(Tasks!$A:$A,$A1124,Tasks!$B:$B,$B1124,Tasks!$C:$C,$G1124,Tasks!$I:$I,"&lt;="&amp;INDEX(Weeks!$D:$D,MATCH($C1124,Weeks!$A:$A,0)),Tasks!$I:$I,"&lt;&gt;")/COUNTIFS(Tasks!$A:$A,$A1124,Tasks!$B:$B,$B1124,Tasks!$C:$C,$G1124)*100,0),"")</f>
        <v/>
      </c>
    </row>
    <row r="1125" spans="1:8" ht="15" customHeight="1">
      <c r="A1125" t="s">
        <v>97</v>
      </c>
      <c r="B1125" t="s">
        <v>99</v>
      </c>
      <c r="C1125">
        <v>32</v>
      </c>
      <c r="D1125">
        <v>8</v>
      </c>
      <c r="E1125">
        <v>2</v>
      </c>
      <c r="F1125">
        <v>2</v>
      </c>
      <c r="G1125" t="s">
        <v>116</v>
      </c>
      <c r="H1125" t="str">
        <f>IFERROR(ROUND(COUNTIFS(Tasks!$A:$A,$A1125,Tasks!$B:$B,$B1125,Tasks!$C:$C,$G1125,Tasks!$I:$I,"&lt;="&amp;INDEX(Weeks!$D:$D,MATCH($C1125,Weeks!$A:$A,0)),Tasks!$I:$I,"&lt;&gt;")/COUNTIFS(Tasks!$A:$A,$A1125,Tasks!$B:$B,$B1125,Tasks!$C:$C,$G1125)*100,0),"")</f>
        <v/>
      </c>
    </row>
    <row r="1126" spans="1:8" ht="15" customHeight="1">
      <c r="A1126" t="s">
        <v>97</v>
      </c>
      <c r="B1126" t="s">
        <v>99</v>
      </c>
      <c r="C1126">
        <v>33</v>
      </c>
      <c r="D1126">
        <v>8</v>
      </c>
      <c r="E1126">
        <v>3</v>
      </c>
      <c r="F1126">
        <v>2</v>
      </c>
      <c r="G1126" t="s">
        <v>116</v>
      </c>
      <c r="H1126" t="str">
        <f>IFERROR(ROUND(COUNTIFS(Tasks!$A:$A,$A1126,Tasks!$B:$B,$B1126,Tasks!$C:$C,$G1126,Tasks!$I:$I,"&lt;="&amp;INDEX(Weeks!$D:$D,MATCH($C1126,Weeks!$A:$A,0)),Tasks!$I:$I,"&lt;&gt;")/COUNTIFS(Tasks!$A:$A,$A1126,Tasks!$B:$B,$B1126,Tasks!$C:$C,$G1126)*100,0),"")</f>
        <v/>
      </c>
    </row>
    <row r="1127" spans="1:8" ht="15" customHeight="1">
      <c r="A1127" t="s">
        <v>97</v>
      </c>
      <c r="B1127" t="s">
        <v>99</v>
      </c>
      <c r="C1127">
        <v>34</v>
      </c>
      <c r="D1127">
        <v>8</v>
      </c>
      <c r="E1127">
        <v>4</v>
      </c>
      <c r="F1127">
        <v>2</v>
      </c>
      <c r="G1127" t="s">
        <v>116</v>
      </c>
      <c r="H1127" t="str">
        <f>IFERROR(ROUND(COUNTIFS(Tasks!$A:$A,$A1127,Tasks!$B:$B,$B1127,Tasks!$C:$C,$G1127,Tasks!$I:$I,"&lt;="&amp;INDEX(Weeks!$D:$D,MATCH($C1127,Weeks!$A:$A,0)),Tasks!$I:$I,"&lt;&gt;")/COUNTIFS(Tasks!$A:$A,$A1127,Tasks!$B:$B,$B1127,Tasks!$C:$C,$G1127)*100,0),"")</f>
        <v/>
      </c>
    </row>
    <row r="1128" spans="1:8" ht="15" customHeight="1">
      <c r="A1128" t="s">
        <v>97</v>
      </c>
      <c r="B1128" t="s">
        <v>99</v>
      </c>
      <c r="C1128">
        <v>35</v>
      </c>
      <c r="D1128">
        <v>8</v>
      </c>
      <c r="E1128">
        <v>5</v>
      </c>
      <c r="F1128">
        <v>2</v>
      </c>
      <c r="G1128" t="s">
        <v>116</v>
      </c>
      <c r="H1128" t="str">
        <f>IFERROR(ROUND(COUNTIFS(Tasks!$A:$A,$A1128,Tasks!$B:$B,$B1128,Tasks!$C:$C,$G1128,Tasks!$I:$I,"&lt;="&amp;INDEX(Weeks!$D:$D,MATCH($C1128,Weeks!$A:$A,0)),Tasks!$I:$I,"&lt;&gt;")/COUNTIFS(Tasks!$A:$A,$A1128,Tasks!$B:$B,$B1128,Tasks!$C:$C,$G1128)*100,0),"")</f>
        <v/>
      </c>
    </row>
    <row r="1129" spans="1:8" ht="15" customHeight="1">
      <c r="A1129" t="s">
        <v>97</v>
      </c>
      <c r="B1129" t="s">
        <v>99</v>
      </c>
      <c r="C1129">
        <v>36</v>
      </c>
      <c r="D1129">
        <v>9</v>
      </c>
      <c r="E1129">
        <v>1</v>
      </c>
      <c r="F1129">
        <v>2</v>
      </c>
      <c r="G1129" t="s">
        <v>116</v>
      </c>
      <c r="H1129" t="str">
        <f>IFERROR(ROUND(COUNTIFS(Tasks!$A:$A,$A1129,Tasks!$B:$B,$B1129,Tasks!$C:$C,$G1129,Tasks!$I:$I,"&lt;="&amp;INDEX(Weeks!$D:$D,MATCH($C1129,Weeks!$A:$A,0)),Tasks!$I:$I,"&lt;&gt;")/COUNTIFS(Tasks!$A:$A,$A1129,Tasks!$B:$B,$B1129,Tasks!$C:$C,$G1129)*100,0),"")</f>
        <v/>
      </c>
    </row>
    <row r="1130" spans="1:8" ht="15" customHeight="1">
      <c r="A1130" t="s">
        <v>97</v>
      </c>
      <c r="B1130" t="s">
        <v>99</v>
      </c>
      <c r="C1130">
        <v>37</v>
      </c>
      <c r="D1130">
        <v>9</v>
      </c>
      <c r="E1130">
        <v>2</v>
      </c>
      <c r="F1130">
        <v>2</v>
      </c>
      <c r="G1130" t="s">
        <v>116</v>
      </c>
      <c r="H1130" t="str">
        <f>IFERROR(ROUND(COUNTIFS(Tasks!$A:$A,$A1130,Tasks!$B:$B,$B1130,Tasks!$C:$C,$G1130,Tasks!$I:$I,"&lt;="&amp;INDEX(Weeks!$D:$D,MATCH($C1130,Weeks!$A:$A,0)),Tasks!$I:$I,"&lt;&gt;")/COUNTIFS(Tasks!$A:$A,$A1130,Tasks!$B:$B,$B1130,Tasks!$C:$C,$G1130)*100,0),"")</f>
        <v/>
      </c>
    </row>
    <row r="1131" spans="1:8" ht="15" customHeight="1">
      <c r="A1131" t="s">
        <v>97</v>
      </c>
      <c r="B1131" t="s">
        <v>99</v>
      </c>
      <c r="C1131">
        <v>38</v>
      </c>
      <c r="D1131">
        <v>9</v>
      </c>
      <c r="E1131">
        <v>3</v>
      </c>
      <c r="F1131">
        <v>2</v>
      </c>
      <c r="G1131" t="s">
        <v>116</v>
      </c>
      <c r="H1131" t="str">
        <f>IFERROR(ROUND(COUNTIFS(Tasks!$A:$A,$A1131,Tasks!$B:$B,$B1131,Tasks!$C:$C,$G1131,Tasks!$I:$I,"&lt;="&amp;INDEX(Weeks!$D:$D,MATCH($C1131,Weeks!$A:$A,0)),Tasks!$I:$I,"&lt;&gt;")/COUNTIFS(Tasks!$A:$A,$A1131,Tasks!$B:$B,$B1131,Tasks!$C:$C,$G1131)*100,0),"")</f>
        <v/>
      </c>
    </row>
    <row r="1132" spans="1:8" ht="15" customHeight="1">
      <c r="A1132" t="s">
        <v>97</v>
      </c>
      <c r="B1132" t="s">
        <v>99</v>
      </c>
      <c r="C1132">
        <v>39</v>
      </c>
      <c r="D1132">
        <v>9</v>
      </c>
      <c r="E1132">
        <v>4</v>
      </c>
      <c r="F1132">
        <v>2</v>
      </c>
      <c r="G1132" t="s">
        <v>116</v>
      </c>
      <c r="H1132" t="str">
        <f>IFERROR(ROUND(COUNTIFS(Tasks!$A:$A,$A1132,Tasks!$B:$B,$B1132,Tasks!$C:$C,$G1132,Tasks!$I:$I,"&lt;="&amp;INDEX(Weeks!$D:$D,MATCH($C1132,Weeks!$A:$A,0)),Tasks!$I:$I,"&lt;&gt;")/COUNTIFS(Tasks!$A:$A,$A1132,Tasks!$B:$B,$B1132,Tasks!$C:$C,$G1132)*100,0),"")</f>
        <v/>
      </c>
    </row>
    <row r="1133" spans="1:8" ht="15" customHeight="1">
      <c r="A1133" t="s">
        <v>97</v>
      </c>
      <c r="B1133" t="s">
        <v>99</v>
      </c>
      <c r="C1133">
        <v>40</v>
      </c>
      <c r="D1133">
        <v>10</v>
      </c>
      <c r="E1133">
        <v>1</v>
      </c>
      <c r="F1133">
        <v>2</v>
      </c>
      <c r="G1133" t="s">
        <v>116</v>
      </c>
      <c r="H1133" t="str">
        <f>IFERROR(ROUND(COUNTIFS(Tasks!$A:$A,$A1133,Tasks!$B:$B,$B1133,Tasks!$C:$C,$G1133,Tasks!$I:$I,"&lt;="&amp;INDEX(Weeks!$D:$D,MATCH($C1133,Weeks!$A:$A,0)),Tasks!$I:$I,"&lt;&gt;")/COUNTIFS(Tasks!$A:$A,$A1133,Tasks!$B:$B,$B1133,Tasks!$C:$C,$G1133)*100,0),"")</f>
        <v/>
      </c>
    </row>
    <row r="1134" spans="1:8" ht="15" customHeight="1">
      <c r="A1134" t="s">
        <v>97</v>
      </c>
      <c r="B1134" t="s">
        <v>99</v>
      </c>
      <c r="C1134">
        <v>41</v>
      </c>
      <c r="D1134">
        <v>10</v>
      </c>
      <c r="E1134">
        <v>2</v>
      </c>
      <c r="F1134">
        <v>2</v>
      </c>
      <c r="G1134" t="s">
        <v>116</v>
      </c>
      <c r="H1134" t="str">
        <f>IFERROR(ROUND(COUNTIFS(Tasks!$A:$A,$A1134,Tasks!$B:$B,$B1134,Tasks!$C:$C,$G1134,Tasks!$I:$I,"&lt;="&amp;INDEX(Weeks!$D:$D,MATCH($C1134,Weeks!$A:$A,0)),Tasks!$I:$I,"&lt;&gt;")/COUNTIFS(Tasks!$A:$A,$A1134,Tasks!$B:$B,$B1134,Tasks!$C:$C,$G1134)*100,0),"")</f>
        <v/>
      </c>
    </row>
    <row r="1135" spans="1:8" ht="15" customHeight="1">
      <c r="A1135" t="s">
        <v>97</v>
      </c>
      <c r="B1135" t="s">
        <v>99</v>
      </c>
      <c r="C1135">
        <v>42</v>
      </c>
      <c r="D1135">
        <v>10</v>
      </c>
      <c r="E1135">
        <v>3</v>
      </c>
      <c r="F1135">
        <v>2</v>
      </c>
      <c r="G1135" t="s">
        <v>116</v>
      </c>
      <c r="H1135" t="str">
        <f>IFERROR(ROUND(COUNTIFS(Tasks!$A:$A,$A1135,Tasks!$B:$B,$B1135,Tasks!$C:$C,$G1135,Tasks!$I:$I,"&lt;="&amp;INDEX(Weeks!$D:$D,MATCH($C1135,Weeks!$A:$A,0)),Tasks!$I:$I,"&lt;&gt;")/COUNTIFS(Tasks!$A:$A,$A1135,Tasks!$B:$B,$B1135,Tasks!$C:$C,$G1135)*100,0),"")</f>
        <v/>
      </c>
    </row>
    <row r="1136" spans="1:8" ht="15" customHeight="1">
      <c r="A1136" t="s">
        <v>97</v>
      </c>
      <c r="B1136" t="s">
        <v>99</v>
      </c>
      <c r="C1136">
        <v>43</v>
      </c>
      <c r="D1136">
        <v>10</v>
      </c>
      <c r="E1136">
        <v>4</v>
      </c>
      <c r="F1136">
        <v>2</v>
      </c>
      <c r="G1136" t="s">
        <v>116</v>
      </c>
      <c r="H1136" t="str">
        <f>IFERROR(ROUND(COUNTIFS(Tasks!$A:$A,$A1136,Tasks!$B:$B,$B1136,Tasks!$C:$C,$G1136,Tasks!$I:$I,"&lt;="&amp;INDEX(Weeks!$D:$D,MATCH($C1136,Weeks!$A:$A,0)),Tasks!$I:$I,"&lt;&gt;")/COUNTIFS(Tasks!$A:$A,$A1136,Tasks!$B:$B,$B1136,Tasks!$C:$C,$G1136)*100,0),"")</f>
        <v/>
      </c>
    </row>
    <row r="1137" spans="1:8" ht="15" customHeight="1">
      <c r="A1137" t="s">
        <v>97</v>
      </c>
      <c r="B1137" t="s">
        <v>99</v>
      </c>
      <c r="C1137">
        <v>44</v>
      </c>
      <c r="D1137">
        <v>10</v>
      </c>
      <c r="E1137">
        <v>5</v>
      </c>
      <c r="F1137">
        <v>2</v>
      </c>
      <c r="G1137" t="s">
        <v>116</v>
      </c>
      <c r="H1137" t="str">
        <f>IFERROR(ROUND(COUNTIFS(Tasks!$A:$A,$A1137,Tasks!$B:$B,$B1137,Tasks!$C:$C,$G1137,Tasks!$I:$I,"&lt;="&amp;INDEX(Weeks!$D:$D,MATCH($C1137,Weeks!$A:$A,0)),Tasks!$I:$I,"&lt;&gt;")/COUNTIFS(Tasks!$A:$A,$A1137,Tasks!$B:$B,$B1137,Tasks!$C:$C,$G1137)*100,0),"")</f>
        <v/>
      </c>
    </row>
    <row r="1138" spans="1:8" ht="15" customHeight="1">
      <c r="A1138" t="s">
        <v>97</v>
      </c>
      <c r="B1138" t="s">
        <v>99</v>
      </c>
      <c r="C1138">
        <v>45</v>
      </c>
      <c r="D1138">
        <v>11</v>
      </c>
      <c r="E1138">
        <v>1</v>
      </c>
      <c r="F1138">
        <v>2</v>
      </c>
      <c r="G1138" t="s">
        <v>116</v>
      </c>
      <c r="H1138" t="str">
        <f>IFERROR(ROUND(COUNTIFS(Tasks!$A:$A,$A1138,Tasks!$B:$B,$B1138,Tasks!$C:$C,$G1138,Tasks!$I:$I,"&lt;="&amp;INDEX(Weeks!$D:$D,MATCH($C1138,Weeks!$A:$A,0)),Tasks!$I:$I,"&lt;&gt;")/COUNTIFS(Tasks!$A:$A,$A1138,Tasks!$B:$B,$B1138,Tasks!$C:$C,$G1138)*100,0),"")</f>
        <v/>
      </c>
    </row>
    <row r="1139" spans="1:8" ht="15" customHeight="1">
      <c r="A1139" t="s">
        <v>97</v>
      </c>
      <c r="B1139" t="s">
        <v>99</v>
      </c>
      <c r="C1139">
        <v>46</v>
      </c>
      <c r="D1139">
        <v>11</v>
      </c>
      <c r="E1139">
        <v>2</v>
      </c>
      <c r="F1139">
        <v>2</v>
      </c>
      <c r="G1139" t="s">
        <v>116</v>
      </c>
      <c r="H1139" t="str">
        <f>IFERROR(ROUND(COUNTIFS(Tasks!$A:$A,$A1139,Tasks!$B:$B,$B1139,Tasks!$C:$C,$G1139,Tasks!$I:$I,"&lt;="&amp;INDEX(Weeks!$D:$D,MATCH($C1139,Weeks!$A:$A,0)),Tasks!$I:$I,"&lt;&gt;")/COUNTIFS(Tasks!$A:$A,$A1139,Tasks!$B:$B,$B1139,Tasks!$C:$C,$G1139)*100,0),"")</f>
        <v/>
      </c>
    </row>
    <row r="1140" spans="1:8" ht="15" customHeight="1">
      <c r="A1140" t="s">
        <v>97</v>
      </c>
      <c r="B1140" t="s">
        <v>99</v>
      </c>
      <c r="C1140">
        <v>47</v>
      </c>
      <c r="D1140">
        <v>11</v>
      </c>
      <c r="E1140">
        <v>3</v>
      </c>
      <c r="F1140">
        <v>2</v>
      </c>
      <c r="G1140" t="s">
        <v>116</v>
      </c>
      <c r="H1140" t="str">
        <f>IFERROR(ROUND(COUNTIFS(Tasks!$A:$A,$A1140,Tasks!$B:$B,$B1140,Tasks!$C:$C,$G1140,Tasks!$I:$I,"&lt;="&amp;INDEX(Weeks!$D:$D,MATCH($C1140,Weeks!$A:$A,0)),Tasks!$I:$I,"&lt;&gt;")/COUNTIFS(Tasks!$A:$A,$A1140,Tasks!$B:$B,$B1140,Tasks!$C:$C,$G1140)*100,0),"")</f>
        <v/>
      </c>
    </row>
    <row r="1141" spans="1:8" ht="15" customHeight="1">
      <c r="A1141" t="s">
        <v>97</v>
      </c>
      <c r="B1141" t="s">
        <v>99</v>
      </c>
      <c r="C1141">
        <v>48</v>
      </c>
      <c r="D1141">
        <v>11</v>
      </c>
      <c r="E1141">
        <v>4</v>
      </c>
      <c r="F1141">
        <v>2</v>
      </c>
      <c r="G1141" t="s">
        <v>116</v>
      </c>
      <c r="H1141" t="str">
        <f>IFERROR(ROUND(COUNTIFS(Tasks!$A:$A,$A1141,Tasks!$B:$B,$B1141,Tasks!$C:$C,$G1141,Tasks!$I:$I,"&lt;="&amp;INDEX(Weeks!$D:$D,MATCH($C1141,Weeks!$A:$A,0)),Tasks!$I:$I,"&lt;&gt;")/COUNTIFS(Tasks!$A:$A,$A1141,Tasks!$B:$B,$B1141,Tasks!$C:$C,$G1141)*100,0),"")</f>
        <v/>
      </c>
    </row>
    <row r="1142" spans="1:8" ht="15" customHeight="1">
      <c r="A1142" t="s">
        <v>97</v>
      </c>
      <c r="B1142" t="s">
        <v>99</v>
      </c>
      <c r="C1142">
        <v>49</v>
      </c>
      <c r="D1142">
        <v>12</v>
      </c>
      <c r="E1142">
        <v>1</v>
      </c>
      <c r="F1142">
        <v>2</v>
      </c>
      <c r="G1142" t="s">
        <v>116</v>
      </c>
      <c r="H1142" t="str">
        <f>IFERROR(ROUND(COUNTIFS(Tasks!$A:$A,$A1142,Tasks!$B:$B,$B1142,Tasks!$C:$C,$G1142,Tasks!$I:$I,"&lt;="&amp;INDEX(Weeks!$D:$D,MATCH($C1142,Weeks!$A:$A,0)),Tasks!$I:$I,"&lt;&gt;")/COUNTIFS(Tasks!$A:$A,$A1142,Tasks!$B:$B,$B1142,Tasks!$C:$C,$G1142)*100,0),"")</f>
        <v/>
      </c>
    </row>
    <row r="1143" spans="1:8" ht="15" customHeight="1">
      <c r="A1143" t="s">
        <v>97</v>
      </c>
      <c r="B1143" t="s">
        <v>99</v>
      </c>
      <c r="C1143">
        <v>50</v>
      </c>
      <c r="D1143">
        <v>12</v>
      </c>
      <c r="E1143">
        <v>2</v>
      </c>
      <c r="F1143">
        <v>2</v>
      </c>
      <c r="G1143" t="s">
        <v>116</v>
      </c>
      <c r="H1143" t="str">
        <f>IFERROR(ROUND(COUNTIFS(Tasks!$A:$A,$A1143,Tasks!$B:$B,$B1143,Tasks!$C:$C,$G1143,Tasks!$I:$I,"&lt;="&amp;INDEX(Weeks!$D:$D,MATCH($C1143,Weeks!$A:$A,0)),Tasks!$I:$I,"&lt;&gt;")/COUNTIFS(Tasks!$A:$A,$A1143,Tasks!$B:$B,$B1143,Tasks!$C:$C,$G1143)*100,0),"")</f>
        <v/>
      </c>
    </row>
    <row r="1144" spans="1:8" ht="15" customHeight="1">
      <c r="A1144" t="s">
        <v>97</v>
      </c>
      <c r="B1144" t="s">
        <v>99</v>
      </c>
      <c r="C1144">
        <v>51</v>
      </c>
      <c r="D1144">
        <v>12</v>
      </c>
      <c r="E1144">
        <v>3</v>
      </c>
      <c r="F1144">
        <v>2</v>
      </c>
      <c r="G1144" t="s">
        <v>116</v>
      </c>
      <c r="H1144" t="str">
        <f>IFERROR(ROUND(COUNTIFS(Tasks!$A:$A,$A1144,Tasks!$B:$B,$B1144,Tasks!$C:$C,$G1144,Tasks!$I:$I,"&lt;="&amp;INDEX(Weeks!$D:$D,MATCH($C1144,Weeks!$A:$A,0)),Tasks!$I:$I,"&lt;&gt;")/COUNTIFS(Tasks!$A:$A,$A1144,Tasks!$B:$B,$B1144,Tasks!$C:$C,$G1144)*100,0),"")</f>
        <v/>
      </c>
    </row>
    <row r="1145" spans="1:8" ht="15" customHeight="1">
      <c r="A1145" t="s">
        <v>97</v>
      </c>
      <c r="B1145" t="s">
        <v>99</v>
      </c>
      <c r="C1145">
        <v>52</v>
      </c>
      <c r="D1145">
        <v>12</v>
      </c>
      <c r="E1145">
        <v>4</v>
      </c>
      <c r="F1145">
        <v>2</v>
      </c>
      <c r="G1145" t="s">
        <v>116</v>
      </c>
      <c r="H1145" t="str">
        <f>IFERROR(ROUND(COUNTIFS(Tasks!$A:$A,$A1145,Tasks!$B:$B,$B1145,Tasks!$C:$C,$G1145,Tasks!$I:$I,"&lt;="&amp;INDEX(Weeks!$D:$D,MATCH($C1145,Weeks!$A:$A,0)),Tasks!$I:$I,"&lt;&gt;")/COUNTIFS(Tasks!$A:$A,$A1145,Tasks!$B:$B,$B1145,Tasks!$C:$C,$G1145)*100,0),"")</f>
        <v/>
      </c>
    </row>
    <row r="1146" spans="1:8" ht="15" customHeight="1">
      <c r="A1146" t="s">
        <v>97</v>
      </c>
      <c r="B1146" t="s">
        <v>99</v>
      </c>
      <c r="C1146">
        <v>1</v>
      </c>
      <c r="D1146">
        <v>1</v>
      </c>
      <c r="E1146">
        <v>1</v>
      </c>
      <c r="F1146">
        <v>3</v>
      </c>
      <c r="G1146" t="s">
        <v>117</v>
      </c>
      <c r="H1146" t="str">
        <f>IFERROR(ROUND(COUNTIFS(Tasks!$A:$A,$A1146,Tasks!$B:$B,$B1146,Tasks!$C:$C,$G1146,Tasks!$I:$I,"&lt;="&amp;INDEX(Weeks!$D:$D,MATCH($C1146,Weeks!$A:$A,0)),Tasks!$I:$I,"&lt;&gt;")/COUNTIFS(Tasks!$A:$A,$A1146,Tasks!$B:$B,$B1146,Tasks!$C:$C,$G1146)*100,0),"")</f>
        <v/>
      </c>
    </row>
    <row r="1147" spans="1:8" ht="15" customHeight="1">
      <c r="A1147" t="s">
        <v>97</v>
      </c>
      <c r="B1147" t="s">
        <v>99</v>
      </c>
      <c r="C1147">
        <v>2</v>
      </c>
      <c r="D1147">
        <v>1</v>
      </c>
      <c r="E1147">
        <v>2</v>
      </c>
      <c r="F1147">
        <v>3</v>
      </c>
      <c r="G1147" t="s">
        <v>117</v>
      </c>
      <c r="H1147" t="str">
        <f>IFERROR(ROUND(COUNTIFS(Tasks!$A:$A,$A1147,Tasks!$B:$B,$B1147,Tasks!$C:$C,$G1147,Tasks!$I:$I,"&lt;="&amp;INDEX(Weeks!$D:$D,MATCH($C1147,Weeks!$A:$A,0)),Tasks!$I:$I,"&lt;&gt;")/COUNTIFS(Tasks!$A:$A,$A1147,Tasks!$B:$B,$B1147,Tasks!$C:$C,$G1147)*100,0),"")</f>
        <v/>
      </c>
    </row>
    <row r="1148" spans="1:8" ht="15" customHeight="1">
      <c r="A1148" t="s">
        <v>97</v>
      </c>
      <c r="B1148" t="s">
        <v>99</v>
      </c>
      <c r="C1148">
        <v>3</v>
      </c>
      <c r="D1148">
        <v>1</v>
      </c>
      <c r="E1148">
        <v>3</v>
      </c>
      <c r="F1148">
        <v>3</v>
      </c>
      <c r="G1148" t="s">
        <v>117</v>
      </c>
      <c r="H1148" t="str">
        <f>IFERROR(ROUND(COUNTIFS(Tasks!$A:$A,$A1148,Tasks!$B:$B,$B1148,Tasks!$C:$C,$G1148,Tasks!$I:$I,"&lt;="&amp;INDEX(Weeks!$D:$D,MATCH($C1148,Weeks!$A:$A,0)),Tasks!$I:$I,"&lt;&gt;")/COUNTIFS(Tasks!$A:$A,$A1148,Tasks!$B:$B,$B1148,Tasks!$C:$C,$G1148)*100,0),"")</f>
        <v/>
      </c>
    </row>
    <row r="1149" spans="1:8" ht="15" customHeight="1">
      <c r="A1149" t="s">
        <v>97</v>
      </c>
      <c r="B1149" t="s">
        <v>99</v>
      </c>
      <c r="C1149">
        <v>4</v>
      </c>
      <c r="D1149">
        <v>1</v>
      </c>
      <c r="E1149">
        <v>4</v>
      </c>
      <c r="F1149">
        <v>3</v>
      </c>
      <c r="G1149" t="s">
        <v>117</v>
      </c>
      <c r="H1149" t="str">
        <f>IFERROR(ROUND(COUNTIFS(Tasks!$A:$A,$A1149,Tasks!$B:$B,$B1149,Tasks!$C:$C,$G1149,Tasks!$I:$I,"&lt;="&amp;INDEX(Weeks!$D:$D,MATCH($C1149,Weeks!$A:$A,0)),Tasks!$I:$I,"&lt;&gt;")/COUNTIFS(Tasks!$A:$A,$A1149,Tasks!$B:$B,$B1149,Tasks!$C:$C,$G1149)*100,0),"")</f>
        <v/>
      </c>
    </row>
    <row r="1150" spans="1:8" ht="15" customHeight="1">
      <c r="A1150" t="s">
        <v>97</v>
      </c>
      <c r="B1150" t="s">
        <v>99</v>
      </c>
      <c r="C1150">
        <v>5</v>
      </c>
      <c r="D1150">
        <v>1</v>
      </c>
      <c r="E1150">
        <v>5</v>
      </c>
      <c r="F1150">
        <v>3</v>
      </c>
      <c r="G1150" t="s">
        <v>117</v>
      </c>
      <c r="H1150" t="str">
        <f>IFERROR(ROUND(COUNTIFS(Tasks!$A:$A,$A1150,Tasks!$B:$B,$B1150,Tasks!$C:$C,$G1150,Tasks!$I:$I,"&lt;="&amp;INDEX(Weeks!$D:$D,MATCH($C1150,Weeks!$A:$A,0)),Tasks!$I:$I,"&lt;&gt;")/COUNTIFS(Tasks!$A:$A,$A1150,Tasks!$B:$B,$B1150,Tasks!$C:$C,$G1150)*100,0),"")</f>
        <v/>
      </c>
    </row>
    <row r="1151" spans="1:8" ht="15" customHeight="1">
      <c r="A1151" t="s">
        <v>97</v>
      </c>
      <c r="B1151" t="s">
        <v>99</v>
      </c>
      <c r="C1151">
        <v>6</v>
      </c>
      <c r="D1151">
        <v>2</v>
      </c>
      <c r="E1151">
        <v>1</v>
      </c>
      <c r="F1151">
        <v>3</v>
      </c>
      <c r="G1151" t="s">
        <v>117</v>
      </c>
      <c r="H1151" t="str">
        <f>IFERROR(ROUND(COUNTIFS(Tasks!$A:$A,$A1151,Tasks!$B:$B,$B1151,Tasks!$C:$C,$G1151,Tasks!$I:$I,"&lt;="&amp;INDEX(Weeks!$D:$D,MATCH($C1151,Weeks!$A:$A,0)),Tasks!$I:$I,"&lt;&gt;")/COUNTIFS(Tasks!$A:$A,$A1151,Tasks!$B:$B,$B1151,Tasks!$C:$C,$G1151)*100,0),"")</f>
        <v/>
      </c>
    </row>
    <row r="1152" spans="1:8" ht="15" customHeight="1">
      <c r="A1152" t="s">
        <v>97</v>
      </c>
      <c r="B1152" t="s">
        <v>99</v>
      </c>
      <c r="C1152">
        <v>7</v>
      </c>
      <c r="D1152">
        <v>2</v>
      </c>
      <c r="E1152">
        <v>2</v>
      </c>
      <c r="F1152">
        <v>3</v>
      </c>
      <c r="G1152" t="s">
        <v>117</v>
      </c>
      <c r="H1152" t="str">
        <f>IFERROR(ROUND(COUNTIFS(Tasks!$A:$A,$A1152,Tasks!$B:$B,$B1152,Tasks!$C:$C,$G1152,Tasks!$I:$I,"&lt;="&amp;INDEX(Weeks!$D:$D,MATCH($C1152,Weeks!$A:$A,0)),Tasks!$I:$I,"&lt;&gt;")/COUNTIFS(Tasks!$A:$A,$A1152,Tasks!$B:$B,$B1152,Tasks!$C:$C,$G1152)*100,0),"")</f>
        <v/>
      </c>
    </row>
    <row r="1153" spans="1:8" ht="15" customHeight="1">
      <c r="A1153" t="s">
        <v>97</v>
      </c>
      <c r="B1153" t="s">
        <v>99</v>
      </c>
      <c r="C1153">
        <v>8</v>
      </c>
      <c r="D1153">
        <v>2</v>
      </c>
      <c r="E1153">
        <v>3</v>
      </c>
      <c r="F1153">
        <v>3</v>
      </c>
      <c r="G1153" t="s">
        <v>117</v>
      </c>
      <c r="H1153" t="str">
        <f>IFERROR(ROUND(COUNTIFS(Tasks!$A:$A,$A1153,Tasks!$B:$B,$B1153,Tasks!$C:$C,$G1153,Tasks!$I:$I,"&lt;="&amp;INDEX(Weeks!$D:$D,MATCH($C1153,Weeks!$A:$A,0)),Tasks!$I:$I,"&lt;&gt;")/COUNTIFS(Tasks!$A:$A,$A1153,Tasks!$B:$B,$B1153,Tasks!$C:$C,$G1153)*100,0),"")</f>
        <v/>
      </c>
    </row>
    <row r="1154" spans="1:8" ht="15" customHeight="1">
      <c r="A1154" t="s">
        <v>97</v>
      </c>
      <c r="B1154" t="s">
        <v>99</v>
      </c>
      <c r="C1154">
        <v>9</v>
      </c>
      <c r="D1154">
        <v>2</v>
      </c>
      <c r="E1154">
        <v>4</v>
      </c>
      <c r="F1154">
        <v>3</v>
      </c>
      <c r="G1154" t="s">
        <v>117</v>
      </c>
      <c r="H1154" t="str">
        <f>IFERROR(ROUND(COUNTIFS(Tasks!$A:$A,$A1154,Tasks!$B:$B,$B1154,Tasks!$C:$C,$G1154,Tasks!$I:$I,"&lt;="&amp;INDEX(Weeks!$D:$D,MATCH($C1154,Weeks!$A:$A,0)),Tasks!$I:$I,"&lt;&gt;")/COUNTIFS(Tasks!$A:$A,$A1154,Tasks!$B:$B,$B1154,Tasks!$C:$C,$G1154)*100,0),"")</f>
        <v/>
      </c>
    </row>
    <row r="1155" spans="1:8" ht="15" customHeight="1">
      <c r="A1155" t="s">
        <v>97</v>
      </c>
      <c r="B1155" t="s">
        <v>99</v>
      </c>
      <c r="C1155">
        <v>10</v>
      </c>
      <c r="D1155">
        <v>3</v>
      </c>
      <c r="E1155">
        <v>1</v>
      </c>
      <c r="F1155">
        <v>3</v>
      </c>
      <c r="G1155" t="s">
        <v>117</v>
      </c>
      <c r="H1155" t="str">
        <f>IFERROR(ROUND(COUNTIFS(Tasks!$A:$A,$A1155,Tasks!$B:$B,$B1155,Tasks!$C:$C,$G1155,Tasks!$I:$I,"&lt;="&amp;INDEX(Weeks!$D:$D,MATCH($C1155,Weeks!$A:$A,0)),Tasks!$I:$I,"&lt;&gt;")/COUNTIFS(Tasks!$A:$A,$A1155,Tasks!$B:$B,$B1155,Tasks!$C:$C,$G1155)*100,0),"")</f>
        <v/>
      </c>
    </row>
    <row r="1156" spans="1:8" ht="15" customHeight="1">
      <c r="A1156" t="s">
        <v>97</v>
      </c>
      <c r="B1156" t="s">
        <v>99</v>
      </c>
      <c r="C1156">
        <v>11</v>
      </c>
      <c r="D1156">
        <v>3</v>
      </c>
      <c r="E1156">
        <v>2</v>
      </c>
      <c r="F1156">
        <v>3</v>
      </c>
      <c r="G1156" t="s">
        <v>117</v>
      </c>
      <c r="H1156" t="str">
        <f>IFERROR(ROUND(COUNTIFS(Tasks!$A:$A,$A1156,Tasks!$B:$B,$B1156,Tasks!$C:$C,$G1156,Tasks!$I:$I,"&lt;="&amp;INDEX(Weeks!$D:$D,MATCH($C1156,Weeks!$A:$A,0)),Tasks!$I:$I,"&lt;&gt;")/COUNTIFS(Tasks!$A:$A,$A1156,Tasks!$B:$B,$B1156,Tasks!$C:$C,$G1156)*100,0),"")</f>
        <v/>
      </c>
    </row>
    <row r="1157" spans="1:8" ht="15" customHeight="1">
      <c r="A1157" t="s">
        <v>97</v>
      </c>
      <c r="B1157" t="s">
        <v>99</v>
      </c>
      <c r="C1157">
        <v>12</v>
      </c>
      <c r="D1157">
        <v>3</v>
      </c>
      <c r="E1157">
        <v>3</v>
      </c>
      <c r="F1157">
        <v>3</v>
      </c>
      <c r="G1157" t="s">
        <v>117</v>
      </c>
      <c r="H1157" t="str">
        <f>IFERROR(ROUND(COUNTIFS(Tasks!$A:$A,$A1157,Tasks!$B:$B,$B1157,Tasks!$C:$C,$G1157,Tasks!$I:$I,"&lt;="&amp;INDEX(Weeks!$D:$D,MATCH($C1157,Weeks!$A:$A,0)),Tasks!$I:$I,"&lt;&gt;")/COUNTIFS(Tasks!$A:$A,$A1157,Tasks!$B:$B,$B1157,Tasks!$C:$C,$G1157)*100,0),"")</f>
        <v/>
      </c>
    </row>
    <row r="1158" spans="1:8" ht="15" customHeight="1">
      <c r="A1158" t="s">
        <v>97</v>
      </c>
      <c r="B1158" t="s">
        <v>99</v>
      </c>
      <c r="C1158">
        <v>13</v>
      </c>
      <c r="D1158">
        <v>3</v>
      </c>
      <c r="E1158">
        <v>4</v>
      </c>
      <c r="F1158">
        <v>3</v>
      </c>
      <c r="G1158" t="s">
        <v>117</v>
      </c>
      <c r="H1158" t="str">
        <f>IFERROR(ROUND(COUNTIFS(Tasks!$A:$A,$A1158,Tasks!$B:$B,$B1158,Tasks!$C:$C,$G1158,Tasks!$I:$I,"&lt;="&amp;INDEX(Weeks!$D:$D,MATCH($C1158,Weeks!$A:$A,0)),Tasks!$I:$I,"&lt;&gt;")/COUNTIFS(Tasks!$A:$A,$A1158,Tasks!$B:$B,$B1158,Tasks!$C:$C,$G1158)*100,0),"")</f>
        <v/>
      </c>
    </row>
    <row r="1159" spans="1:8" ht="15" customHeight="1">
      <c r="A1159" t="s">
        <v>97</v>
      </c>
      <c r="B1159" t="s">
        <v>99</v>
      </c>
      <c r="C1159">
        <v>14</v>
      </c>
      <c r="D1159">
        <v>4</v>
      </c>
      <c r="E1159">
        <v>1</v>
      </c>
      <c r="F1159">
        <v>3</v>
      </c>
      <c r="G1159" t="s">
        <v>117</v>
      </c>
      <c r="H1159" t="str">
        <f>IFERROR(ROUND(COUNTIFS(Tasks!$A:$A,$A1159,Tasks!$B:$B,$B1159,Tasks!$C:$C,$G1159,Tasks!$I:$I,"&lt;="&amp;INDEX(Weeks!$D:$D,MATCH($C1159,Weeks!$A:$A,0)),Tasks!$I:$I,"&lt;&gt;")/COUNTIFS(Tasks!$A:$A,$A1159,Tasks!$B:$B,$B1159,Tasks!$C:$C,$G1159)*100,0),"")</f>
        <v/>
      </c>
    </row>
    <row r="1160" spans="1:8" ht="15" customHeight="1">
      <c r="A1160" t="s">
        <v>97</v>
      </c>
      <c r="B1160" t="s">
        <v>99</v>
      </c>
      <c r="C1160">
        <v>15</v>
      </c>
      <c r="D1160">
        <v>4</v>
      </c>
      <c r="E1160">
        <v>2</v>
      </c>
      <c r="F1160">
        <v>3</v>
      </c>
      <c r="G1160" t="s">
        <v>117</v>
      </c>
      <c r="H1160" t="str">
        <f>IFERROR(ROUND(COUNTIFS(Tasks!$A:$A,$A1160,Tasks!$B:$B,$B1160,Tasks!$C:$C,$G1160,Tasks!$I:$I,"&lt;="&amp;INDEX(Weeks!$D:$D,MATCH($C1160,Weeks!$A:$A,0)),Tasks!$I:$I,"&lt;&gt;")/COUNTIFS(Tasks!$A:$A,$A1160,Tasks!$B:$B,$B1160,Tasks!$C:$C,$G1160)*100,0),"")</f>
        <v/>
      </c>
    </row>
    <row r="1161" spans="1:8" ht="15" customHeight="1">
      <c r="A1161" t="s">
        <v>97</v>
      </c>
      <c r="B1161" t="s">
        <v>99</v>
      </c>
      <c r="C1161">
        <v>16</v>
      </c>
      <c r="D1161">
        <v>4</v>
      </c>
      <c r="E1161">
        <v>3</v>
      </c>
      <c r="F1161">
        <v>3</v>
      </c>
      <c r="G1161" t="s">
        <v>117</v>
      </c>
      <c r="H1161" t="str">
        <f>IFERROR(ROUND(COUNTIFS(Tasks!$A:$A,$A1161,Tasks!$B:$B,$B1161,Tasks!$C:$C,$G1161,Tasks!$I:$I,"&lt;="&amp;INDEX(Weeks!$D:$D,MATCH($C1161,Weeks!$A:$A,0)),Tasks!$I:$I,"&lt;&gt;")/COUNTIFS(Tasks!$A:$A,$A1161,Tasks!$B:$B,$B1161,Tasks!$C:$C,$G1161)*100,0),"")</f>
        <v/>
      </c>
    </row>
    <row r="1162" spans="1:8" ht="15" customHeight="1">
      <c r="A1162" t="s">
        <v>97</v>
      </c>
      <c r="B1162" t="s">
        <v>99</v>
      </c>
      <c r="C1162">
        <v>17</v>
      </c>
      <c r="D1162">
        <v>4</v>
      </c>
      <c r="E1162">
        <v>4</v>
      </c>
      <c r="F1162">
        <v>3</v>
      </c>
      <c r="G1162" t="s">
        <v>117</v>
      </c>
      <c r="H1162" t="str">
        <f>IFERROR(ROUND(COUNTIFS(Tasks!$A:$A,$A1162,Tasks!$B:$B,$B1162,Tasks!$C:$C,$G1162,Tasks!$I:$I,"&lt;="&amp;INDEX(Weeks!$D:$D,MATCH($C1162,Weeks!$A:$A,0)),Tasks!$I:$I,"&lt;&gt;")/COUNTIFS(Tasks!$A:$A,$A1162,Tasks!$B:$B,$B1162,Tasks!$C:$C,$G1162)*100,0),"")</f>
        <v/>
      </c>
    </row>
    <row r="1163" spans="1:8" ht="15" customHeight="1">
      <c r="A1163" t="s">
        <v>97</v>
      </c>
      <c r="B1163" t="s">
        <v>99</v>
      </c>
      <c r="C1163">
        <v>18</v>
      </c>
      <c r="D1163">
        <v>5</v>
      </c>
      <c r="E1163">
        <v>1</v>
      </c>
      <c r="F1163">
        <v>3</v>
      </c>
      <c r="G1163" t="s">
        <v>117</v>
      </c>
      <c r="H1163" t="str">
        <f>IFERROR(ROUND(COUNTIFS(Tasks!$A:$A,$A1163,Tasks!$B:$B,$B1163,Tasks!$C:$C,$G1163,Tasks!$I:$I,"&lt;="&amp;INDEX(Weeks!$D:$D,MATCH($C1163,Weeks!$A:$A,0)),Tasks!$I:$I,"&lt;&gt;")/COUNTIFS(Tasks!$A:$A,$A1163,Tasks!$B:$B,$B1163,Tasks!$C:$C,$G1163)*100,0),"")</f>
        <v/>
      </c>
    </row>
    <row r="1164" spans="1:8" ht="15" customHeight="1">
      <c r="A1164" t="s">
        <v>97</v>
      </c>
      <c r="B1164" t="s">
        <v>99</v>
      </c>
      <c r="C1164">
        <v>19</v>
      </c>
      <c r="D1164">
        <v>5</v>
      </c>
      <c r="E1164">
        <v>2</v>
      </c>
      <c r="F1164">
        <v>3</v>
      </c>
      <c r="G1164" t="s">
        <v>117</v>
      </c>
      <c r="H1164" t="str">
        <f>IFERROR(ROUND(COUNTIFS(Tasks!$A:$A,$A1164,Tasks!$B:$B,$B1164,Tasks!$C:$C,$G1164,Tasks!$I:$I,"&lt;="&amp;INDEX(Weeks!$D:$D,MATCH($C1164,Weeks!$A:$A,0)),Tasks!$I:$I,"&lt;&gt;")/COUNTIFS(Tasks!$A:$A,$A1164,Tasks!$B:$B,$B1164,Tasks!$C:$C,$G1164)*100,0),"")</f>
        <v/>
      </c>
    </row>
    <row r="1165" spans="1:8" ht="15" customHeight="1">
      <c r="A1165" t="s">
        <v>97</v>
      </c>
      <c r="B1165" t="s">
        <v>99</v>
      </c>
      <c r="C1165">
        <v>20</v>
      </c>
      <c r="D1165">
        <v>5</v>
      </c>
      <c r="E1165">
        <v>3</v>
      </c>
      <c r="F1165">
        <v>3</v>
      </c>
      <c r="G1165" t="s">
        <v>117</v>
      </c>
      <c r="H1165" t="str">
        <f>IFERROR(ROUND(COUNTIFS(Tasks!$A:$A,$A1165,Tasks!$B:$B,$B1165,Tasks!$C:$C,$G1165,Tasks!$I:$I,"&lt;="&amp;INDEX(Weeks!$D:$D,MATCH($C1165,Weeks!$A:$A,0)),Tasks!$I:$I,"&lt;&gt;")/COUNTIFS(Tasks!$A:$A,$A1165,Tasks!$B:$B,$B1165,Tasks!$C:$C,$G1165)*100,0),"")</f>
        <v/>
      </c>
    </row>
    <row r="1166" spans="1:8" ht="15" customHeight="1">
      <c r="A1166" t="s">
        <v>97</v>
      </c>
      <c r="B1166" t="s">
        <v>99</v>
      </c>
      <c r="C1166">
        <v>21</v>
      </c>
      <c r="D1166">
        <v>5</v>
      </c>
      <c r="E1166">
        <v>4</v>
      </c>
      <c r="F1166">
        <v>3</v>
      </c>
      <c r="G1166" t="s">
        <v>117</v>
      </c>
      <c r="H1166" t="str">
        <f>IFERROR(ROUND(COUNTIFS(Tasks!$A:$A,$A1166,Tasks!$B:$B,$B1166,Tasks!$C:$C,$G1166,Tasks!$I:$I,"&lt;="&amp;INDEX(Weeks!$D:$D,MATCH($C1166,Weeks!$A:$A,0)),Tasks!$I:$I,"&lt;&gt;")/COUNTIFS(Tasks!$A:$A,$A1166,Tasks!$B:$B,$B1166,Tasks!$C:$C,$G1166)*100,0),"")</f>
        <v/>
      </c>
    </row>
    <row r="1167" spans="1:8" ht="15" customHeight="1">
      <c r="A1167" t="s">
        <v>97</v>
      </c>
      <c r="B1167" t="s">
        <v>99</v>
      </c>
      <c r="C1167">
        <v>22</v>
      </c>
      <c r="D1167">
        <v>5</v>
      </c>
      <c r="E1167">
        <v>5</v>
      </c>
      <c r="F1167">
        <v>3</v>
      </c>
      <c r="G1167" t="s">
        <v>117</v>
      </c>
      <c r="H1167" t="str">
        <f>IFERROR(ROUND(COUNTIFS(Tasks!$A:$A,$A1167,Tasks!$B:$B,$B1167,Tasks!$C:$C,$G1167,Tasks!$I:$I,"&lt;="&amp;INDEX(Weeks!$D:$D,MATCH($C1167,Weeks!$A:$A,0)),Tasks!$I:$I,"&lt;&gt;")/COUNTIFS(Tasks!$A:$A,$A1167,Tasks!$B:$B,$B1167,Tasks!$C:$C,$G1167)*100,0),"")</f>
        <v/>
      </c>
    </row>
    <row r="1168" spans="1:8" ht="15" customHeight="1">
      <c r="A1168" t="s">
        <v>97</v>
      </c>
      <c r="B1168" t="s">
        <v>99</v>
      </c>
      <c r="C1168">
        <v>23</v>
      </c>
      <c r="D1168">
        <v>6</v>
      </c>
      <c r="E1168">
        <v>1</v>
      </c>
      <c r="F1168">
        <v>3</v>
      </c>
      <c r="G1168" t="s">
        <v>117</v>
      </c>
      <c r="H1168" t="str">
        <f>IFERROR(ROUND(COUNTIFS(Tasks!$A:$A,$A1168,Tasks!$B:$B,$B1168,Tasks!$C:$C,$G1168,Tasks!$I:$I,"&lt;="&amp;INDEX(Weeks!$D:$D,MATCH($C1168,Weeks!$A:$A,0)),Tasks!$I:$I,"&lt;&gt;")/COUNTIFS(Tasks!$A:$A,$A1168,Tasks!$B:$B,$B1168,Tasks!$C:$C,$G1168)*100,0),"")</f>
        <v/>
      </c>
    </row>
    <row r="1169" spans="1:8" ht="15" customHeight="1">
      <c r="A1169" t="s">
        <v>97</v>
      </c>
      <c r="B1169" t="s">
        <v>99</v>
      </c>
      <c r="C1169">
        <v>24</v>
      </c>
      <c r="D1169">
        <v>6</v>
      </c>
      <c r="E1169">
        <v>2</v>
      </c>
      <c r="F1169">
        <v>3</v>
      </c>
      <c r="G1169" t="s">
        <v>117</v>
      </c>
      <c r="H1169" t="str">
        <f>IFERROR(ROUND(COUNTIFS(Tasks!$A:$A,$A1169,Tasks!$B:$B,$B1169,Tasks!$C:$C,$G1169,Tasks!$I:$I,"&lt;="&amp;INDEX(Weeks!$D:$D,MATCH($C1169,Weeks!$A:$A,0)),Tasks!$I:$I,"&lt;&gt;")/COUNTIFS(Tasks!$A:$A,$A1169,Tasks!$B:$B,$B1169,Tasks!$C:$C,$G1169)*100,0),"")</f>
        <v/>
      </c>
    </row>
    <row r="1170" spans="1:8" ht="15" customHeight="1">
      <c r="A1170" t="s">
        <v>97</v>
      </c>
      <c r="B1170" t="s">
        <v>99</v>
      </c>
      <c r="C1170">
        <v>25</v>
      </c>
      <c r="D1170">
        <v>6</v>
      </c>
      <c r="E1170">
        <v>3</v>
      </c>
      <c r="F1170">
        <v>3</v>
      </c>
      <c r="G1170" t="s">
        <v>117</v>
      </c>
      <c r="H1170" t="str">
        <f>IFERROR(ROUND(COUNTIFS(Tasks!$A:$A,$A1170,Tasks!$B:$B,$B1170,Tasks!$C:$C,$G1170,Tasks!$I:$I,"&lt;="&amp;INDEX(Weeks!$D:$D,MATCH($C1170,Weeks!$A:$A,0)),Tasks!$I:$I,"&lt;&gt;")/COUNTIFS(Tasks!$A:$A,$A1170,Tasks!$B:$B,$B1170,Tasks!$C:$C,$G1170)*100,0),"")</f>
        <v/>
      </c>
    </row>
    <row r="1171" spans="1:8" ht="15" customHeight="1">
      <c r="A1171" t="s">
        <v>97</v>
      </c>
      <c r="B1171" t="s">
        <v>99</v>
      </c>
      <c r="C1171">
        <v>26</v>
      </c>
      <c r="D1171">
        <v>6</v>
      </c>
      <c r="E1171">
        <v>4</v>
      </c>
      <c r="F1171">
        <v>3</v>
      </c>
      <c r="G1171" t="s">
        <v>117</v>
      </c>
      <c r="H1171" t="str">
        <f>IFERROR(ROUND(COUNTIFS(Tasks!$A:$A,$A1171,Tasks!$B:$B,$B1171,Tasks!$C:$C,$G1171,Tasks!$I:$I,"&lt;="&amp;INDEX(Weeks!$D:$D,MATCH($C1171,Weeks!$A:$A,0)),Tasks!$I:$I,"&lt;&gt;")/COUNTIFS(Tasks!$A:$A,$A1171,Tasks!$B:$B,$B1171,Tasks!$C:$C,$G1171)*100,0),"")</f>
        <v/>
      </c>
    </row>
    <row r="1172" spans="1:8" ht="15" customHeight="1">
      <c r="A1172" t="s">
        <v>97</v>
      </c>
      <c r="B1172" t="s">
        <v>99</v>
      </c>
      <c r="C1172">
        <v>27</v>
      </c>
      <c r="D1172">
        <v>7</v>
      </c>
      <c r="E1172">
        <v>1</v>
      </c>
      <c r="F1172">
        <v>3</v>
      </c>
      <c r="G1172" t="s">
        <v>117</v>
      </c>
      <c r="H1172" t="str">
        <f>IFERROR(ROUND(COUNTIFS(Tasks!$A:$A,$A1172,Tasks!$B:$B,$B1172,Tasks!$C:$C,$G1172,Tasks!$I:$I,"&lt;="&amp;INDEX(Weeks!$D:$D,MATCH($C1172,Weeks!$A:$A,0)),Tasks!$I:$I,"&lt;&gt;")/COUNTIFS(Tasks!$A:$A,$A1172,Tasks!$B:$B,$B1172,Tasks!$C:$C,$G1172)*100,0),"")</f>
        <v/>
      </c>
    </row>
    <row r="1173" spans="1:8" ht="15" customHeight="1">
      <c r="A1173" t="s">
        <v>97</v>
      </c>
      <c r="B1173" t="s">
        <v>99</v>
      </c>
      <c r="C1173">
        <v>28</v>
      </c>
      <c r="D1173">
        <v>7</v>
      </c>
      <c r="E1173">
        <v>2</v>
      </c>
      <c r="F1173">
        <v>3</v>
      </c>
      <c r="G1173" t="s">
        <v>117</v>
      </c>
      <c r="H1173" t="str">
        <f>IFERROR(ROUND(COUNTIFS(Tasks!$A:$A,$A1173,Tasks!$B:$B,$B1173,Tasks!$C:$C,$G1173,Tasks!$I:$I,"&lt;="&amp;INDEX(Weeks!$D:$D,MATCH($C1173,Weeks!$A:$A,0)),Tasks!$I:$I,"&lt;&gt;")/COUNTIFS(Tasks!$A:$A,$A1173,Tasks!$B:$B,$B1173,Tasks!$C:$C,$G1173)*100,0),"")</f>
        <v/>
      </c>
    </row>
    <row r="1174" spans="1:8" ht="15" customHeight="1">
      <c r="A1174" t="s">
        <v>97</v>
      </c>
      <c r="B1174" t="s">
        <v>99</v>
      </c>
      <c r="C1174">
        <v>29</v>
      </c>
      <c r="D1174">
        <v>7</v>
      </c>
      <c r="E1174">
        <v>3</v>
      </c>
      <c r="F1174">
        <v>3</v>
      </c>
      <c r="G1174" t="s">
        <v>117</v>
      </c>
      <c r="H1174" t="str">
        <f>IFERROR(ROUND(COUNTIFS(Tasks!$A:$A,$A1174,Tasks!$B:$B,$B1174,Tasks!$C:$C,$G1174,Tasks!$I:$I,"&lt;="&amp;INDEX(Weeks!$D:$D,MATCH($C1174,Weeks!$A:$A,0)),Tasks!$I:$I,"&lt;&gt;")/COUNTIFS(Tasks!$A:$A,$A1174,Tasks!$B:$B,$B1174,Tasks!$C:$C,$G1174)*100,0),"")</f>
        <v/>
      </c>
    </row>
    <row r="1175" spans="1:8" ht="15" customHeight="1">
      <c r="A1175" t="s">
        <v>97</v>
      </c>
      <c r="B1175" t="s">
        <v>99</v>
      </c>
      <c r="C1175">
        <v>30</v>
      </c>
      <c r="D1175">
        <v>7</v>
      </c>
      <c r="E1175">
        <v>4</v>
      </c>
      <c r="F1175">
        <v>3</v>
      </c>
      <c r="G1175" t="s">
        <v>117</v>
      </c>
      <c r="H1175" t="str">
        <f>IFERROR(ROUND(COUNTIFS(Tasks!$A:$A,$A1175,Tasks!$B:$B,$B1175,Tasks!$C:$C,$G1175,Tasks!$I:$I,"&lt;="&amp;INDEX(Weeks!$D:$D,MATCH($C1175,Weeks!$A:$A,0)),Tasks!$I:$I,"&lt;&gt;")/COUNTIFS(Tasks!$A:$A,$A1175,Tasks!$B:$B,$B1175,Tasks!$C:$C,$G1175)*100,0),"")</f>
        <v/>
      </c>
    </row>
    <row r="1176" spans="1:8" ht="15" customHeight="1">
      <c r="A1176" t="s">
        <v>97</v>
      </c>
      <c r="B1176" t="s">
        <v>99</v>
      </c>
      <c r="C1176">
        <v>31</v>
      </c>
      <c r="D1176">
        <v>8</v>
      </c>
      <c r="E1176">
        <v>1</v>
      </c>
      <c r="F1176">
        <v>3</v>
      </c>
      <c r="G1176" t="s">
        <v>117</v>
      </c>
      <c r="H1176" t="str">
        <f>IFERROR(ROUND(COUNTIFS(Tasks!$A:$A,$A1176,Tasks!$B:$B,$B1176,Tasks!$C:$C,$G1176,Tasks!$I:$I,"&lt;="&amp;INDEX(Weeks!$D:$D,MATCH($C1176,Weeks!$A:$A,0)),Tasks!$I:$I,"&lt;&gt;")/COUNTIFS(Tasks!$A:$A,$A1176,Tasks!$B:$B,$B1176,Tasks!$C:$C,$G1176)*100,0),"")</f>
        <v/>
      </c>
    </row>
    <row r="1177" spans="1:8" ht="15" customHeight="1">
      <c r="A1177" t="s">
        <v>97</v>
      </c>
      <c r="B1177" t="s">
        <v>99</v>
      </c>
      <c r="C1177">
        <v>32</v>
      </c>
      <c r="D1177">
        <v>8</v>
      </c>
      <c r="E1177">
        <v>2</v>
      </c>
      <c r="F1177">
        <v>3</v>
      </c>
      <c r="G1177" t="s">
        <v>117</v>
      </c>
      <c r="H1177" t="str">
        <f>IFERROR(ROUND(COUNTIFS(Tasks!$A:$A,$A1177,Tasks!$B:$B,$B1177,Tasks!$C:$C,$G1177,Tasks!$I:$I,"&lt;="&amp;INDEX(Weeks!$D:$D,MATCH($C1177,Weeks!$A:$A,0)),Tasks!$I:$I,"&lt;&gt;")/COUNTIFS(Tasks!$A:$A,$A1177,Tasks!$B:$B,$B1177,Tasks!$C:$C,$G1177)*100,0),"")</f>
        <v/>
      </c>
    </row>
    <row r="1178" spans="1:8" ht="15" customHeight="1">
      <c r="A1178" t="s">
        <v>97</v>
      </c>
      <c r="B1178" t="s">
        <v>99</v>
      </c>
      <c r="C1178">
        <v>33</v>
      </c>
      <c r="D1178">
        <v>8</v>
      </c>
      <c r="E1178">
        <v>3</v>
      </c>
      <c r="F1178">
        <v>3</v>
      </c>
      <c r="G1178" t="s">
        <v>117</v>
      </c>
      <c r="H1178" t="str">
        <f>IFERROR(ROUND(COUNTIFS(Tasks!$A:$A,$A1178,Tasks!$B:$B,$B1178,Tasks!$C:$C,$G1178,Tasks!$I:$I,"&lt;="&amp;INDEX(Weeks!$D:$D,MATCH($C1178,Weeks!$A:$A,0)),Tasks!$I:$I,"&lt;&gt;")/COUNTIFS(Tasks!$A:$A,$A1178,Tasks!$B:$B,$B1178,Tasks!$C:$C,$G1178)*100,0),"")</f>
        <v/>
      </c>
    </row>
    <row r="1179" spans="1:8" ht="15" customHeight="1">
      <c r="A1179" t="s">
        <v>97</v>
      </c>
      <c r="B1179" t="s">
        <v>99</v>
      </c>
      <c r="C1179">
        <v>34</v>
      </c>
      <c r="D1179">
        <v>8</v>
      </c>
      <c r="E1179">
        <v>4</v>
      </c>
      <c r="F1179">
        <v>3</v>
      </c>
      <c r="G1179" t="s">
        <v>117</v>
      </c>
      <c r="H1179" t="str">
        <f>IFERROR(ROUND(COUNTIFS(Tasks!$A:$A,$A1179,Tasks!$B:$B,$B1179,Tasks!$C:$C,$G1179,Tasks!$I:$I,"&lt;="&amp;INDEX(Weeks!$D:$D,MATCH($C1179,Weeks!$A:$A,0)),Tasks!$I:$I,"&lt;&gt;")/COUNTIFS(Tasks!$A:$A,$A1179,Tasks!$B:$B,$B1179,Tasks!$C:$C,$G1179)*100,0),"")</f>
        <v/>
      </c>
    </row>
    <row r="1180" spans="1:8" ht="15" customHeight="1">
      <c r="A1180" t="s">
        <v>97</v>
      </c>
      <c r="B1180" t="s">
        <v>99</v>
      </c>
      <c r="C1180">
        <v>35</v>
      </c>
      <c r="D1180">
        <v>8</v>
      </c>
      <c r="E1180">
        <v>5</v>
      </c>
      <c r="F1180">
        <v>3</v>
      </c>
      <c r="G1180" t="s">
        <v>117</v>
      </c>
      <c r="H1180" t="str">
        <f>IFERROR(ROUND(COUNTIFS(Tasks!$A:$A,$A1180,Tasks!$B:$B,$B1180,Tasks!$C:$C,$G1180,Tasks!$I:$I,"&lt;="&amp;INDEX(Weeks!$D:$D,MATCH($C1180,Weeks!$A:$A,0)),Tasks!$I:$I,"&lt;&gt;")/COUNTIFS(Tasks!$A:$A,$A1180,Tasks!$B:$B,$B1180,Tasks!$C:$C,$G1180)*100,0),"")</f>
        <v/>
      </c>
    </row>
    <row r="1181" spans="1:8" ht="15" customHeight="1">
      <c r="A1181" t="s">
        <v>97</v>
      </c>
      <c r="B1181" t="s">
        <v>99</v>
      </c>
      <c r="C1181">
        <v>36</v>
      </c>
      <c r="D1181">
        <v>9</v>
      </c>
      <c r="E1181">
        <v>1</v>
      </c>
      <c r="F1181">
        <v>3</v>
      </c>
      <c r="G1181" t="s">
        <v>117</v>
      </c>
      <c r="H1181" t="str">
        <f>IFERROR(ROUND(COUNTIFS(Tasks!$A:$A,$A1181,Tasks!$B:$B,$B1181,Tasks!$C:$C,$G1181,Tasks!$I:$I,"&lt;="&amp;INDEX(Weeks!$D:$D,MATCH($C1181,Weeks!$A:$A,0)),Tasks!$I:$I,"&lt;&gt;")/COUNTIFS(Tasks!$A:$A,$A1181,Tasks!$B:$B,$B1181,Tasks!$C:$C,$G1181)*100,0),"")</f>
        <v/>
      </c>
    </row>
    <row r="1182" spans="1:8" ht="15" customHeight="1">
      <c r="A1182" t="s">
        <v>97</v>
      </c>
      <c r="B1182" t="s">
        <v>99</v>
      </c>
      <c r="C1182">
        <v>37</v>
      </c>
      <c r="D1182">
        <v>9</v>
      </c>
      <c r="E1182">
        <v>2</v>
      </c>
      <c r="F1182">
        <v>3</v>
      </c>
      <c r="G1182" t="s">
        <v>117</v>
      </c>
      <c r="H1182" t="str">
        <f>IFERROR(ROUND(COUNTIFS(Tasks!$A:$A,$A1182,Tasks!$B:$B,$B1182,Tasks!$C:$C,$G1182,Tasks!$I:$I,"&lt;="&amp;INDEX(Weeks!$D:$D,MATCH($C1182,Weeks!$A:$A,0)),Tasks!$I:$I,"&lt;&gt;")/COUNTIFS(Tasks!$A:$A,$A1182,Tasks!$B:$B,$B1182,Tasks!$C:$C,$G1182)*100,0),"")</f>
        <v/>
      </c>
    </row>
    <row r="1183" spans="1:8" ht="15" customHeight="1">
      <c r="A1183" t="s">
        <v>97</v>
      </c>
      <c r="B1183" t="s">
        <v>99</v>
      </c>
      <c r="C1183">
        <v>38</v>
      </c>
      <c r="D1183">
        <v>9</v>
      </c>
      <c r="E1183">
        <v>3</v>
      </c>
      <c r="F1183">
        <v>3</v>
      </c>
      <c r="G1183" t="s">
        <v>117</v>
      </c>
      <c r="H1183" t="str">
        <f>IFERROR(ROUND(COUNTIFS(Tasks!$A:$A,$A1183,Tasks!$B:$B,$B1183,Tasks!$C:$C,$G1183,Tasks!$I:$I,"&lt;="&amp;INDEX(Weeks!$D:$D,MATCH($C1183,Weeks!$A:$A,0)),Tasks!$I:$I,"&lt;&gt;")/COUNTIFS(Tasks!$A:$A,$A1183,Tasks!$B:$B,$B1183,Tasks!$C:$C,$G1183)*100,0),"")</f>
        <v/>
      </c>
    </row>
    <row r="1184" spans="1:8" ht="15" customHeight="1">
      <c r="A1184" t="s">
        <v>97</v>
      </c>
      <c r="B1184" t="s">
        <v>99</v>
      </c>
      <c r="C1184">
        <v>39</v>
      </c>
      <c r="D1184">
        <v>9</v>
      </c>
      <c r="E1184">
        <v>4</v>
      </c>
      <c r="F1184">
        <v>3</v>
      </c>
      <c r="G1184" t="s">
        <v>117</v>
      </c>
      <c r="H1184" t="str">
        <f>IFERROR(ROUND(COUNTIFS(Tasks!$A:$A,$A1184,Tasks!$B:$B,$B1184,Tasks!$C:$C,$G1184,Tasks!$I:$I,"&lt;="&amp;INDEX(Weeks!$D:$D,MATCH($C1184,Weeks!$A:$A,0)),Tasks!$I:$I,"&lt;&gt;")/COUNTIFS(Tasks!$A:$A,$A1184,Tasks!$B:$B,$B1184,Tasks!$C:$C,$G1184)*100,0),"")</f>
        <v/>
      </c>
    </row>
    <row r="1185" spans="1:8" ht="15" customHeight="1">
      <c r="A1185" t="s">
        <v>97</v>
      </c>
      <c r="B1185" t="s">
        <v>99</v>
      </c>
      <c r="C1185">
        <v>40</v>
      </c>
      <c r="D1185">
        <v>10</v>
      </c>
      <c r="E1185">
        <v>1</v>
      </c>
      <c r="F1185">
        <v>3</v>
      </c>
      <c r="G1185" t="s">
        <v>117</v>
      </c>
      <c r="H1185" t="str">
        <f>IFERROR(ROUND(COUNTIFS(Tasks!$A:$A,$A1185,Tasks!$B:$B,$B1185,Tasks!$C:$C,$G1185,Tasks!$I:$I,"&lt;="&amp;INDEX(Weeks!$D:$D,MATCH($C1185,Weeks!$A:$A,0)),Tasks!$I:$I,"&lt;&gt;")/COUNTIFS(Tasks!$A:$A,$A1185,Tasks!$B:$B,$B1185,Tasks!$C:$C,$G1185)*100,0),"")</f>
        <v/>
      </c>
    </row>
    <row r="1186" spans="1:8" ht="15" customHeight="1">
      <c r="A1186" t="s">
        <v>97</v>
      </c>
      <c r="B1186" t="s">
        <v>99</v>
      </c>
      <c r="C1186">
        <v>41</v>
      </c>
      <c r="D1186">
        <v>10</v>
      </c>
      <c r="E1186">
        <v>2</v>
      </c>
      <c r="F1186">
        <v>3</v>
      </c>
      <c r="G1186" t="s">
        <v>117</v>
      </c>
      <c r="H1186" t="str">
        <f>IFERROR(ROUND(COUNTIFS(Tasks!$A:$A,$A1186,Tasks!$B:$B,$B1186,Tasks!$C:$C,$G1186,Tasks!$I:$I,"&lt;="&amp;INDEX(Weeks!$D:$D,MATCH($C1186,Weeks!$A:$A,0)),Tasks!$I:$I,"&lt;&gt;")/COUNTIFS(Tasks!$A:$A,$A1186,Tasks!$B:$B,$B1186,Tasks!$C:$C,$G1186)*100,0),"")</f>
        <v/>
      </c>
    </row>
    <row r="1187" spans="1:8" ht="15" customHeight="1">
      <c r="A1187" t="s">
        <v>97</v>
      </c>
      <c r="B1187" t="s">
        <v>99</v>
      </c>
      <c r="C1187">
        <v>42</v>
      </c>
      <c r="D1187">
        <v>10</v>
      </c>
      <c r="E1187">
        <v>3</v>
      </c>
      <c r="F1187">
        <v>3</v>
      </c>
      <c r="G1187" t="s">
        <v>117</v>
      </c>
      <c r="H1187" t="str">
        <f>IFERROR(ROUND(COUNTIFS(Tasks!$A:$A,$A1187,Tasks!$B:$B,$B1187,Tasks!$C:$C,$G1187,Tasks!$I:$I,"&lt;="&amp;INDEX(Weeks!$D:$D,MATCH($C1187,Weeks!$A:$A,0)),Tasks!$I:$I,"&lt;&gt;")/COUNTIFS(Tasks!$A:$A,$A1187,Tasks!$B:$B,$B1187,Tasks!$C:$C,$G1187)*100,0),"")</f>
        <v/>
      </c>
    </row>
    <row r="1188" spans="1:8" ht="15" customHeight="1">
      <c r="A1188" t="s">
        <v>97</v>
      </c>
      <c r="B1188" t="s">
        <v>99</v>
      </c>
      <c r="C1188">
        <v>43</v>
      </c>
      <c r="D1188">
        <v>10</v>
      </c>
      <c r="E1188">
        <v>4</v>
      </c>
      <c r="F1188">
        <v>3</v>
      </c>
      <c r="G1188" t="s">
        <v>117</v>
      </c>
      <c r="H1188" t="str">
        <f>IFERROR(ROUND(COUNTIFS(Tasks!$A:$A,$A1188,Tasks!$B:$B,$B1188,Tasks!$C:$C,$G1188,Tasks!$I:$I,"&lt;="&amp;INDEX(Weeks!$D:$D,MATCH($C1188,Weeks!$A:$A,0)),Tasks!$I:$I,"&lt;&gt;")/COUNTIFS(Tasks!$A:$A,$A1188,Tasks!$B:$B,$B1188,Tasks!$C:$C,$G1188)*100,0),"")</f>
        <v/>
      </c>
    </row>
    <row r="1189" spans="1:8" ht="15" customHeight="1">
      <c r="A1189" t="s">
        <v>97</v>
      </c>
      <c r="B1189" t="s">
        <v>99</v>
      </c>
      <c r="C1189">
        <v>44</v>
      </c>
      <c r="D1189">
        <v>10</v>
      </c>
      <c r="E1189">
        <v>5</v>
      </c>
      <c r="F1189">
        <v>3</v>
      </c>
      <c r="G1189" t="s">
        <v>117</v>
      </c>
      <c r="H1189" t="str">
        <f>IFERROR(ROUND(COUNTIFS(Tasks!$A:$A,$A1189,Tasks!$B:$B,$B1189,Tasks!$C:$C,$G1189,Tasks!$I:$I,"&lt;="&amp;INDEX(Weeks!$D:$D,MATCH($C1189,Weeks!$A:$A,0)),Tasks!$I:$I,"&lt;&gt;")/COUNTIFS(Tasks!$A:$A,$A1189,Tasks!$B:$B,$B1189,Tasks!$C:$C,$G1189)*100,0),"")</f>
        <v/>
      </c>
    </row>
    <row r="1190" spans="1:8" ht="15" customHeight="1">
      <c r="A1190" t="s">
        <v>97</v>
      </c>
      <c r="B1190" t="s">
        <v>99</v>
      </c>
      <c r="C1190">
        <v>45</v>
      </c>
      <c r="D1190">
        <v>11</v>
      </c>
      <c r="E1190">
        <v>1</v>
      </c>
      <c r="F1190">
        <v>3</v>
      </c>
      <c r="G1190" t="s">
        <v>117</v>
      </c>
      <c r="H1190" t="str">
        <f>IFERROR(ROUND(COUNTIFS(Tasks!$A:$A,$A1190,Tasks!$B:$B,$B1190,Tasks!$C:$C,$G1190,Tasks!$I:$I,"&lt;="&amp;INDEX(Weeks!$D:$D,MATCH($C1190,Weeks!$A:$A,0)),Tasks!$I:$I,"&lt;&gt;")/COUNTIFS(Tasks!$A:$A,$A1190,Tasks!$B:$B,$B1190,Tasks!$C:$C,$G1190)*100,0),"")</f>
        <v/>
      </c>
    </row>
    <row r="1191" spans="1:8" ht="15" customHeight="1">
      <c r="A1191" t="s">
        <v>97</v>
      </c>
      <c r="B1191" t="s">
        <v>99</v>
      </c>
      <c r="C1191">
        <v>46</v>
      </c>
      <c r="D1191">
        <v>11</v>
      </c>
      <c r="E1191">
        <v>2</v>
      </c>
      <c r="F1191">
        <v>3</v>
      </c>
      <c r="G1191" t="s">
        <v>117</v>
      </c>
      <c r="H1191" t="str">
        <f>IFERROR(ROUND(COUNTIFS(Tasks!$A:$A,$A1191,Tasks!$B:$B,$B1191,Tasks!$C:$C,$G1191,Tasks!$I:$I,"&lt;="&amp;INDEX(Weeks!$D:$D,MATCH($C1191,Weeks!$A:$A,0)),Tasks!$I:$I,"&lt;&gt;")/COUNTIFS(Tasks!$A:$A,$A1191,Tasks!$B:$B,$B1191,Tasks!$C:$C,$G1191)*100,0),"")</f>
        <v/>
      </c>
    </row>
    <row r="1192" spans="1:8" ht="15" customHeight="1">
      <c r="A1192" t="s">
        <v>97</v>
      </c>
      <c r="B1192" t="s">
        <v>99</v>
      </c>
      <c r="C1192">
        <v>47</v>
      </c>
      <c r="D1192">
        <v>11</v>
      </c>
      <c r="E1192">
        <v>3</v>
      </c>
      <c r="F1192">
        <v>3</v>
      </c>
      <c r="G1192" t="s">
        <v>117</v>
      </c>
      <c r="H1192" t="str">
        <f>IFERROR(ROUND(COUNTIFS(Tasks!$A:$A,$A1192,Tasks!$B:$B,$B1192,Tasks!$C:$C,$G1192,Tasks!$I:$I,"&lt;="&amp;INDEX(Weeks!$D:$D,MATCH($C1192,Weeks!$A:$A,0)),Tasks!$I:$I,"&lt;&gt;")/COUNTIFS(Tasks!$A:$A,$A1192,Tasks!$B:$B,$B1192,Tasks!$C:$C,$G1192)*100,0),"")</f>
        <v/>
      </c>
    </row>
    <row r="1193" spans="1:8" ht="15" customHeight="1">
      <c r="A1193" t="s">
        <v>97</v>
      </c>
      <c r="B1193" t="s">
        <v>99</v>
      </c>
      <c r="C1193">
        <v>48</v>
      </c>
      <c r="D1193">
        <v>11</v>
      </c>
      <c r="E1193">
        <v>4</v>
      </c>
      <c r="F1193">
        <v>3</v>
      </c>
      <c r="G1193" t="s">
        <v>117</v>
      </c>
      <c r="H1193" t="str">
        <f>IFERROR(ROUND(COUNTIFS(Tasks!$A:$A,$A1193,Tasks!$B:$B,$B1193,Tasks!$C:$C,$G1193,Tasks!$I:$I,"&lt;="&amp;INDEX(Weeks!$D:$D,MATCH($C1193,Weeks!$A:$A,0)),Tasks!$I:$I,"&lt;&gt;")/COUNTIFS(Tasks!$A:$A,$A1193,Tasks!$B:$B,$B1193,Tasks!$C:$C,$G1193)*100,0),"")</f>
        <v/>
      </c>
    </row>
    <row r="1194" spans="1:8" ht="15" customHeight="1">
      <c r="A1194" t="s">
        <v>97</v>
      </c>
      <c r="B1194" t="s">
        <v>99</v>
      </c>
      <c r="C1194">
        <v>49</v>
      </c>
      <c r="D1194">
        <v>12</v>
      </c>
      <c r="E1194">
        <v>1</v>
      </c>
      <c r="F1194">
        <v>3</v>
      </c>
      <c r="G1194" t="s">
        <v>117</v>
      </c>
      <c r="H1194" t="str">
        <f>IFERROR(ROUND(COUNTIFS(Tasks!$A:$A,$A1194,Tasks!$B:$B,$B1194,Tasks!$C:$C,$G1194,Tasks!$I:$I,"&lt;="&amp;INDEX(Weeks!$D:$D,MATCH($C1194,Weeks!$A:$A,0)),Tasks!$I:$I,"&lt;&gt;")/COUNTIFS(Tasks!$A:$A,$A1194,Tasks!$B:$B,$B1194,Tasks!$C:$C,$G1194)*100,0),"")</f>
        <v/>
      </c>
    </row>
    <row r="1195" spans="1:8" ht="15" customHeight="1">
      <c r="A1195" t="s">
        <v>97</v>
      </c>
      <c r="B1195" t="s">
        <v>99</v>
      </c>
      <c r="C1195">
        <v>50</v>
      </c>
      <c r="D1195">
        <v>12</v>
      </c>
      <c r="E1195">
        <v>2</v>
      </c>
      <c r="F1195">
        <v>3</v>
      </c>
      <c r="G1195" t="s">
        <v>117</v>
      </c>
      <c r="H1195" t="str">
        <f>IFERROR(ROUND(COUNTIFS(Tasks!$A:$A,$A1195,Tasks!$B:$B,$B1195,Tasks!$C:$C,$G1195,Tasks!$I:$I,"&lt;="&amp;INDEX(Weeks!$D:$D,MATCH($C1195,Weeks!$A:$A,0)),Tasks!$I:$I,"&lt;&gt;")/COUNTIFS(Tasks!$A:$A,$A1195,Tasks!$B:$B,$B1195,Tasks!$C:$C,$G1195)*100,0),"")</f>
        <v/>
      </c>
    </row>
    <row r="1196" spans="1:8" ht="15" customHeight="1">
      <c r="A1196" t="s">
        <v>97</v>
      </c>
      <c r="B1196" t="s">
        <v>99</v>
      </c>
      <c r="C1196">
        <v>51</v>
      </c>
      <c r="D1196">
        <v>12</v>
      </c>
      <c r="E1196">
        <v>3</v>
      </c>
      <c r="F1196">
        <v>3</v>
      </c>
      <c r="G1196" t="s">
        <v>117</v>
      </c>
      <c r="H1196" t="str">
        <f>IFERROR(ROUND(COUNTIFS(Tasks!$A:$A,$A1196,Tasks!$B:$B,$B1196,Tasks!$C:$C,$G1196,Tasks!$I:$I,"&lt;="&amp;INDEX(Weeks!$D:$D,MATCH($C1196,Weeks!$A:$A,0)),Tasks!$I:$I,"&lt;&gt;")/COUNTIFS(Tasks!$A:$A,$A1196,Tasks!$B:$B,$B1196,Tasks!$C:$C,$G1196)*100,0),"")</f>
        <v/>
      </c>
    </row>
    <row r="1197" spans="1:8" ht="15" customHeight="1">
      <c r="A1197" t="s">
        <v>97</v>
      </c>
      <c r="B1197" t="s">
        <v>99</v>
      </c>
      <c r="C1197">
        <v>52</v>
      </c>
      <c r="D1197">
        <v>12</v>
      </c>
      <c r="E1197">
        <v>4</v>
      </c>
      <c r="F1197">
        <v>3</v>
      </c>
      <c r="G1197" t="s">
        <v>117</v>
      </c>
      <c r="H1197" t="str">
        <f>IFERROR(ROUND(COUNTIFS(Tasks!$A:$A,$A1197,Tasks!$B:$B,$B1197,Tasks!$C:$C,$G1197,Tasks!$I:$I,"&lt;="&amp;INDEX(Weeks!$D:$D,MATCH($C1197,Weeks!$A:$A,0)),Tasks!$I:$I,"&lt;&gt;")/COUNTIFS(Tasks!$A:$A,$A1197,Tasks!$B:$B,$B1197,Tasks!$C:$C,$G1197)*100,0),"")</f>
        <v/>
      </c>
    </row>
    <row r="1198" spans="1:8" ht="15" customHeight="1">
      <c r="A1198" t="s">
        <v>97</v>
      </c>
      <c r="B1198" t="s">
        <v>99</v>
      </c>
      <c r="C1198">
        <v>1</v>
      </c>
      <c r="D1198">
        <v>1</v>
      </c>
      <c r="E1198">
        <v>1</v>
      </c>
      <c r="F1198">
        <v>4</v>
      </c>
      <c r="G1198" t="s">
        <v>118</v>
      </c>
      <c r="H1198" t="str">
        <f>IFERROR(ROUND(COUNTIFS(Tasks!$A:$A,$A1198,Tasks!$B:$B,$B1198,Tasks!$C:$C,$G1198,Tasks!$I:$I,"&lt;="&amp;INDEX(Weeks!$D:$D,MATCH($C1198,Weeks!$A:$A,0)),Tasks!$I:$I,"&lt;&gt;")/COUNTIFS(Tasks!$A:$A,$A1198,Tasks!$B:$B,$B1198,Tasks!$C:$C,$G1198)*100,0),"")</f>
        <v/>
      </c>
    </row>
    <row r="1199" spans="1:8" ht="15" customHeight="1">
      <c r="A1199" t="s">
        <v>97</v>
      </c>
      <c r="B1199" t="s">
        <v>99</v>
      </c>
      <c r="C1199">
        <v>2</v>
      </c>
      <c r="D1199">
        <v>1</v>
      </c>
      <c r="E1199">
        <v>2</v>
      </c>
      <c r="F1199">
        <v>4</v>
      </c>
      <c r="G1199" t="s">
        <v>118</v>
      </c>
      <c r="H1199" t="str">
        <f>IFERROR(ROUND(COUNTIFS(Tasks!$A:$A,$A1199,Tasks!$B:$B,$B1199,Tasks!$C:$C,$G1199,Tasks!$I:$I,"&lt;="&amp;INDEX(Weeks!$D:$D,MATCH($C1199,Weeks!$A:$A,0)),Tasks!$I:$I,"&lt;&gt;")/COUNTIFS(Tasks!$A:$A,$A1199,Tasks!$B:$B,$B1199,Tasks!$C:$C,$G1199)*100,0),"")</f>
        <v/>
      </c>
    </row>
    <row r="1200" spans="1:8" ht="15" customHeight="1">
      <c r="A1200" t="s">
        <v>97</v>
      </c>
      <c r="B1200" t="s">
        <v>99</v>
      </c>
      <c r="C1200">
        <v>3</v>
      </c>
      <c r="D1200">
        <v>1</v>
      </c>
      <c r="E1200">
        <v>3</v>
      </c>
      <c r="F1200">
        <v>4</v>
      </c>
      <c r="G1200" t="s">
        <v>118</v>
      </c>
      <c r="H1200" t="str">
        <f>IFERROR(ROUND(COUNTIFS(Tasks!$A:$A,$A1200,Tasks!$B:$B,$B1200,Tasks!$C:$C,$G1200,Tasks!$I:$I,"&lt;="&amp;INDEX(Weeks!$D:$D,MATCH($C1200,Weeks!$A:$A,0)),Tasks!$I:$I,"&lt;&gt;")/COUNTIFS(Tasks!$A:$A,$A1200,Tasks!$B:$B,$B1200,Tasks!$C:$C,$G1200)*100,0),"")</f>
        <v/>
      </c>
    </row>
    <row r="1201" spans="1:8" ht="15" customHeight="1">
      <c r="A1201" t="s">
        <v>97</v>
      </c>
      <c r="B1201" t="s">
        <v>99</v>
      </c>
      <c r="C1201">
        <v>4</v>
      </c>
      <c r="D1201">
        <v>1</v>
      </c>
      <c r="E1201">
        <v>4</v>
      </c>
      <c r="F1201">
        <v>4</v>
      </c>
      <c r="G1201" t="s">
        <v>118</v>
      </c>
      <c r="H1201" t="str">
        <f>IFERROR(ROUND(COUNTIFS(Tasks!$A:$A,$A1201,Tasks!$B:$B,$B1201,Tasks!$C:$C,$G1201,Tasks!$I:$I,"&lt;="&amp;INDEX(Weeks!$D:$D,MATCH($C1201,Weeks!$A:$A,0)),Tasks!$I:$I,"&lt;&gt;")/COUNTIFS(Tasks!$A:$A,$A1201,Tasks!$B:$B,$B1201,Tasks!$C:$C,$G1201)*100,0),"")</f>
        <v/>
      </c>
    </row>
    <row r="1202" spans="1:8" ht="15" customHeight="1">
      <c r="A1202" t="s">
        <v>97</v>
      </c>
      <c r="B1202" t="s">
        <v>99</v>
      </c>
      <c r="C1202">
        <v>5</v>
      </c>
      <c r="D1202">
        <v>1</v>
      </c>
      <c r="E1202">
        <v>5</v>
      </c>
      <c r="F1202">
        <v>4</v>
      </c>
      <c r="G1202" t="s">
        <v>118</v>
      </c>
      <c r="H1202" t="str">
        <f>IFERROR(ROUND(COUNTIFS(Tasks!$A:$A,$A1202,Tasks!$B:$B,$B1202,Tasks!$C:$C,$G1202,Tasks!$I:$I,"&lt;="&amp;INDEX(Weeks!$D:$D,MATCH($C1202,Weeks!$A:$A,0)),Tasks!$I:$I,"&lt;&gt;")/COUNTIFS(Tasks!$A:$A,$A1202,Tasks!$B:$B,$B1202,Tasks!$C:$C,$G1202)*100,0),"")</f>
        <v/>
      </c>
    </row>
    <row r="1203" spans="1:8" ht="15" customHeight="1">
      <c r="A1203" t="s">
        <v>97</v>
      </c>
      <c r="B1203" t="s">
        <v>99</v>
      </c>
      <c r="C1203">
        <v>6</v>
      </c>
      <c r="D1203">
        <v>2</v>
      </c>
      <c r="E1203">
        <v>1</v>
      </c>
      <c r="F1203">
        <v>4</v>
      </c>
      <c r="G1203" t="s">
        <v>118</v>
      </c>
      <c r="H1203" t="str">
        <f>IFERROR(ROUND(COUNTIFS(Tasks!$A:$A,$A1203,Tasks!$B:$B,$B1203,Tasks!$C:$C,$G1203,Tasks!$I:$I,"&lt;="&amp;INDEX(Weeks!$D:$D,MATCH($C1203,Weeks!$A:$A,0)),Tasks!$I:$I,"&lt;&gt;")/COUNTIFS(Tasks!$A:$A,$A1203,Tasks!$B:$B,$B1203,Tasks!$C:$C,$G1203)*100,0),"")</f>
        <v/>
      </c>
    </row>
    <row r="1204" spans="1:8" ht="15" customHeight="1">
      <c r="A1204" t="s">
        <v>97</v>
      </c>
      <c r="B1204" t="s">
        <v>99</v>
      </c>
      <c r="C1204">
        <v>7</v>
      </c>
      <c r="D1204">
        <v>2</v>
      </c>
      <c r="E1204">
        <v>2</v>
      </c>
      <c r="F1204">
        <v>4</v>
      </c>
      <c r="G1204" t="s">
        <v>118</v>
      </c>
      <c r="H1204" t="str">
        <f>IFERROR(ROUND(COUNTIFS(Tasks!$A:$A,$A1204,Tasks!$B:$B,$B1204,Tasks!$C:$C,$G1204,Tasks!$I:$I,"&lt;="&amp;INDEX(Weeks!$D:$D,MATCH($C1204,Weeks!$A:$A,0)),Tasks!$I:$I,"&lt;&gt;")/COUNTIFS(Tasks!$A:$A,$A1204,Tasks!$B:$B,$B1204,Tasks!$C:$C,$G1204)*100,0),"")</f>
        <v/>
      </c>
    </row>
    <row r="1205" spans="1:8" ht="15" customHeight="1">
      <c r="A1205" t="s">
        <v>97</v>
      </c>
      <c r="B1205" t="s">
        <v>99</v>
      </c>
      <c r="C1205">
        <v>8</v>
      </c>
      <c r="D1205">
        <v>2</v>
      </c>
      <c r="E1205">
        <v>3</v>
      </c>
      <c r="F1205">
        <v>4</v>
      </c>
      <c r="G1205" t="s">
        <v>118</v>
      </c>
      <c r="H1205" t="str">
        <f>IFERROR(ROUND(COUNTIFS(Tasks!$A:$A,$A1205,Tasks!$B:$B,$B1205,Tasks!$C:$C,$G1205,Tasks!$I:$I,"&lt;="&amp;INDEX(Weeks!$D:$D,MATCH($C1205,Weeks!$A:$A,0)),Tasks!$I:$I,"&lt;&gt;")/COUNTIFS(Tasks!$A:$A,$A1205,Tasks!$B:$B,$B1205,Tasks!$C:$C,$G1205)*100,0),"")</f>
        <v/>
      </c>
    </row>
    <row r="1206" spans="1:8" ht="15" customHeight="1">
      <c r="A1206" t="s">
        <v>97</v>
      </c>
      <c r="B1206" t="s">
        <v>99</v>
      </c>
      <c r="C1206">
        <v>9</v>
      </c>
      <c r="D1206">
        <v>2</v>
      </c>
      <c r="E1206">
        <v>4</v>
      </c>
      <c r="F1206">
        <v>4</v>
      </c>
      <c r="G1206" t="s">
        <v>118</v>
      </c>
      <c r="H1206" t="str">
        <f>IFERROR(ROUND(COUNTIFS(Tasks!$A:$A,$A1206,Tasks!$B:$B,$B1206,Tasks!$C:$C,$G1206,Tasks!$I:$I,"&lt;="&amp;INDEX(Weeks!$D:$D,MATCH($C1206,Weeks!$A:$A,0)),Tasks!$I:$I,"&lt;&gt;")/COUNTIFS(Tasks!$A:$A,$A1206,Tasks!$B:$B,$B1206,Tasks!$C:$C,$G1206)*100,0),"")</f>
        <v/>
      </c>
    </row>
    <row r="1207" spans="1:8" ht="15" customHeight="1">
      <c r="A1207" t="s">
        <v>97</v>
      </c>
      <c r="B1207" t="s">
        <v>99</v>
      </c>
      <c r="C1207">
        <v>10</v>
      </c>
      <c r="D1207">
        <v>3</v>
      </c>
      <c r="E1207">
        <v>1</v>
      </c>
      <c r="F1207">
        <v>4</v>
      </c>
      <c r="G1207" t="s">
        <v>118</v>
      </c>
      <c r="H1207" t="str">
        <f>IFERROR(ROUND(COUNTIFS(Tasks!$A:$A,$A1207,Tasks!$B:$B,$B1207,Tasks!$C:$C,$G1207,Tasks!$I:$I,"&lt;="&amp;INDEX(Weeks!$D:$D,MATCH($C1207,Weeks!$A:$A,0)),Tasks!$I:$I,"&lt;&gt;")/COUNTIFS(Tasks!$A:$A,$A1207,Tasks!$B:$B,$B1207,Tasks!$C:$C,$G1207)*100,0),"")</f>
        <v/>
      </c>
    </row>
    <row r="1208" spans="1:8" ht="15" customHeight="1">
      <c r="A1208" t="s">
        <v>97</v>
      </c>
      <c r="B1208" t="s">
        <v>99</v>
      </c>
      <c r="C1208">
        <v>11</v>
      </c>
      <c r="D1208">
        <v>3</v>
      </c>
      <c r="E1208">
        <v>2</v>
      </c>
      <c r="F1208">
        <v>4</v>
      </c>
      <c r="G1208" t="s">
        <v>118</v>
      </c>
      <c r="H1208" t="str">
        <f>IFERROR(ROUND(COUNTIFS(Tasks!$A:$A,$A1208,Tasks!$B:$B,$B1208,Tasks!$C:$C,$G1208,Tasks!$I:$I,"&lt;="&amp;INDEX(Weeks!$D:$D,MATCH($C1208,Weeks!$A:$A,0)),Tasks!$I:$I,"&lt;&gt;")/COUNTIFS(Tasks!$A:$A,$A1208,Tasks!$B:$B,$B1208,Tasks!$C:$C,$G1208)*100,0),"")</f>
        <v/>
      </c>
    </row>
    <row r="1209" spans="1:8" ht="15" customHeight="1">
      <c r="A1209" t="s">
        <v>97</v>
      </c>
      <c r="B1209" t="s">
        <v>99</v>
      </c>
      <c r="C1209">
        <v>12</v>
      </c>
      <c r="D1209">
        <v>3</v>
      </c>
      <c r="E1209">
        <v>3</v>
      </c>
      <c r="F1209">
        <v>4</v>
      </c>
      <c r="G1209" t="s">
        <v>118</v>
      </c>
      <c r="H1209" t="str">
        <f>IFERROR(ROUND(COUNTIFS(Tasks!$A:$A,$A1209,Tasks!$B:$B,$B1209,Tasks!$C:$C,$G1209,Tasks!$I:$I,"&lt;="&amp;INDEX(Weeks!$D:$D,MATCH($C1209,Weeks!$A:$A,0)),Tasks!$I:$I,"&lt;&gt;")/COUNTIFS(Tasks!$A:$A,$A1209,Tasks!$B:$B,$B1209,Tasks!$C:$C,$G1209)*100,0),"")</f>
        <v/>
      </c>
    </row>
    <row r="1210" spans="1:8" ht="15" customHeight="1">
      <c r="A1210" t="s">
        <v>97</v>
      </c>
      <c r="B1210" t="s">
        <v>99</v>
      </c>
      <c r="C1210">
        <v>13</v>
      </c>
      <c r="D1210">
        <v>3</v>
      </c>
      <c r="E1210">
        <v>4</v>
      </c>
      <c r="F1210">
        <v>4</v>
      </c>
      <c r="G1210" t="s">
        <v>118</v>
      </c>
      <c r="H1210" t="str">
        <f>IFERROR(ROUND(COUNTIFS(Tasks!$A:$A,$A1210,Tasks!$B:$B,$B1210,Tasks!$C:$C,$G1210,Tasks!$I:$I,"&lt;="&amp;INDEX(Weeks!$D:$D,MATCH($C1210,Weeks!$A:$A,0)),Tasks!$I:$I,"&lt;&gt;")/COUNTIFS(Tasks!$A:$A,$A1210,Tasks!$B:$B,$B1210,Tasks!$C:$C,$G1210)*100,0),"")</f>
        <v/>
      </c>
    </row>
    <row r="1211" spans="1:8" ht="15" customHeight="1">
      <c r="A1211" t="s">
        <v>97</v>
      </c>
      <c r="B1211" t="s">
        <v>99</v>
      </c>
      <c r="C1211">
        <v>14</v>
      </c>
      <c r="D1211">
        <v>4</v>
      </c>
      <c r="E1211">
        <v>1</v>
      </c>
      <c r="F1211">
        <v>4</v>
      </c>
      <c r="G1211" t="s">
        <v>118</v>
      </c>
      <c r="H1211" t="str">
        <f>IFERROR(ROUND(COUNTIFS(Tasks!$A:$A,$A1211,Tasks!$B:$B,$B1211,Tasks!$C:$C,$G1211,Tasks!$I:$I,"&lt;="&amp;INDEX(Weeks!$D:$D,MATCH($C1211,Weeks!$A:$A,0)),Tasks!$I:$I,"&lt;&gt;")/COUNTIFS(Tasks!$A:$A,$A1211,Tasks!$B:$B,$B1211,Tasks!$C:$C,$G1211)*100,0),"")</f>
        <v/>
      </c>
    </row>
    <row r="1212" spans="1:8" ht="15" customHeight="1">
      <c r="A1212" t="s">
        <v>97</v>
      </c>
      <c r="B1212" t="s">
        <v>99</v>
      </c>
      <c r="C1212">
        <v>15</v>
      </c>
      <c r="D1212">
        <v>4</v>
      </c>
      <c r="E1212">
        <v>2</v>
      </c>
      <c r="F1212">
        <v>4</v>
      </c>
      <c r="G1212" t="s">
        <v>118</v>
      </c>
      <c r="H1212" t="str">
        <f>IFERROR(ROUND(COUNTIFS(Tasks!$A:$A,$A1212,Tasks!$B:$B,$B1212,Tasks!$C:$C,$G1212,Tasks!$I:$I,"&lt;="&amp;INDEX(Weeks!$D:$D,MATCH($C1212,Weeks!$A:$A,0)),Tasks!$I:$I,"&lt;&gt;")/COUNTIFS(Tasks!$A:$A,$A1212,Tasks!$B:$B,$B1212,Tasks!$C:$C,$G1212)*100,0),"")</f>
        <v/>
      </c>
    </row>
    <row r="1213" spans="1:8" ht="15" customHeight="1">
      <c r="A1213" t="s">
        <v>97</v>
      </c>
      <c r="B1213" t="s">
        <v>99</v>
      </c>
      <c r="C1213">
        <v>16</v>
      </c>
      <c r="D1213">
        <v>4</v>
      </c>
      <c r="E1213">
        <v>3</v>
      </c>
      <c r="F1213">
        <v>4</v>
      </c>
      <c r="G1213" t="s">
        <v>118</v>
      </c>
      <c r="H1213" t="str">
        <f>IFERROR(ROUND(COUNTIFS(Tasks!$A:$A,$A1213,Tasks!$B:$B,$B1213,Tasks!$C:$C,$G1213,Tasks!$I:$I,"&lt;="&amp;INDEX(Weeks!$D:$D,MATCH($C1213,Weeks!$A:$A,0)),Tasks!$I:$I,"&lt;&gt;")/COUNTIFS(Tasks!$A:$A,$A1213,Tasks!$B:$B,$B1213,Tasks!$C:$C,$G1213)*100,0),"")</f>
        <v/>
      </c>
    </row>
    <row r="1214" spans="1:8" ht="15" customHeight="1">
      <c r="A1214" t="s">
        <v>97</v>
      </c>
      <c r="B1214" t="s">
        <v>99</v>
      </c>
      <c r="C1214">
        <v>17</v>
      </c>
      <c r="D1214">
        <v>4</v>
      </c>
      <c r="E1214">
        <v>4</v>
      </c>
      <c r="F1214">
        <v>4</v>
      </c>
      <c r="G1214" t="s">
        <v>118</v>
      </c>
      <c r="H1214" t="str">
        <f>IFERROR(ROUND(COUNTIFS(Tasks!$A:$A,$A1214,Tasks!$B:$B,$B1214,Tasks!$C:$C,$G1214,Tasks!$I:$I,"&lt;="&amp;INDEX(Weeks!$D:$D,MATCH($C1214,Weeks!$A:$A,0)),Tasks!$I:$I,"&lt;&gt;")/COUNTIFS(Tasks!$A:$A,$A1214,Tasks!$B:$B,$B1214,Tasks!$C:$C,$G1214)*100,0),"")</f>
        <v/>
      </c>
    </row>
    <row r="1215" spans="1:8" ht="15" customHeight="1">
      <c r="A1215" t="s">
        <v>97</v>
      </c>
      <c r="B1215" t="s">
        <v>99</v>
      </c>
      <c r="C1215">
        <v>18</v>
      </c>
      <c r="D1215">
        <v>5</v>
      </c>
      <c r="E1215">
        <v>1</v>
      </c>
      <c r="F1215">
        <v>4</v>
      </c>
      <c r="G1215" t="s">
        <v>118</v>
      </c>
      <c r="H1215" t="str">
        <f>IFERROR(ROUND(COUNTIFS(Tasks!$A:$A,$A1215,Tasks!$B:$B,$B1215,Tasks!$C:$C,$G1215,Tasks!$I:$I,"&lt;="&amp;INDEX(Weeks!$D:$D,MATCH($C1215,Weeks!$A:$A,0)),Tasks!$I:$I,"&lt;&gt;")/COUNTIFS(Tasks!$A:$A,$A1215,Tasks!$B:$B,$B1215,Tasks!$C:$C,$G1215)*100,0),"")</f>
        <v/>
      </c>
    </row>
    <row r="1216" spans="1:8" ht="15" customHeight="1">
      <c r="A1216" t="s">
        <v>97</v>
      </c>
      <c r="B1216" t="s">
        <v>99</v>
      </c>
      <c r="C1216">
        <v>19</v>
      </c>
      <c r="D1216">
        <v>5</v>
      </c>
      <c r="E1216">
        <v>2</v>
      </c>
      <c r="F1216">
        <v>4</v>
      </c>
      <c r="G1216" t="s">
        <v>118</v>
      </c>
      <c r="H1216" t="str">
        <f>IFERROR(ROUND(COUNTIFS(Tasks!$A:$A,$A1216,Tasks!$B:$B,$B1216,Tasks!$C:$C,$G1216,Tasks!$I:$I,"&lt;="&amp;INDEX(Weeks!$D:$D,MATCH($C1216,Weeks!$A:$A,0)),Tasks!$I:$I,"&lt;&gt;")/COUNTIFS(Tasks!$A:$A,$A1216,Tasks!$B:$B,$B1216,Tasks!$C:$C,$G1216)*100,0),"")</f>
        <v/>
      </c>
    </row>
    <row r="1217" spans="1:8" ht="15" customHeight="1">
      <c r="A1217" t="s">
        <v>97</v>
      </c>
      <c r="B1217" t="s">
        <v>99</v>
      </c>
      <c r="C1217">
        <v>20</v>
      </c>
      <c r="D1217">
        <v>5</v>
      </c>
      <c r="E1217">
        <v>3</v>
      </c>
      <c r="F1217">
        <v>4</v>
      </c>
      <c r="G1217" t="s">
        <v>118</v>
      </c>
      <c r="H1217" t="str">
        <f>IFERROR(ROUND(COUNTIFS(Tasks!$A:$A,$A1217,Tasks!$B:$B,$B1217,Tasks!$C:$C,$G1217,Tasks!$I:$I,"&lt;="&amp;INDEX(Weeks!$D:$D,MATCH($C1217,Weeks!$A:$A,0)),Tasks!$I:$I,"&lt;&gt;")/COUNTIFS(Tasks!$A:$A,$A1217,Tasks!$B:$B,$B1217,Tasks!$C:$C,$G1217)*100,0),"")</f>
        <v/>
      </c>
    </row>
    <row r="1218" spans="1:8" ht="15" customHeight="1">
      <c r="A1218" t="s">
        <v>97</v>
      </c>
      <c r="B1218" t="s">
        <v>99</v>
      </c>
      <c r="C1218">
        <v>21</v>
      </c>
      <c r="D1218">
        <v>5</v>
      </c>
      <c r="E1218">
        <v>4</v>
      </c>
      <c r="F1218">
        <v>4</v>
      </c>
      <c r="G1218" t="s">
        <v>118</v>
      </c>
      <c r="H1218" t="str">
        <f>IFERROR(ROUND(COUNTIFS(Tasks!$A:$A,$A1218,Tasks!$B:$B,$B1218,Tasks!$C:$C,$G1218,Tasks!$I:$I,"&lt;="&amp;INDEX(Weeks!$D:$D,MATCH($C1218,Weeks!$A:$A,0)),Tasks!$I:$I,"&lt;&gt;")/COUNTIFS(Tasks!$A:$A,$A1218,Tasks!$B:$B,$B1218,Tasks!$C:$C,$G1218)*100,0),"")</f>
        <v/>
      </c>
    </row>
    <row r="1219" spans="1:8" ht="15" customHeight="1">
      <c r="A1219" t="s">
        <v>97</v>
      </c>
      <c r="B1219" t="s">
        <v>99</v>
      </c>
      <c r="C1219">
        <v>22</v>
      </c>
      <c r="D1219">
        <v>5</v>
      </c>
      <c r="E1219">
        <v>5</v>
      </c>
      <c r="F1219">
        <v>4</v>
      </c>
      <c r="G1219" t="s">
        <v>118</v>
      </c>
      <c r="H1219" t="str">
        <f>IFERROR(ROUND(COUNTIFS(Tasks!$A:$A,$A1219,Tasks!$B:$B,$B1219,Tasks!$C:$C,$G1219,Tasks!$I:$I,"&lt;="&amp;INDEX(Weeks!$D:$D,MATCH($C1219,Weeks!$A:$A,0)),Tasks!$I:$I,"&lt;&gt;")/COUNTIFS(Tasks!$A:$A,$A1219,Tasks!$B:$B,$B1219,Tasks!$C:$C,$G1219)*100,0),"")</f>
        <v/>
      </c>
    </row>
    <row r="1220" spans="1:8" ht="15" customHeight="1">
      <c r="A1220" t="s">
        <v>97</v>
      </c>
      <c r="B1220" t="s">
        <v>99</v>
      </c>
      <c r="C1220">
        <v>23</v>
      </c>
      <c r="D1220">
        <v>6</v>
      </c>
      <c r="E1220">
        <v>1</v>
      </c>
      <c r="F1220">
        <v>4</v>
      </c>
      <c r="G1220" t="s">
        <v>118</v>
      </c>
      <c r="H1220" t="str">
        <f>IFERROR(ROUND(COUNTIFS(Tasks!$A:$A,$A1220,Tasks!$B:$B,$B1220,Tasks!$C:$C,$G1220,Tasks!$I:$I,"&lt;="&amp;INDEX(Weeks!$D:$D,MATCH($C1220,Weeks!$A:$A,0)),Tasks!$I:$I,"&lt;&gt;")/COUNTIFS(Tasks!$A:$A,$A1220,Tasks!$B:$B,$B1220,Tasks!$C:$C,$G1220)*100,0),"")</f>
        <v/>
      </c>
    </row>
    <row r="1221" spans="1:8" ht="15" customHeight="1">
      <c r="A1221" t="s">
        <v>97</v>
      </c>
      <c r="B1221" t="s">
        <v>99</v>
      </c>
      <c r="C1221">
        <v>24</v>
      </c>
      <c r="D1221">
        <v>6</v>
      </c>
      <c r="E1221">
        <v>2</v>
      </c>
      <c r="F1221">
        <v>4</v>
      </c>
      <c r="G1221" t="s">
        <v>118</v>
      </c>
      <c r="H1221" t="str">
        <f>IFERROR(ROUND(COUNTIFS(Tasks!$A:$A,$A1221,Tasks!$B:$B,$B1221,Tasks!$C:$C,$G1221,Tasks!$I:$I,"&lt;="&amp;INDEX(Weeks!$D:$D,MATCH($C1221,Weeks!$A:$A,0)),Tasks!$I:$I,"&lt;&gt;")/COUNTIFS(Tasks!$A:$A,$A1221,Tasks!$B:$B,$B1221,Tasks!$C:$C,$G1221)*100,0),"")</f>
        <v/>
      </c>
    </row>
    <row r="1222" spans="1:8" ht="15" customHeight="1">
      <c r="A1222" t="s">
        <v>97</v>
      </c>
      <c r="B1222" t="s">
        <v>99</v>
      </c>
      <c r="C1222">
        <v>25</v>
      </c>
      <c r="D1222">
        <v>6</v>
      </c>
      <c r="E1222">
        <v>3</v>
      </c>
      <c r="F1222">
        <v>4</v>
      </c>
      <c r="G1222" t="s">
        <v>118</v>
      </c>
      <c r="H1222" t="str">
        <f>IFERROR(ROUND(COUNTIFS(Tasks!$A:$A,$A1222,Tasks!$B:$B,$B1222,Tasks!$C:$C,$G1222,Tasks!$I:$I,"&lt;="&amp;INDEX(Weeks!$D:$D,MATCH($C1222,Weeks!$A:$A,0)),Tasks!$I:$I,"&lt;&gt;")/COUNTIFS(Tasks!$A:$A,$A1222,Tasks!$B:$B,$B1222,Tasks!$C:$C,$G1222)*100,0),"")</f>
        <v/>
      </c>
    </row>
    <row r="1223" spans="1:8" ht="15" customHeight="1">
      <c r="A1223" t="s">
        <v>97</v>
      </c>
      <c r="B1223" t="s">
        <v>99</v>
      </c>
      <c r="C1223">
        <v>26</v>
      </c>
      <c r="D1223">
        <v>6</v>
      </c>
      <c r="E1223">
        <v>4</v>
      </c>
      <c r="F1223">
        <v>4</v>
      </c>
      <c r="G1223" t="s">
        <v>118</v>
      </c>
      <c r="H1223" t="str">
        <f>IFERROR(ROUND(COUNTIFS(Tasks!$A:$A,$A1223,Tasks!$B:$B,$B1223,Tasks!$C:$C,$G1223,Tasks!$I:$I,"&lt;="&amp;INDEX(Weeks!$D:$D,MATCH($C1223,Weeks!$A:$A,0)),Tasks!$I:$I,"&lt;&gt;")/COUNTIFS(Tasks!$A:$A,$A1223,Tasks!$B:$B,$B1223,Tasks!$C:$C,$G1223)*100,0),"")</f>
        <v/>
      </c>
    </row>
    <row r="1224" spans="1:8" ht="15" customHeight="1">
      <c r="A1224" t="s">
        <v>97</v>
      </c>
      <c r="B1224" t="s">
        <v>99</v>
      </c>
      <c r="C1224">
        <v>27</v>
      </c>
      <c r="D1224">
        <v>7</v>
      </c>
      <c r="E1224">
        <v>1</v>
      </c>
      <c r="F1224">
        <v>4</v>
      </c>
      <c r="G1224" t="s">
        <v>118</v>
      </c>
      <c r="H1224" t="str">
        <f>IFERROR(ROUND(COUNTIFS(Tasks!$A:$A,$A1224,Tasks!$B:$B,$B1224,Tasks!$C:$C,$G1224,Tasks!$I:$I,"&lt;="&amp;INDEX(Weeks!$D:$D,MATCH($C1224,Weeks!$A:$A,0)),Tasks!$I:$I,"&lt;&gt;")/COUNTIFS(Tasks!$A:$A,$A1224,Tasks!$B:$B,$B1224,Tasks!$C:$C,$G1224)*100,0),"")</f>
        <v/>
      </c>
    </row>
    <row r="1225" spans="1:8" ht="15" customHeight="1">
      <c r="A1225" t="s">
        <v>97</v>
      </c>
      <c r="B1225" t="s">
        <v>99</v>
      </c>
      <c r="C1225">
        <v>28</v>
      </c>
      <c r="D1225">
        <v>7</v>
      </c>
      <c r="E1225">
        <v>2</v>
      </c>
      <c r="F1225">
        <v>4</v>
      </c>
      <c r="G1225" t="s">
        <v>118</v>
      </c>
      <c r="H1225" t="str">
        <f>IFERROR(ROUND(COUNTIFS(Tasks!$A:$A,$A1225,Tasks!$B:$B,$B1225,Tasks!$C:$C,$G1225,Tasks!$I:$I,"&lt;="&amp;INDEX(Weeks!$D:$D,MATCH($C1225,Weeks!$A:$A,0)),Tasks!$I:$I,"&lt;&gt;")/COUNTIFS(Tasks!$A:$A,$A1225,Tasks!$B:$B,$B1225,Tasks!$C:$C,$G1225)*100,0),"")</f>
        <v/>
      </c>
    </row>
    <row r="1226" spans="1:8" ht="15" customHeight="1">
      <c r="A1226" t="s">
        <v>97</v>
      </c>
      <c r="B1226" t="s">
        <v>99</v>
      </c>
      <c r="C1226">
        <v>29</v>
      </c>
      <c r="D1226">
        <v>7</v>
      </c>
      <c r="E1226">
        <v>3</v>
      </c>
      <c r="F1226">
        <v>4</v>
      </c>
      <c r="G1226" t="s">
        <v>118</v>
      </c>
      <c r="H1226" t="str">
        <f>IFERROR(ROUND(COUNTIFS(Tasks!$A:$A,$A1226,Tasks!$B:$B,$B1226,Tasks!$C:$C,$G1226,Tasks!$I:$I,"&lt;="&amp;INDEX(Weeks!$D:$D,MATCH($C1226,Weeks!$A:$A,0)),Tasks!$I:$I,"&lt;&gt;")/COUNTIFS(Tasks!$A:$A,$A1226,Tasks!$B:$B,$B1226,Tasks!$C:$C,$G1226)*100,0),"")</f>
        <v/>
      </c>
    </row>
    <row r="1227" spans="1:8" ht="15" customHeight="1">
      <c r="A1227" t="s">
        <v>97</v>
      </c>
      <c r="B1227" t="s">
        <v>99</v>
      </c>
      <c r="C1227">
        <v>30</v>
      </c>
      <c r="D1227">
        <v>7</v>
      </c>
      <c r="E1227">
        <v>4</v>
      </c>
      <c r="F1227">
        <v>4</v>
      </c>
      <c r="G1227" t="s">
        <v>118</v>
      </c>
      <c r="H1227" t="str">
        <f>IFERROR(ROUND(COUNTIFS(Tasks!$A:$A,$A1227,Tasks!$B:$B,$B1227,Tasks!$C:$C,$G1227,Tasks!$I:$I,"&lt;="&amp;INDEX(Weeks!$D:$D,MATCH($C1227,Weeks!$A:$A,0)),Tasks!$I:$I,"&lt;&gt;")/COUNTIFS(Tasks!$A:$A,$A1227,Tasks!$B:$B,$B1227,Tasks!$C:$C,$G1227)*100,0),"")</f>
        <v/>
      </c>
    </row>
    <row r="1228" spans="1:8" ht="15" customHeight="1">
      <c r="A1228" t="s">
        <v>97</v>
      </c>
      <c r="B1228" t="s">
        <v>99</v>
      </c>
      <c r="C1228">
        <v>31</v>
      </c>
      <c r="D1228">
        <v>8</v>
      </c>
      <c r="E1228">
        <v>1</v>
      </c>
      <c r="F1228">
        <v>4</v>
      </c>
      <c r="G1228" t="s">
        <v>118</v>
      </c>
      <c r="H1228" t="str">
        <f>IFERROR(ROUND(COUNTIFS(Tasks!$A:$A,$A1228,Tasks!$B:$B,$B1228,Tasks!$C:$C,$G1228,Tasks!$I:$I,"&lt;="&amp;INDEX(Weeks!$D:$D,MATCH($C1228,Weeks!$A:$A,0)),Tasks!$I:$I,"&lt;&gt;")/COUNTIFS(Tasks!$A:$A,$A1228,Tasks!$B:$B,$B1228,Tasks!$C:$C,$G1228)*100,0),"")</f>
        <v/>
      </c>
    </row>
    <row r="1229" spans="1:8" ht="15" customHeight="1">
      <c r="A1229" t="s">
        <v>97</v>
      </c>
      <c r="B1229" t="s">
        <v>99</v>
      </c>
      <c r="C1229">
        <v>32</v>
      </c>
      <c r="D1229">
        <v>8</v>
      </c>
      <c r="E1229">
        <v>2</v>
      </c>
      <c r="F1229">
        <v>4</v>
      </c>
      <c r="G1229" t="s">
        <v>118</v>
      </c>
      <c r="H1229" t="str">
        <f>IFERROR(ROUND(COUNTIFS(Tasks!$A:$A,$A1229,Tasks!$B:$B,$B1229,Tasks!$C:$C,$G1229,Tasks!$I:$I,"&lt;="&amp;INDEX(Weeks!$D:$D,MATCH($C1229,Weeks!$A:$A,0)),Tasks!$I:$I,"&lt;&gt;")/COUNTIFS(Tasks!$A:$A,$A1229,Tasks!$B:$B,$B1229,Tasks!$C:$C,$G1229)*100,0),"")</f>
        <v/>
      </c>
    </row>
    <row r="1230" spans="1:8" ht="15" customHeight="1">
      <c r="A1230" t="s">
        <v>97</v>
      </c>
      <c r="B1230" t="s">
        <v>99</v>
      </c>
      <c r="C1230">
        <v>33</v>
      </c>
      <c r="D1230">
        <v>8</v>
      </c>
      <c r="E1230">
        <v>3</v>
      </c>
      <c r="F1230">
        <v>4</v>
      </c>
      <c r="G1230" t="s">
        <v>118</v>
      </c>
      <c r="H1230" t="str">
        <f>IFERROR(ROUND(COUNTIFS(Tasks!$A:$A,$A1230,Tasks!$B:$B,$B1230,Tasks!$C:$C,$G1230,Tasks!$I:$I,"&lt;="&amp;INDEX(Weeks!$D:$D,MATCH($C1230,Weeks!$A:$A,0)),Tasks!$I:$I,"&lt;&gt;")/COUNTIFS(Tasks!$A:$A,$A1230,Tasks!$B:$B,$B1230,Tasks!$C:$C,$G1230)*100,0),"")</f>
        <v/>
      </c>
    </row>
    <row r="1231" spans="1:8" ht="15" customHeight="1">
      <c r="A1231" t="s">
        <v>97</v>
      </c>
      <c r="B1231" t="s">
        <v>99</v>
      </c>
      <c r="C1231">
        <v>34</v>
      </c>
      <c r="D1231">
        <v>8</v>
      </c>
      <c r="E1231">
        <v>4</v>
      </c>
      <c r="F1231">
        <v>4</v>
      </c>
      <c r="G1231" t="s">
        <v>118</v>
      </c>
      <c r="H1231" t="str">
        <f>IFERROR(ROUND(COUNTIFS(Tasks!$A:$A,$A1231,Tasks!$B:$B,$B1231,Tasks!$C:$C,$G1231,Tasks!$I:$I,"&lt;="&amp;INDEX(Weeks!$D:$D,MATCH($C1231,Weeks!$A:$A,0)),Tasks!$I:$I,"&lt;&gt;")/COUNTIFS(Tasks!$A:$A,$A1231,Tasks!$B:$B,$B1231,Tasks!$C:$C,$G1231)*100,0),"")</f>
        <v/>
      </c>
    </row>
    <row r="1232" spans="1:8" ht="15" customHeight="1">
      <c r="A1232" t="s">
        <v>97</v>
      </c>
      <c r="B1232" t="s">
        <v>99</v>
      </c>
      <c r="C1232">
        <v>35</v>
      </c>
      <c r="D1232">
        <v>8</v>
      </c>
      <c r="E1232">
        <v>5</v>
      </c>
      <c r="F1232">
        <v>4</v>
      </c>
      <c r="G1232" t="s">
        <v>118</v>
      </c>
      <c r="H1232" t="str">
        <f>IFERROR(ROUND(COUNTIFS(Tasks!$A:$A,$A1232,Tasks!$B:$B,$B1232,Tasks!$C:$C,$G1232,Tasks!$I:$I,"&lt;="&amp;INDEX(Weeks!$D:$D,MATCH($C1232,Weeks!$A:$A,0)),Tasks!$I:$I,"&lt;&gt;")/COUNTIFS(Tasks!$A:$A,$A1232,Tasks!$B:$B,$B1232,Tasks!$C:$C,$G1232)*100,0),"")</f>
        <v/>
      </c>
    </row>
    <row r="1233" spans="1:8" ht="15" customHeight="1">
      <c r="A1233" t="s">
        <v>97</v>
      </c>
      <c r="B1233" t="s">
        <v>99</v>
      </c>
      <c r="C1233">
        <v>36</v>
      </c>
      <c r="D1233">
        <v>9</v>
      </c>
      <c r="E1233">
        <v>1</v>
      </c>
      <c r="F1233">
        <v>4</v>
      </c>
      <c r="G1233" t="s">
        <v>118</v>
      </c>
      <c r="H1233" t="str">
        <f>IFERROR(ROUND(COUNTIFS(Tasks!$A:$A,$A1233,Tasks!$B:$B,$B1233,Tasks!$C:$C,$G1233,Tasks!$I:$I,"&lt;="&amp;INDEX(Weeks!$D:$D,MATCH($C1233,Weeks!$A:$A,0)),Tasks!$I:$I,"&lt;&gt;")/COUNTIFS(Tasks!$A:$A,$A1233,Tasks!$B:$B,$B1233,Tasks!$C:$C,$G1233)*100,0),"")</f>
        <v/>
      </c>
    </row>
    <row r="1234" spans="1:8" ht="15" customHeight="1">
      <c r="A1234" t="s">
        <v>97</v>
      </c>
      <c r="B1234" t="s">
        <v>99</v>
      </c>
      <c r="C1234">
        <v>37</v>
      </c>
      <c r="D1234">
        <v>9</v>
      </c>
      <c r="E1234">
        <v>2</v>
      </c>
      <c r="F1234">
        <v>4</v>
      </c>
      <c r="G1234" t="s">
        <v>118</v>
      </c>
      <c r="H1234" t="str">
        <f>IFERROR(ROUND(COUNTIFS(Tasks!$A:$A,$A1234,Tasks!$B:$B,$B1234,Tasks!$C:$C,$G1234,Tasks!$I:$I,"&lt;="&amp;INDEX(Weeks!$D:$D,MATCH($C1234,Weeks!$A:$A,0)),Tasks!$I:$I,"&lt;&gt;")/COUNTIFS(Tasks!$A:$A,$A1234,Tasks!$B:$B,$B1234,Tasks!$C:$C,$G1234)*100,0),"")</f>
        <v/>
      </c>
    </row>
    <row r="1235" spans="1:8" ht="15" customHeight="1">
      <c r="A1235" t="s">
        <v>97</v>
      </c>
      <c r="B1235" t="s">
        <v>99</v>
      </c>
      <c r="C1235">
        <v>38</v>
      </c>
      <c r="D1235">
        <v>9</v>
      </c>
      <c r="E1235">
        <v>3</v>
      </c>
      <c r="F1235">
        <v>4</v>
      </c>
      <c r="G1235" t="s">
        <v>118</v>
      </c>
      <c r="H1235" t="str">
        <f>IFERROR(ROUND(COUNTIFS(Tasks!$A:$A,$A1235,Tasks!$B:$B,$B1235,Tasks!$C:$C,$G1235,Tasks!$I:$I,"&lt;="&amp;INDEX(Weeks!$D:$D,MATCH($C1235,Weeks!$A:$A,0)),Tasks!$I:$I,"&lt;&gt;")/COUNTIFS(Tasks!$A:$A,$A1235,Tasks!$B:$B,$B1235,Tasks!$C:$C,$G1235)*100,0),"")</f>
        <v/>
      </c>
    </row>
    <row r="1236" spans="1:8" ht="15" customHeight="1">
      <c r="A1236" t="s">
        <v>97</v>
      </c>
      <c r="B1236" t="s">
        <v>99</v>
      </c>
      <c r="C1236">
        <v>39</v>
      </c>
      <c r="D1236">
        <v>9</v>
      </c>
      <c r="E1236">
        <v>4</v>
      </c>
      <c r="F1236">
        <v>4</v>
      </c>
      <c r="G1236" t="s">
        <v>118</v>
      </c>
      <c r="H1236" t="str">
        <f>IFERROR(ROUND(COUNTIFS(Tasks!$A:$A,$A1236,Tasks!$B:$B,$B1236,Tasks!$C:$C,$G1236,Tasks!$I:$I,"&lt;="&amp;INDEX(Weeks!$D:$D,MATCH($C1236,Weeks!$A:$A,0)),Tasks!$I:$I,"&lt;&gt;")/COUNTIFS(Tasks!$A:$A,$A1236,Tasks!$B:$B,$B1236,Tasks!$C:$C,$G1236)*100,0),"")</f>
        <v/>
      </c>
    </row>
    <row r="1237" spans="1:8" ht="15" customHeight="1">
      <c r="A1237" t="s">
        <v>97</v>
      </c>
      <c r="B1237" t="s">
        <v>99</v>
      </c>
      <c r="C1237">
        <v>40</v>
      </c>
      <c r="D1237">
        <v>10</v>
      </c>
      <c r="E1237">
        <v>1</v>
      </c>
      <c r="F1237">
        <v>4</v>
      </c>
      <c r="G1237" t="s">
        <v>118</v>
      </c>
      <c r="H1237" t="str">
        <f>IFERROR(ROUND(COUNTIFS(Tasks!$A:$A,$A1237,Tasks!$B:$B,$B1237,Tasks!$C:$C,$G1237,Tasks!$I:$I,"&lt;="&amp;INDEX(Weeks!$D:$D,MATCH($C1237,Weeks!$A:$A,0)),Tasks!$I:$I,"&lt;&gt;")/COUNTIFS(Tasks!$A:$A,$A1237,Tasks!$B:$B,$B1237,Tasks!$C:$C,$G1237)*100,0),"")</f>
        <v/>
      </c>
    </row>
    <row r="1238" spans="1:8" ht="15" customHeight="1">
      <c r="A1238" t="s">
        <v>97</v>
      </c>
      <c r="B1238" t="s">
        <v>99</v>
      </c>
      <c r="C1238">
        <v>41</v>
      </c>
      <c r="D1238">
        <v>10</v>
      </c>
      <c r="E1238">
        <v>2</v>
      </c>
      <c r="F1238">
        <v>4</v>
      </c>
      <c r="G1238" t="s">
        <v>118</v>
      </c>
      <c r="H1238" t="str">
        <f>IFERROR(ROUND(COUNTIFS(Tasks!$A:$A,$A1238,Tasks!$B:$B,$B1238,Tasks!$C:$C,$G1238,Tasks!$I:$I,"&lt;="&amp;INDEX(Weeks!$D:$D,MATCH($C1238,Weeks!$A:$A,0)),Tasks!$I:$I,"&lt;&gt;")/COUNTIFS(Tasks!$A:$A,$A1238,Tasks!$B:$B,$B1238,Tasks!$C:$C,$G1238)*100,0),"")</f>
        <v/>
      </c>
    </row>
    <row r="1239" spans="1:8" ht="15" customHeight="1">
      <c r="A1239" t="s">
        <v>97</v>
      </c>
      <c r="B1239" t="s">
        <v>99</v>
      </c>
      <c r="C1239">
        <v>42</v>
      </c>
      <c r="D1239">
        <v>10</v>
      </c>
      <c r="E1239">
        <v>3</v>
      </c>
      <c r="F1239">
        <v>4</v>
      </c>
      <c r="G1239" t="s">
        <v>118</v>
      </c>
      <c r="H1239" t="str">
        <f>IFERROR(ROUND(COUNTIFS(Tasks!$A:$A,$A1239,Tasks!$B:$B,$B1239,Tasks!$C:$C,$G1239,Tasks!$I:$I,"&lt;="&amp;INDEX(Weeks!$D:$D,MATCH($C1239,Weeks!$A:$A,0)),Tasks!$I:$I,"&lt;&gt;")/COUNTIFS(Tasks!$A:$A,$A1239,Tasks!$B:$B,$B1239,Tasks!$C:$C,$G1239)*100,0),"")</f>
        <v/>
      </c>
    </row>
    <row r="1240" spans="1:8" ht="15" customHeight="1">
      <c r="A1240" t="s">
        <v>97</v>
      </c>
      <c r="B1240" t="s">
        <v>99</v>
      </c>
      <c r="C1240">
        <v>43</v>
      </c>
      <c r="D1240">
        <v>10</v>
      </c>
      <c r="E1240">
        <v>4</v>
      </c>
      <c r="F1240">
        <v>4</v>
      </c>
      <c r="G1240" t="s">
        <v>118</v>
      </c>
      <c r="H1240" t="str">
        <f>IFERROR(ROUND(COUNTIFS(Tasks!$A:$A,$A1240,Tasks!$B:$B,$B1240,Tasks!$C:$C,$G1240,Tasks!$I:$I,"&lt;="&amp;INDEX(Weeks!$D:$D,MATCH($C1240,Weeks!$A:$A,0)),Tasks!$I:$I,"&lt;&gt;")/COUNTIFS(Tasks!$A:$A,$A1240,Tasks!$B:$B,$B1240,Tasks!$C:$C,$G1240)*100,0),"")</f>
        <v/>
      </c>
    </row>
    <row r="1241" spans="1:8" ht="15" customHeight="1">
      <c r="A1241" t="s">
        <v>97</v>
      </c>
      <c r="B1241" t="s">
        <v>99</v>
      </c>
      <c r="C1241">
        <v>44</v>
      </c>
      <c r="D1241">
        <v>10</v>
      </c>
      <c r="E1241">
        <v>5</v>
      </c>
      <c r="F1241">
        <v>4</v>
      </c>
      <c r="G1241" t="s">
        <v>118</v>
      </c>
      <c r="H1241" t="str">
        <f>IFERROR(ROUND(COUNTIFS(Tasks!$A:$A,$A1241,Tasks!$B:$B,$B1241,Tasks!$C:$C,$G1241,Tasks!$I:$I,"&lt;="&amp;INDEX(Weeks!$D:$D,MATCH($C1241,Weeks!$A:$A,0)),Tasks!$I:$I,"&lt;&gt;")/COUNTIFS(Tasks!$A:$A,$A1241,Tasks!$B:$B,$B1241,Tasks!$C:$C,$G1241)*100,0),"")</f>
        <v/>
      </c>
    </row>
    <row r="1242" spans="1:8" ht="15" customHeight="1">
      <c r="A1242" t="s">
        <v>97</v>
      </c>
      <c r="B1242" t="s">
        <v>99</v>
      </c>
      <c r="C1242">
        <v>45</v>
      </c>
      <c r="D1242">
        <v>11</v>
      </c>
      <c r="E1242">
        <v>1</v>
      </c>
      <c r="F1242">
        <v>4</v>
      </c>
      <c r="G1242" t="s">
        <v>118</v>
      </c>
      <c r="H1242" t="str">
        <f>IFERROR(ROUND(COUNTIFS(Tasks!$A:$A,$A1242,Tasks!$B:$B,$B1242,Tasks!$C:$C,$G1242,Tasks!$I:$I,"&lt;="&amp;INDEX(Weeks!$D:$D,MATCH($C1242,Weeks!$A:$A,0)),Tasks!$I:$I,"&lt;&gt;")/COUNTIFS(Tasks!$A:$A,$A1242,Tasks!$B:$B,$B1242,Tasks!$C:$C,$G1242)*100,0),"")</f>
        <v/>
      </c>
    </row>
    <row r="1243" spans="1:8" ht="15" customHeight="1">
      <c r="A1243" t="s">
        <v>97</v>
      </c>
      <c r="B1243" t="s">
        <v>99</v>
      </c>
      <c r="C1243">
        <v>46</v>
      </c>
      <c r="D1243">
        <v>11</v>
      </c>
      <c r="E1243">
        <v>2</v>
      </c>
      <c r="F1243">
        <v>4</v>
      </c>
      <c r="G1243" t="s">
        <v>118</v>
      </c>
      <c r="H1243" t="str">
        <f>IFERROR(ROUND(COUNTIFS(Tasks!$A:$A,$A1243,Tasks!$B:$B,$B1243,Tasks!$C:$C,$G1243,Tasks!$I:$I,"&lt;="&amp;INDEX(Weeks!$D:$D,MATCH($C1243,Weeks!$A:$A,0)),Tasks!$I:$I,"&lt;&gt;")/COUNTIFS(Tasks!$A:$A,$A1243,Tasks!$B:$B,$B1243,Tasks!$C:$C,$G1243)*100,0),"")</f>
        <v/>
      </c>
    </row>
    <row r="1244" spans="1:8" ht="15" customHeight="1">
      <c r="A1244" t="s">
        <v>97</v>
      </c>
      <c r="B1244" t="s">
        <v>99</v>
      </c>
      <c r="C1244">
        <v>47</v>
      </c>
      <c r="D1244">
        <v>11</v>
      </c>
      <c r="E1244">
        <v>3</v>
      </c>
      <c r="F1244">
        <v>4</v>
      </c>
      <c r="G1244" t="s">
        <v>118</v>
      </c>
      <c r="H1244" t="str">
        <f>IFERROR(ROUND(COUNTIFS(Tasks!$A:$A,$A1244,Tasks!$B:$B,$B1244,Tasks!$C:$C,$G1244,Tasks!$I:$I,"&lt;="&amp;INDEX(Weeks!$D:$D,MATCH($C1244,Weeks!$A:$A,0)),Tasks!$I:$I,"&lt;&gt;")/COUNTIFS(Tasks!$A:$A,$A1244,Tasks!$B:$B,$B1244,Tasks!$C:$C,$G1244)*100,0),"")</f>
        <v/>
      </c>
    </row>
    <row r="1245" spans="1:8" ht="15" customHeight="1">
      <c r="A1245" t="s">
        <v>97</v>
      </c>
      <c r="B1245" t="s">
        <v>99</v>
      </c>
      <c r="C1245">
        <v>48</v>
      </c>
      <c r="D1245">
        <v>11</v>
      </c>
      <c r="E1245">
        <v>4</v>
      </c>
      <c r="F1245">
        <v>4</v>
      </c>
      <c r="G1245" t="s">
        <v>118</v>
      </c>
      <c r="H1245" t="str">
        <f>IFERROR(ROUND(COUNTIFS(Tasks!$A:$A,$A1245,Tasks!$B:$B,$B1245,Tasks!$C:$C,$G1245,Tasks!$I:$I,"&lt;="&amp;INDEX(Weeks!$D:$D,MATCH($C1245,Weeks!$A:$A,0)),Tasks!$I:$I,"&lt;&gt;")/COUNTIFS(Tasks!$A:$A,$A1245,Tasks!$B:$B,$B1245,Tasks!$C:$C,$G1245)*100,0),"")</f>
        <v/>
      </c>
    </row>
    <row r="1246" spans="1:8" ht="15" customHeight="1">
      <c r="A1246" t="s">
        <v>97</v>
      </c>
      <c r="B1246" t="s">
        <v>99</v>
      </c>
      <c r="C1246">
        <v>49</v>
      </c>
      <c r="D1246">
        <v>12</v>
      </c>
      <c r="E1246">
        <v>1</v>
      </c>
      <c r="F1246">
        <v>4</v>
      </c>
      <c r="G1246" t="s">
        <v>118</v>
      </c>
      <c r="H1246" t="str">
        <f>IFERROR(ROUND(COUNTIFS(Tasks!$A:$A,$A1246,Tasks!$B:$B,$B1246,Tasks!$C:$C,$G1246,Tasks!$I:$I,"&lt;="&amp;INDEX(Weeks!$D:$D,MATCH($C1246,Weeks!$A:$A,0)),Tasks!$I:$I,"&lt;&gt;")/COUNTIFS(Tasks!$A:$A,$A1246,Tasks!$B:$B,$B1246,Tasks!$C:$C,$G1246)*100,0),"")</f>
        <v/>
      </c>
    </row>
    <row r="1247" spans="1:8" ht="15" customHeight="1">
      <c r="A1247" t="s">
        <v>97</v>
      </c>
      <c r="B1247" t="s">
        <v>99</v>
      </c>
      <c r="C1247">
        <v>50</v>
      </c>
      <c r="D1247">
        <v>12</v>
      </c>
      <c r="E1247">
        <v>2</v>
      </c>
      <c r="F1247">
        <v>4</v>
      </c>
      <c r="G1247" t="s">
        <v>118</v>
      </c>
      <c r="H1247" t="str">
        <f>IFERROR(ROUND(COUNTIFS(Tasks!$A:$A,$A1247,Tasks!$B:$B,$B1247,Tasks!$C:$C,$G1247,Tasks!$I:$I,"&lt;="&amp;INDEX(Weeks!$D:$D,MATCH($C1247,Weeks!$A:$A,0)),Tasks!$I:$I,"&lt;&gt;")/COUNTIFS(Tasks!$A:$A,$A1247,Tasks!$B:$B,$B1247,Tasks!$C:$C,$G1247)*100,0),"")</f>
        <v/>
      </c>
    </row>
    <row r="1248" spans="1:8" ht="15" customHeight="1">
      <c r="A1248" t="s">
        <v>97</v>
      </c>
      <c r="B1248" t="s">
        <v>99</v>
      </c>
      <c r="C1248">
        <v>51</v>
      </c>
      <c r="D1248">
        <v>12</v>
      </c>
      <c r="E1248">
        <v>3</v>
      </c>
      <c r="F1248">
        <v>4</v>
      </c>
      <c r="G1248" t="s">
        <v>118</v>
      </c>
      <c r="H1248" t="str">
        <f>IFERROR(ROUND(COUNTIFS(Tasks!$A:$A,$A1248,Tasks!$B:$B,$B1248,Tasks!$C:$C,$G1248,Tasks!$I:$I,"&lt;="&amp;INDEX(Weeks!$D:$D,MATCH($C1248,Weeks!$A:$A,0)),Tasks!$I:$I,"&lt;&gt;")/COUNTIFS(Tasks!$A:$A,$A1248,Tasks!$B:$B,$B1248,Tasks!$C:$C,$G1248)*100,0),"")</f>
        <v/>
      </c>
    </row>
    <row r="1249" spans="1:8" ht="15" customHeight="1">
      <c r="A1249" t="s">
        <v>97</v>
      </c>
      <c r="B1249" t="s">
        <v>99</v>
      </c>
      <c r="C1249">
        <v>52</v>
      </c>
      <c r="D1249">
        <v>12</v>
      </c>
      <c r="E1249">
        <v>4</v>
      </c>
      <c r="F1249">
        <v>4</v>
      </c>
      <c r="G1249" t="s">
        <v>118</v>
      </c>
      <c r="H1249" t="str">
        <f>IFERROR(ROUND(COUNTIFS(Tasks!$A:$A,$A1249,Tasks!$B:$B,$B1249,Tasks!$C:$C,$G1249,Tasks!$I:$I,"&lt;="&amp;INDEX(Weeks!$D:$D,MATCH($C1249,Weeks!$A:$A,0)),Tasks!$I:$I,"&lt;&gt;")/COUNTIFS(Tasks!$A:$A,$A1249,Tasks!$B:$B,$B1249,Tasks!$C:$C,$G1249)*100,0),"")</f>
        <v/>
      </c>
    </row>
    <row r="1250" spans="1:8" ht="15" customHeight="1">
      <c r="A1250" t="s">
        <v>97</v>
      </c>
      <c r="B1250" t="s">
        <v>99</v>
      </c>
      <c r="C1250">
        <v>1</v>
      </c>
      <c r="D1250">
        <v>1</v>
      </c>
      <c r="E1250">
        <v>1</v>
      </c>
      <c r="F1250">
        <v>5</v>
      </c>
      <c r="G1250" t="s">
        <v>119</v>
      </c>
      <c r="H1250" t="str">
        <f>IFERROR(ROUND(COUNTIFS(Tasks!$A:$A,$A1250,Tasks!$B:$B,$B1250,Tasks!$C:$C,$G1250,Tasks!$I:$I,"&lt;="&amp;INDEX(Weeks!$D:$D,MATCH($C1250,Weeks!$A:$A,0)),Tasks!$I:$I,"&lt;&gt;")/COUNTIFS(Tasks!$A:$A,$A1250,Tasks!$B:$B,$B1250,Tasks!$C:$C,$G1250)*100,0),"")</f>
        <v/>
      </c>
    </row>
    <row r="1251" spans="1:8" ht="15" customHeight="1">
      <c r="A1251" t="s">
        <v>97</v>
      </c>
      <c r="B1251" t="s">
        <v>99</v>
      </c>
      <c r="C1251">
        <v>2</v>
      </c>
      <c r="D1251">
        <v>1</v>
      </c>
      <c r="E1251">
        <v>2</v>
      </c>
      <c r="F1251">
        <v>5</v>
      </c>
      <c r="G1251" t="s">
        <v>119</v>
      </c>
      <c r="H1251" t="str">
        <f>IFERROR(ROUND(COUNTIFS(Tasks!$A:$A,$A1251,Tasks!$B:$B,$B1251,Tasks!$C:$C,$G1251,Tasks!$I:$I,"&lt;="&amp;INDEX(Weeks!$D:$D,MATCH($C1251,Weeks!$A:$A,0)),Tasks!$I:$I,"&lt;&gt;")/COUNTIFS(Tasks!$A:$A,$A1251,Tasks!$B:$B,$B1251,Tasks!$C:$C,$G1251)*100,0),"")</f>
        <v/>
      </c>
    </row>
    <row r="1252" spans="1:8" ht="15" customHeight="1">
      <c r="A1252" t="s">
        <v>97</v>
      </c>
      <c r="B1252" t="s">
        <v>99</v>
      </c>
      <c r="C1252">
        <v>3</v>
      </c>
      <c r="D1252">
        <v>1</v>
      </c>
      <c r="E1252">
        <v>3</v>
      </c>
      <c r="F1252">
        <v>5</v>
      </c>
      <c r="G1252" t="s">
        <v>119</v>
      </c>
      <c r="H1252" t="str">
        <f>IFERROR(ROUND(COUNTIFS(Tasks!$A:$A,$A1252,Tasks!$B:$B,$B1252,Tasks!$C:$C,$G1252,Tasks!$I:$I,"&lt;="&amp;INDEX(Weeks!$D:$D,MATCH($C1252,Weeks!$A:$A,0)),Tasks!$I:$I,"&lt;&gt;")/COUNTIFS(Tasks!$A:$A,$A1252,Tasks!$B:$B,$B1252,Tasks!$C:$C,$G1252)*100,0),"")</f>
        <v/>
      </c>
    </row>
    <row r="1253" spans="1:8" ht="15" customHeight="1">
      <c r="A1253" t="s">
        <v>97</v>
      </c>
      <c r="B1253" t="s">
        <v>99</v>
      </c>
      <c r="C1253">
        <v>4</v>
      </c>
      <c r="D1253">
        <v>1</v>
      </c>
      <c r="E1253">
        <v>4</v>
      </c>
      <c r="F1253">
        <v>5</v>
      </c>
      <c r="G1253" t="s">
        <v>119</v>
      </c>
      <c r="H1253" t="str">
        <f>IFERROR(ROUND(COUNTIFS(Tasks!$A:$A,$A1253,Tasks!$B:$B,$B1253,Tasks!$C:$C,$G1253,Tasks!$I:$I,"&lt;="&amp;INDEX(Weeks!$D:$D,MATCH($C1253,Weeks!$A:$A,0)),Tasks!$I:$I,"&lt;&gt;")/COUNTIFS(Tasks!$A:$A,$A1253,Tasks!$B:$B,$B1253,Tasks!$C:$C,$G1253)*100,0),"")</f>
        <v/>
      </c>
    </row>
    <row r="1254" spans="1:8" ht="15" customHeight="1">
      <c r="A1254" t="s">
        <v>97</v>
      </c>
      <c r="B1254" t="s">
        <v>99</v>
      </c>
      <c r="C1254">
        <v>5</v>
      </c>
      <c r="D1254">
        <v>1</v>
      </c>
      <c r="E1254">
        <v>5</v>
      </c>
      <c r="F1254">
        <v>5</v>
      </c>
      <c r="G1254" t="s">
        <v>119</v>
      </c>
      <c r="H1254" t="str">
        <f>IFERROR(ROUND(COUNTIFS(Tasks!$A:$A,$A1254,Tasks!$B:$B,$B1254,Tasks!$C:$C,$G1254,Tasks!$I:$I,"&lt;="&amp;INDEX(Weeks!$D:$D,MATCH($C1254,Weeks!$A:$A,0)),Tasks!$I:$I,"&lt;&gt;")/COUNTIFS(Tasks!$A:$A,$A1254,Tasks!$B:$B,$B1254,Tasks!$C:$C,$G1254)*100,0),"")</f>
        <v/>
      </c>
    </row>
    <row r="1255" spans="1:8" ht="15" customHeight="1">
      <c r="A1255" t="s">
        <v>97</v>
      </c>
      <c r="B1255" t="s">
        <v>99</v>
      </c>
      <c r="C1255">
        <v>6</v>
      </c>
      <c r="D1255">
        <v>2</v>
      </c>
      <c r="E1255">
        <v>1</v>
      </c>
      <c r="F1255">
        <v>5</v>
      </c>
      <c r="G1255" t="s">
        <v>119</v>
      </c>
      <c r="H1255" t="str">
        <f>IFERROR(ROUND(COUNTIFS(Tasks!$A:$A,$A1255,Tasks!$B:$B,$B1255,Tasks!$C:$C,$G1255,Tasks!$I:$I,"&lt;="&amp;INDEX(Weeks!$D:$D,MATCH($C1255,Weeks!$A:$A,0)),Tasks!$I:$I,"&lt;&gt;")/COUNTIFS(Tasks!$A:$A,$A1255,Tasks!$B:$B,$B1255,Tasks!$C:$C,$G1255)*100,0),"")</f>
        <v/>
      </c>
    </row>
    <row r="1256" spans="1:8" ht="15" customHeight="1">
      <c r="A1256" t="s">
        <v>97</v>
      </c>
      <c r="B1256" t="s">
        <v>99</v>
      </c>
      <c r="C1256">
        <v>7</v>
      </c>
      <c r="D1256">
        <v>2</v>
      </c>
      <c r="E1256">
        <v>2</v>
      </c>
      <c r="F1256">
        <v>5</v>
      </c>
      <c r="G1256" t="s">
        <v>119</v>
      </c>
      <c r="H1256" t="str">
        <f>IFERROR(ROUND(COUNTIFS(Tasks!$A:$A,$A1256,Tasks!$B:$B,$B1256,Tasks!$C:$C,$G1256,Tasks!$I:$I,"&lt;="&amp;INDEX(Weeks!$D:$D,MATCH($C1256,Weeks!$A:$A,0)),Tasks!$I:$I,"&lt;&gt;")/COUNTIFS(Tasks!$A:$A,$A1256,Tasks!$B:$B,$B1256,Tasks!$C:$C,$G1256)*100,0),"")</f>
        <v/>
      </c>
    </row>
    <row r="1257" spans="1:8" ht="15" customHeight="1">
      <c r="A1257" t="s">
        <v>97</v>
      </c>
      <c r="B1257" t="s">
        <v>99</v>
      </c>
      <c r="C1257">
        <v>8</v>
      </c>
      <c r="D1257">
        <v>2</v>
      </c>
      <c r="E1257">
        <v>3</v>
      </c>
      <c r="F1257">
        <v>5</v>
      </c>
      <c r="G1257" t="s">
        <v>119</v>
      </c>
      <c r="H1257" t="str">
        <f>IFERROR(ROUND(COUNTIFS(Tasks!$A:$A,$A1257,Tasks!$B:$B,$B1257,Tasks!$C:$C,$G1257,Tasks!$I:$I,"&lt;="&amp;INDEX(Weeks!$D:$D,MATCH($C1257,Weeks!$A:$A,0)),Tasks!$I:$I,"&lt;&gt;")/COUNTIFS(Tasks!$A:$A,$A1257,Tasks!$B:$B,$B1257,Tasks!$C:$C,$G1257)*100,0),"")</f>
        <v/>
      </c>
    </row>
    <row r="1258" spans="1:8" ht="15" customHeight="1">
      <c r="A1258" t="s">
        <v>97</v>
      </c>
      <c r="B1258" t="s">
        <v>99</v>
      </c>
      <c r="C1258">
        <v>9</v>
      </c>
      <c r="D1258">
        <v>2</v>
      </c>
      <c r="E1258">
        <v>4</v>
      </c>
      <c r="F1258">
        <v>5</v>
      </c>
      <c r="G1258" t="s">
        <v>119</v>
      </c>
      <c r="H1258" t="str">
        <f>IFERROR(ROUND(COUNTIFS(Tasks!$A:$A,$A1258,Tasks!$B:$B,$B1258,Tasks!$C:$C,$G1258,Tasks!$I:$I,"&lt;="&amp;INDEX(Weeks!$D:$D,MATCH($C1258,Weeks!$A:$A,0)),Tasks!$I:$I,"&lt;&gt;")/COUNTIFS(Tasks!$A:$A,$A1258,Tasks!$B:$B,$B1258,Tasks!$C:$C,$G1258)*100,0),"")</f>
        <v/>
      </c>
    </row>
    <row r="1259" spans="1:8" ht="15" customHeight="1">
      <c r="A1259" t="s">
        <v>97</v>
      </c>
      <c r="B1259" t="s">
        <v>99</v>
      </c>
      <c r="C1259">
        <v>10</v>
      </c>
      <c r="D1259">
        <v>3</v>
      </c>
      <c r="E1259">
        <v>1</v>
      </c>
      <c r="F1259">
        <v>5</v>
      </c>
      <c r="G1259" t="s">
        <v>119</v>
      </c>
      <c r="H1259" t="str">
        <f>IFERROR(ROUND(COUNTIFS(Tasks!$A:$A,$A1259,Tasks!$B:$B,$B1259,Tasks!$C:$C,$G1259,Tasks!$I:$I,"&lt;="&amp;INDEX(Weeks!$D:$D,MATCH($C1259,Weeks!$A:$A,0)),Tasks!$I:$I,"&lt;&gt;")/COUNTIFS(Tasks!$A:$A,$A1259,Tasks!$B:$B,$B1259,Tasks!$C:$C,$G1259)*100,0),"")</f>
        <v/>
      </c>
    </row>
    <row r="1260" spans="1:8" ht="15" customHeight="1">
      <c r="A1260" t="s">
        <v>97</v>
      </c>
      <c r="B1260" t="s">
        <v>99</v>
      </c>
      <c r="C1260">
        <v>11</v>
      </c>
      <c r="D1260">
        <v>3</v>
      </c>
      <c r="E1260">
        <v>2</v>
      </c>
      <c r="F1260">
        <v>5</v>
      </c>
      <c r="G1260" t="s">
        <v>119</v>
      </c>
      <c r="H1260" t="str">
        <f>IFERROR(ROUND(COUNTIFS(Tasks!$A:$A,$A1260,Tasks!$B:$B,$B1260,Tasks!$C:$C,$G1260,Tasks!$I:$I,"&lt;="&amp;INDEX(Weeks!$D:$D,MATCH($C1260,Weeks!$A:$A,0)),Tasks!$I:$I,"&lt;&gt;")/COUNTIFS(Tasks!$A:$A,$A1260,Tasks!$B:$B,$B1260,Tasks!$C:$C,$G1260)*100,0),"")</f>
        <v/>
      </c>
    </row>
    <row r="1261" spans="1:8" ht="15" customHeight="1">
      <c r="A1261" t="s">
        <v>97</v>
      </c>
      <c r="B1261" t="s">
        <v>99</v>
      </c>
      <c r="C1261">
        <v>12</v>
      </c>
      <c r="D1261">
        <v>3</v>
      </c>
      <c r="E1261">
        <v>3</v>
      </c>
      <c r="F1261">
        <v>5</v>
      </c>
      <c r="G1261" t="s">
        <v>119</v>
      </c>
      <c r="H1261" t="str">
        <f>IFERROR(ROUND(COUNTIFS(Tasks!$A:$A,$A1261,Tasks!$B:$B,$B1261,Tasks!$C:$C,$G1261,Tasks!$I:$I,"&lt;="&amp;INDEX(Weeks!$D:$D,MATCH($C1261,Weeks!$A:$A,0)),Tasks!$I:$I,"&lt;&gt;")/COUNTIFS(Tasks!$A:$A,$A1261,Tasks!$B:$B,$B1261,Tasks!$C:$C,$G1261)*100,0),"")</f>
        <v/>
      </c>
    </row>
    <row r="1262" spans="1:8" ht="15" customHeight="1">
      <c r="A1262" t="s">
        <v>97</v>
      </c>
      <c r="B1262" t="s">
        <v>99</v>
      </c>
      <c r="C1262">
        <v>13</v>
      </c>
      <c r="D1262">
        <v>3</v>
      </c>
      <c r="E1262">
        <v>4</v>
      </c>
      <c r="F1262">
        <v>5</v>
      </c>
      <c r="G1262" t="s">
        <v>119</v>
      </c>
      <c r="H1262" t="str">
        <f>IFERROR(ROUND(COUNTIFS(Tasks!$A:$A,$A1262,Tasks!$B:$B,$B1262,Tasks!$C:$C,$G1262,Tasks!$I:$I,"&lt;="&amp;INDEX(Weeks!$D:$D,MATCH($C1262,Weeks!$A:$A,0)),Tasks!$I:$I,"&lt;&gt;")/COUNTIFS(Tasks!$A:$A,$A1262,Tasks!$B:$B,$B1262,Tasks!$C:$C,$G1262)*100,0),"")</f>
        <v/>
      </c>
    </row>
    <row r="1263" spans="1:8" ht="15" customHeight="1">
      <c r="A1263" t="s">
        <v>97</v>
      </c>
      <c r="B1263" t="s">
        <v>99</v>
      </c>
      <c r="C1263">
        <v>14</v>
      </c>
      <c r="D1263">
        <v>4</v>
      </c>
      <c r="E1263">
        <v>1</v>
      </c>
      <c r="F1263">
        <v>5</v>
      </c>
      <c r="G1263" t="s">
        <v>119</v>
      </c>
      <c r="H1263" t="str">
        <f>IFERROR(ROUND(COUNTIFS(Tasks!$A:$A,$A1263,Tasks!$B:$B,$B1263,Tasks!$C:$C,$G1263,Tasks!$I:$I,"&lt;="&amp;INDEX(Weeks!$D:$D,MATCH($C1263,Weeks!$A:$A,0)),Tasks!$I:$I,"&lt;&gt;")/COUNTIFS(Tasks!$A:$A,$A1263,Tasks!$B:$B,$B1263,Tasks!$C:$C,$G1263)*100,0),"")</f>
        <v/>
      </c>
    </row>
    <row r="1264" spans="1:8" ht="15" customHeight="1">
      <c r="A1264" t="s">
        <v>97</v>
      </c>
      <c r="B1264" t="s">
        <v>99</v>
      </c>
      <c r="C1264">
        <v>15</v>
      </c>
      <c r="D1264">
        <v>4</v>
      </c>
      <c r="E1264">
        <v>2</v>
      </c>
      <c r="F1264">
        <v>5</v>
      </c>
      <c r="G1264" t="s">
        <v>119</v>
      </c>
      <c r="H1264" t="str">
        <f>IFERROR(ROUND(COUNTIFS(Tasks!$A:$A,$A1264,Tasks!$B:$B,$B1264,Tasks!$C:$C,$G1264,Tasks!$I:$I,"&lt;="&amp;INDEX(Weeks!$D:$D,MATCH($C1264,Weeks!$A:$A,0)),Tasks!$I:$I,"&lt;&gt;")/COUNTIFS(Tasks!$A:$A,$A1264,Tasks!$B:$B,$B1264,Tasks!$C:$C,$G1264)*100,0),"")</f>
        <v/>
      </c>
    </row>
    <row r="1265" spans="1:8" ht="15" customHeight="1">
      <c r="A1265" t="s">
        <v>97</v>
      </c>
      <c r="B1265" t="s">
        <v>99</v>
      </c>
      <c r="C1265">
        <v>16</v>
      </c>
      <c r="D1265">
        <v>4</v>
      </c>
      <c r="E1265">
        <v>3</v>
      </c>
      <c r="F1265">
        <v>5</v>
      </c>
      <c r="G1265" t="s">
        <v>119</v>
      </c>
      <c r="H1265" t="str">
        <f>IFERROR(ROUND(COUNTIFS(Tasks!$A:$A,$A1265,Tasks!$B:$B,$B1265,Tasks!$C:$C,$G1265,Tasks!$I:$I,"&lt;="&amp;INDEX(Weeks!$D:$D,MATCH($C1265,Weeks!$A:$A,0)),Tasks!$I:$I,"&lt;&gt;")/COUNTIFS(Tasks!$A:$A,$A1265,Tasks!$B:$B,$B1265,Tasks!$C:$C,$G1265)*100,0),"")</f>
        <v/>
      </c>
    </row>
    <row r="1266" spans="1:8" ht="15" customHeight="1">
      <c r="A1266" t="s">
        <v>97</v>
      </c>
      <c r="B1266" t="s">
        <v>99</v>
      </c>
      <c r="C1266">
        <v>17</v>
      </c>
      <c r="D1266">
        <v>4</v>
      </c>
      <c r="E1266">
        <v>4</v>
      </c>
      <c r="F1266">
        <v>5</v>
      </c>
      <c r="G1266" t="s">
        <v>119</v>
      </c>
      <c r="H1266" t="str">
        <f>IFERROR(ROUND(COUNTIFS(Tasks!$A:$A,$A1266,Tasks!$B:$B,$B1266,Tasks!$C:$C,$G1266,Tasks!$I:$I,"&lt;="&amp;INDEX(Weeks!$D:$D,MATCH($C1266,Weeks!$A:$A,0)),Tasks!$I:$I,"&lt;&gt;")/COUNTIFS(Tasks!$A:$A,$A1266,Tasks!$B:$B,$B1266,Tasks!$C:$C,$G1266)*100,0),"")</f>
        <v/>
      </c>
    </row>
    <row r="1267" spans="1:8" ht="15" customHeight="1">
      <c r="A1267" t="s">
        <v>97</v>
      </c>
      <c r="B1267" t="s">
        <v>99</v>
      </c>
      <c r="C1267">
        <v>18</v>
      </c>
      <c r="D1267">
        <v>5</v>
      </c>
      <c r="E1267">
        <v>1</v>
      </c>
      <c r="F1267">
        <v>5</v>
      </c>
      <c r="G1267" t="s">
        <v>119</v>
      </c>
      <c r="H1267" t="str">
        <f>IFERROR(ROUND(COUNTIFS(Tasks!$A:$A,$A1267,Tasks!$B:$B,$B1267,Tasks!$C:$C,$G1267,Tasks!$I:$I,"&lt;="&amp;INDEX(Weeks!$D:$D,MATCH($C1267,Weeks!$A:$A,0)),Tasks!$I:$I,"&lt;&gt;")/COUNTIFS(Tasks!$A:$A,$A1267,Tasks!$B:$B,$B1267,Tasks!$C:$C,$G1267)*100,0),"")</f>
        <v/>
      </c>
    </row>
    <row r="1268" spans="1:8" ht="15" customHeight="1">
      <c r="A1268" t="s">
        <v>97</v>
      </c>
      <c r="B1268" t="s">
        <v>99</v>
      </c>
      <c r="C1268">
        <v>19</v>
      </c>
      <c r="D1268">
        <v>5</v>
      </c>
      <c r="E1268">
        <v>2</v>
      </c>
      <c r="F1268">
        <v>5</v>
      </c>
      <c r="G1268" t="s">
        <v>119</v>
      </c>
      <c r="H1268" t="str">
        <f>IFERROR(ROUND(COUNTIFS(Tasks!$A:$A,$A1268,Tasks!$B:$B,$B1268,Tasks!$C:$C,$G1268,Tasks!$I:$I,"&lt;="&amp;INDEX(Weeks!$D:$D,MATCH($C1268,Weeks!$A:$A,0)),Tasks!$I:$I,"&lt;&gt;")/COUNTIFS(Tasks!$A:$A,$A1268,Tasks!$B:$B,$B1268,Tasks!$C:$C,$G1268)*100,0),"")</f>
        <v/>
      </c>
    </row>
    <row r="1269" spans="1:8" ht="15" customHeight="1">
      <c r="A1269" t="s">
        <v>97</v>
      </c>
      <c r="B1269" t="s">
        <v>99</v>
      </c>
      <c r="C1269">
        <v>20</v>
      </c>
      <c r="D1269">
        <v>5</v>
      </c>
      <c r="E1269">
        <v>3</v>
      </c>
      <c r="F1269">
        <v>5</v>
      </c>
      <c r="G1269" t="s">
        <v>119</v>
      </c>
      <c r="H1269" t="str">
        <f>IFERROR(ROUND(COUNTIFS(Tasks!$A:$A,$A1269,Tasks!$B:$B,$B1269,Tasks!$C:$C,$G1269,Tasks!$I:$I,"&lt;="&amp;INDEX(Weeks!$D:$D,MATCH($C1269,Weeks!$A:$A,0)),Tasks!$I:$I,"&lt;&gt;")/COUNTIFS(Tasks!$A:$A,$A1269,Tasks!$B:$B,$B1269,Tasks!$C:$C,$G1269)*100,0),"")</f>
        <v/>
      </c>
    </row>
    <row r="1270" spans="1:8" ht="15" customHeight="1">
      <c r="A1270" t="s">
        <v>97</v>
      </c>
      <c r="B1270" t="s">
        <v>99</v>
      </c>
      <c r="C1270">
        <v>21</v>
      </c>
      <c r="D1270">
        <v>5</v>
      </c>
      <c r="E1270">
        <v>4</v>
      </c>
      <c r="F1270">
        <v>5</v>
      </c>
      <c r="G1270" t="s">
        <v>119</v>
      </c>
      <c r="H1270" t="str">
        <f>IFERROR(ROUND(COUNTIFS(Tasks!$A:$A,$A1270,Tasks!$B:$B,$B1270,Tasks!$C:$C,$G1270,Tasks!$I:$I,"&lt;="&amp;INDEX(Weeks!$D:$D,MATCH($C1270,Weeks!$A:$A,0)),Tasks!$I:$I,"&lt;&gt;")/COUNTIFS(Tasks!$A:$A,$A1270,Tasks!$B:$B,$B1270,Tasks!$C:$C,$G1270)*100,0),"")</f>
        <v/>
      </c>
    </row>
    <row r="1271" spans="1:8" ht="15" customHeight="1">
      <c r="A1271" t="s">
        <v>97</v>
      </c>
      <c r="B1271" t="s">
        <v>99</v>
      </c>
      <c r="C1271">
        <v>22</v>
      </c>
      <c r="D1271">
        <v>5</v>
      </c>
      <c r="E1271">
        <v>5</v>
      </c>
      <c r="F1271">
        <v>5</v>
      </c>
      <c r="G1271" t="s">
        <v>119</v>
      </c>
      <c r="H1271" t="str">
        <f>IFERROR(ROUND(COUNTIFS(Tasks!$A:$A,$A1271,Tasks!$B:$B,$B1271,Tasks!$C:$C,$G1271,Tasks!$I:$I,"&lt;="&amp;INDEX(Weeks!$D:$D,MATCH($C1271,Weeks!$A:$A,0)),Tasks!$I:$I,"&lt;&gt;")/COUNTIFS(Tasks!$A:$A,$A1271,Tasks!$B:$B,$B1271,Tasks!$C:$C,$G1271)*100,0),"")</f>
        <v/>
      </c>
    </row>
    <row r="1272" spans="1:8" ht="15" customHeight="1">
      <c r="A1272" t="s">
        <v>97</v>
      </c>
      <c r="B1272" t="s">
        <v>99</v>
      </c>
      <c r="C1272">
        <v>23</v>
      </c>
      <c r="D1272">
        <v>6</v>
      </c>
      <c r="E1272">
        <v>1</v>
      </c>
      <c r="F1272">
        <v>5</v>
      </c>
      <c r="G1272" t="s">
        <v>119</v>
      </c>
      <c r="H1272" t="str">
        <f>IFERROR(ROUND(COUNTIFS(Tasks!$A:$A,$A1272,Tasks!$B:$B,$B1272,Tasks!$C:$C,$G1272,Tasks!$I:$I,"&lt;="&amp;INDEX(Weeks!$D:$D,MATCH($C1272,Weeks!$A:$A,0)),Tasks!$I:$I,"&lt;&gt;")/COUNTIFS(Tasks!$A:$A,$A1272,Tasks!$B:$B,$B1272,Tasks!$C:$C,$G1272)*100,0),"")</f>
        <v/>
      </c>
    </row>
    <row r="1273" spans="1:8" ht="15" customHeight="1">
      <c r="A1273" t="s">
        <v>97</v>
      </c>
      <c r="B1273" t="s">
        <v>99</v>
      </c>
      <c r="C1273">
        <v>24</v>
      </c>
      <c r="D1273">
        <v>6</v>
      </c>
      <c r="E1273">
        <v>2</v>
      </c>
      <c r="F1273">
        <v>5</v>
      </c>
      <c r="G1273" t="s">
        <v>119</v>
      </c>
      <c r="H1273" t="str">
        <f>IFERROR(ROUND(COUNTIFS(Tasks!$A:$A,$A1273,Tasks!$B:$B,$B1273,Tasks!$C:$C,$G1273,Tasks!$I:$I,"&lt;="&amp;INDEX(Weeks!$D:$D,MATCH($C1273,Weeks!$A:$A,0)),Tasks!$I:$I,"&lt;&gt;")/COUNTIFS(Tasks!$A:$A,$A1273,Tasks!$B:$B,$B1273,Tasks!$C:$C,$G1273)*100,0),"")</f>
        <v/>
      </c>
    </row>
    <row r="1274" spans="1:8" ht="15" customHeight="1">
      <c r="A1274" t="s">
        <v>97</v>
      </c>
      <c r="B1274" t="s">
        <v>99</v>
      </c>
      <c r="C1274">
        <v>25</v>
      </c>
      <c r="D1274">
        <v>6</v>
      </c>
      <c r="E1274">
        <v>3</v>
      </c>
      <c r="F1274">
        <v>5</v>
      </c>
      <c r="G1274" t="s">
        <v>119</v>
      </c>
      <c r="H1274" t="str">
        <f>IFERROR(ROUND(COUNTIFS(Tasks!$A:$A,$A1274,Tasks!$B:$B,$B1274,Tasks!$C:$C,$G1274,Tasks!$I:$I,"&lt;="&amp;INDEX(Weeks!$D:$D,MATCH($C1274,Weeks!$A:$A,0)),Tasks!$I:$I,"&lt;&gt;")/COUNTIFS(Tasks!$A:$A,$A1274,Tasks!$B:$B,$B1274,Tasks!$C:$C,$G1274)*100,0),"")</f>
        <v/>
      </c>
    </row>
    <row r="1275" spans="1:8" ht="15" customHeight="1">
      <c r="A1275" t="s">
        <v>97</v>
      </c>
      <c r="B1275" t="s">
        <v>99</v>
      </c>
      <c r="C1275">
        <v>26</v>
      </c>
      <c r="D1275">
        <v>6</v>
      </c>
      <c r="E1275">
        <v>4</v>
      </c>
      <c r="F1275">
        <v>5</v>
      </c>
      <c r="G1275" t="s">
        <v>119</v>
      </c>
      <c r="H1275" t="str">
        <f>IFERROR(ROUND(COUNTIFS(Tasks!$A:$A,$A1275,Tasks!$B:$B,$B1275,Tasks!$C:$C,$G1275,Tasks!$I:$I,"&lt;="&amp;INDEX(Weeks!$D:$D,MATCH($C1275,Weeks!$A:$A,0)),Tasks!$I:$I,"&lt;&gt;")/COUNTIFS(Tasks!$A:$A,$A1275,Tasks!$B:$B,$B1275,Tasks!$C:$C,$G1275)*100,0),"")</f>
        <v/>
      </c>
    </row>
    <row r="1276" spans="1:8" ht="15" customHeight="1">
      <c r="A1276" t="s">
        <v>97</v>
      </c>
      <c r="B1276" t="s">
        <v>99</v>
      </c>
      <c r="C1276">
        <v>27</v>
      </c>
      <c r="D1276">
        <v>7</v>
      </c>
      <c r="E1276">
        <v>1</v>
      </c>
      <c r="F1276">
        <v>5</v>
      </c>
      <c r="G1276" t="s">
        <v>119</v>
      </c>
      <c r="H1276" t="str">
        <f>IFERROR(ROUND(COUNTIFS(Tasks!$A:$A,$A1276,Tasks!$B:$B,$B1276,Tasks!$C:$C,$G1276,Tasks!$I:$I,"&lt;="&amp;INDEX(Weeks!$D:$D,MATCH($C1276,Weeks!$A:$A,0)),Tasks!$I:$I,"&lt;&gt;")/COUNTIFS(Tasks!$A:$A,$A1276,Tasks!$B:$B,$B1276,Tasks!$C:$C,$G1276)*100,0),"")</f>
        <v/>
      </c>
    </row>
    <row r="1277" spans="1:8" ht="15" customHeight="1">
      <c r="A1277" t="s">
        <v>97</v>
      </c>
      <c r="B1277" t="s">
        <v>99</v>
      </c>
      <c r="C1277">
        <v>28</v>
      </c>
      <c r="D1277">
        <v>7</v>
      </c>
      <c r="E1277">
        <v>2</v>
      </c>
      <c r="F1277">
        <v>5</v>
      </c>
      <c r="G1277" t="s">
        <v>119</v>
      </c>
      <c r="H1277" t="str">
        <f>IFERROR(ROUND(COUNTIFS(Tasks!$A:$A,$A1277,Tasks!$B:$B,$B1277,Tasks!$C:$C,$G1277,Tasks!$I:$I,"&lt;="&amp;INDEX(Weeks!$D:$D,MATCH($C1277,Weeks!$A:$A,0)),Tasks!$I:$I,"&lt;&gt;")/COUNTIFS(Tasks!$A:$A,$A1277,Tasks!$B:$B,$B1277,Tasks!$C:$C,$G1277)*100,0),"")</f>
        <v/>
      </c>
    </row>
    <row r="1278" spans="1:8" ht="15" customHeight="1">
      <c r="A1278" t="s">
        <v>97</v>
      </c>
      <c r="B1278" t="s">
        <v>99</v>
      </c>
      <c r="C1278">
        <v>29</v>
      </c>
      <c r="D1278">
        <v>7</v>
      </c>
      <c r="E1278">
        <v>3</v>
      </c>
      <c r="F1278">
        <v>5</v>
      </c>
      <c r="G1278" t="s">
        <v>119</v>
      </c>
      <c r="H1278" t="str">
        <f>IFERROR(ROUND(COUNTIFS(Tasks!$A:$A,$A1278,Tasks!$B:$B,$B1278,Tasks!$C:$C,$G1278,Tasks!$I:$I,"&lt;="&amp;INDEX(Weeks!$D:$D,MATCH($C1278,Weeks!$A:$A,0)),Tasks!$I:$I,"&lt;&gt;")/COUNTIFS(Tasks!$A:$A,$A1278,Tasks!$B:$B,$B1278,Tasks!$C:$C,$G1278)*100,0),"")</f>
        <v/>
      </c>
    </row>
    <row r="1279" spans="1:8" ht="15" customHeight="1">
      <c r="A1279" t="s">
        <v>97</v>
      </c>
      <c r="B1279" t="s">
        <v>99</v>
      </c>
      <c r="C1279">
        <v>30</v>
      </c>
      <c r="D1279">
        <v>7</v>
      </c>
      <c r="E1279">
        <v>4</v>
      </c>
      <c r="F1279">
        <v>5</v>
      </c>
      <c r="G1279" t="s">
        <v>119</v>
      </c>
      <c r="H1279" t="str">
        <f>IFERROR(ROUND(COUNTIFS(Tasks!$A:$A,$A1279,Tasks!$B:$B,$B1279,Tasks!$C:$C,$G1279,Tasks!$I:$I,"&lt;="&amp;INDEX(Weeks!$D:$D,MATCH($C1279,Weeks!$A:$A,0)),Tasks!$I:$I,"&lt;&gt;")/COUNTIFS(Tasks!$A:$A,$A1279,Tasks!$B:$B,$B1279,Tasks!$C:$C,$G1279)*100,0),"")</f>
        <v/>
      </c>
    </row>
    <row r="1280" spans="1:8" ht="15" customHeight="1">
      <c r="A1280" t="s">
        <v>97</v>
      </c>
      <c r="B1280" t="s">
        <v>99</v>
      </c>
      <c r="C1280">
        <v>31</v>
      </c>
      <c r="D1280">
        <v>8</v>
      </c>
      <c r="E1280">
        <v>1</v>
      </c>
      <c r="F1280">
        <v>5</v>
      </c>
      <c r="G1280" t="s">
        <v>119</v>
      </c>
      <c r="H1280" t="str">
        <f>IFERROR(ROUND(COUNTIFS(Tasks!$A:$A,$A1280,Tasks!$B:$B,$B1280,Tasks!$C:$C,$G1280,Tasks!$I:$I,"&lt;="&amp;INDEX(Weeks!$D:$D,MATCH($C1280,Weeks!$A:$A,0)),Tasks!$I:$I,"&lt;&gt;")/COUNTIFS(Tasks!$A:$A,$A1280,Tasks!$B:$B,$B1280,Tasks!$C:$C,$G1280)*100,0),"")</f>
        <v/>
      </c>
    </row>
    <row r="1281" spans="1:8" ht="15" customHeight="1">
      <c r="A1281" t="s">
        <v>97</v>
      </c>
      <c r="B1281" t="s">
        <v>99</v>
      </c>
      <c r="C1281">
        <v>32</v>
      </c>
      <c r="D1281">
        <v>8</v>
      </c>
      <c r="E1281">
        <v>2</v>
      </c>
      <c r="F1281">
        <v>5</v>
      </c>
      <c r="G1281" t="s">
        <v>119</v>
      </c>
      <c r="H1281" t="str">
        <f>IFERROR(ROUND(COUNTIFS(Tasks!$A:$A,$A1281,Tasks!$B:$B,$B1281,Tasks!$C:$C,$G1281,Tasks!$I:$I,"&lt;="&amp;INDEX(Weeks!$D:$D,MATCH($C1281,Weeks!$A:$A,0)),Tasks!$I:$I,"&lt;&gt;")/COUNTIFS(Tasks!$A:$A,$A1281,Tasks!$B:$B,$B1281,Tasks!$C:$C,$G1281)*100,0),"")</f>
        <v/>
      </c>
    </row>
    <row r="1282" spans="1:8" ht="15" customHeight="1">
      <c r="A1282" t="s">
        <v>97</v>
      </c>
      <c r="B1282" t="s">
        <v>99</v>
      </c>
      <c r="C1282">
        <v>33</v>
      </c>
      <c r="D1282">
        <v>8</v>
      </c>
      <c r="E1282">
        <v>3</v>
      </c>
      <c r="F1282">
        <v>5</v>
      </c>
      <c r="G1282" t="s">
        <v>119</v>
      </c>
      <c r="H1282" t="str">
        <f>IFERROR(ROUND(COUNTIFS(Tasks!$A:$A,$A1282,Tasks!$B:$B,$B1282,Tasks!$C:$C,$G1282,Tasks!$I:$I,"&lt;="&amp;INDEX(Weeks!$D:$D,MATCH($C1282,Weeks!$A:$A,0)),Tasks!$I:$I,"&lt;&gt;")/COUNTIFS(Tasks!$A:$A,$A1282,Tasks!$B:$B,$B1282,Tasks!$C:$C,$G1282)*100,0),"")</f>
        <v/>
      </c>
    </row>
    <row r="1283" spans="1:8" ht="15" customHeight="1">
      <c r="A1283" t="s">
        <v>97</v>
      </c>
      <c r="B1283" t="s">
        <v>99</v>
      </c>
      <c r="C1283">
        <v>34</v>
      </c>
      <c r="D1283">
        <v>8</v>
      </c>
      <c r="E1283">
        <v>4</v>
      </c>
      <c r="F1283">
        <v>5</v>
      </c>
      <c r="G1283" t="s">
        <v>119</v>
      </c>
      <c r="H1283" t="str">
        <f>IFERROR(ROUND(COUNTIFS(Tasks!$A:$A,$A1283,Tasks!$B:$B,$B1283,Tasks!$C:$C,$G1283,Tasks!$I:$I,"&lt;="&amp;INDEX(Weeks!$D:$D,MATCH($C1283,Weeks!$A:$A,0)),Tasks!$I:$I,"&lt;&gt;")/COUNTIFS(Tasks!$A:$A,$A1283,Tasks!$B:$B,$B1283,Tasks!$C:$C,$G1283)*100,0),"")</f>
        <v/>
      </c>
    </row>
    <row r="1284" spans="1:8" ht="15" customHeight="1">
      <c r="A1284" t="s">
        <v>97</v>
      </c>
      <c r="B1284" t="s">
        <v>99</v>
      </c>
      <c r="C1284">
        <v>35</v>
      </c>
      <c r="D1284">
        <v>8</v>
      </c>
      <c r="E1284">
        <v>5</v>
      </c>
      <c r="F1284">
        <v>5</v>
      </c>
      <c r="G1284" t="s">
        <v>119</v>
      </c>
      <c r="H1284" t="str">
        <f>IFERROR(ROUND(COUNTIFS(Tasks!$A:$A,$A1284,Tasks!$B:$B,$B1284,Tasks!$C:$C,$G1284,Tasks!$I:$I,"&lt;="&amp;INDEX(Weeks!$D:$D,MATCH($C1284,Weeks!$A:$A,0)),Tasks!$I:$I,"&lt;&gt;")/COUNTIFS(Tasks!$A:$A,$A1284,Tasks!$B:$B,$B1284,Tasks!$C:$C,$G1284)*100,0),"")</f>
        <v/>
      </c>
    </row>
    <row r="1285" spans="1:8" ht="15" customHeight="1">
      <c r="A1285" t="s">
        <v>97</v>
      </c>
      <c r="B1285" t="s">
        <v>99</v>
      </c>
      <c r="C1285">
        <v>36</v>
      </c>
      <c r="D1285">
        <v>9</v>
      </c>
      <c r="E1285">
        <v>1</v>
      </c>
      <c r="F1285">
        <v>5</v>
      </c>
      <c r="G1285" t="s">
        <v>119</v>
      </c>
      <c r="H1285" t="str">
        <f>IFERROR(ROUND(COUNTIFS(Tasks!$A:$A,$A1285,Tasks!$B:$B,$B1285,Tasks!$C:$C,$G1285,Tasks!$I:$I,"&lt;="&amp;INDEX(Weeks!$D:$D,MATCH($C1285,Weeks!$A:$A,0)),Tasks!$I:$I,"&lt;&gt;")/COUNTIFS(Tasks!$A:$A,$A1285,Tasks!$B:$B,$B1285,Tasks!$C:$C,$G1285)*100,0),"")</f>
        <v/>
      </c>
    </row>
    <row r="1286" spans="1:8" ht="15" customHeight="1">
      <c r="A1286" t="s">
        <v>97</v>
      </c>
      <c r="B1286" t="s">
        <v>99</v>
      </c>
      <c r="C1286">
        <v>37</v>
      </c>
      <c r="D1286">
        <v>9</v>
      </c>
      <c r="E1286">
        <v>2</v>
      </c>
      <c r="F1286">
        <v>5</v>
      </c>
      <c r="G1286" t="s">
        <v>119</v>
      </c>
      <c r="H1286" t="str">
        <f>IFERROR(ROUND(COUNTIFS(Tasks!$A:$A,$A1286,Tasks!$B:$B,$B1286,Tasks!$C:$C,$G1286,Tasks!$I:$I,"&lt;="&amp;INDEX(Weeks!$D:$D,MATCH($C1286,Weeks!$A:$A,0)),Tasks!$I:$I,"&lt;&gt;")/COUNTIFS(Tasks!$A:$A,$A1286,Tasks!$B:$B,$B1286,Tasks!$C:$C,$G1286)*100,0),"")</f>
        <v/>
      </c>
    </row>
    <row r="1287" spans="1:8" ht="15" customHeight="1">
      <c r="A1287" t="s">
        <v>97</v>
      </c>
      <c r="B1287" t="s">
        <v>99</v>
      </c>
      <c r="C1287">
        <v>38</v>
      </c>
      <c r="D1287">
        <v>9</v>
      </c>
      <c r="E1287">
        <v>3</v>
      </c>
      <c r="F1287">
        <v>5</v>
      </c>
      <c r="G1287" t="s">
        <v>119</v>
      </c>
      <c r="H1287" t="str">
        <f>IFERROR(ROUND(COUNTIFS(Tasks!$A:$A,$A1287,Tasks!$B:$B,$B1287,Tasks!$C:$C,$G1287,Tasks!$I:$I,"&lt;="&amp;INDEX(Weeks!$D:$D,MATCH($C1287,Weeks!$A:$A,0)),Tasks!$I:$I,"&lt;&gt;")/COUNTIFS(Tasks!$A:$A,$A1287,Tasks!$B:$B,$B1287,Tasks!$C:$C,$G1287)*100,0),"")</f>
        <v/>
      </c>
    </row>
    <row r="1288" spans="1:8" ht="15" customHeight="1">
      <c r="A1288" t="s">
        <v>97</v>
      </c>
      <c r="B1288" t="s">
        <v>99</v>
      </c>
      <c r="C1288">
        <v>39</v>
      </c>
      <c r="D1288">
        <v>9</v>
      </c>
      <c r="E1288">
        <v>4</v>
      </c>
      <c r="F1288">
        <v>5</v>
      </c>
      <c r="G1288" t="s">
        <v>119</v>
      </c>
      <c r="H1288" t="str">
        <f>IFERROR(ROUND(COUNTIFS(Tasks!$A:$A,$A1288,Tasks!$B:$B,$B1288,Tasks!$C:$C,$G1288,Tasks!$I:$I,"&lt;="&amp;INDEX(Weeks!$D:$D,MATCH($C1288,Weeks!$A:$A,0)),Tasks!$I:$I,"&lt;&gt;")/COUNTIFS(Tasks!$A:$A,$A1288,Tasks!$B:$B,$B1288,Tasks!$C:$C,$G1288)*100,0),"")</f>
        <v/>
      </c>
    </row>
    <row r="1289" spans="1:8" ht="15" customHeight="1">
      <c r="A1289" t="s">
        <v>97</v>
      </c>
      <c r="B1289" t="s">
        <v>99</v>
      </c>
      <c r="C1289">
        <v>40</v>
      </c>
      <c r="D1289">
        <v>10</v>
      </c>
      <c r="E1289">
        <v>1</v>
      </c>
      <c r="F1289">
        <v>5</v>
      </c>
      <c r="G1289" t="s">
        <v>119</v>
      </c>
      <c r="H1289" t="str">
        <f>IFERROR(ROUND(COUNTIFS(Tasks!$A:$A,$A1289,Tasks!$B:$B,$B1289,Tasks!$C:$C,$G1289,Tasks!$I:$I,"&lt;="&amp;INDEX(Weeks!$D:$D,MATCH($C1289,Weeks!$A:$A,0)),Tasks!$I:$I,"&lt;&gt;")/COUNTIFS(Tasks!$A:$A,$A1289,Tasks!$B:$B,$B1289,Tasks!$C:$C,$G1289)*100,0),"")</f>
        <v/>
      </c>
    </row>
    <row r="1290" spans="1:8" ht="15" customHeight="1">
      <c r="A1290" t="s">
        <v>97</v>
      </c>
      <c r="B1290" t="s">
        <v>99</v>
      </c>
      <c r="C1290">
        <v>41</v>
      </c>
      <c r="D1290">
        <v>10</v>
      </c>
      <c r="E1290">
        <v>2</v>
      </c>
      <c r="F1290">
        <v>5</v>
      </c>
      <c r="G1290" t="s">
        <v>119</v>
      </c>
      <c r="H1290" t="str">
        <f>IFERROR(ROUND(COUNTIFS(Tasks!$A:$A,$A1290,Tasks!$B:$B,$B1290,Tasks!$C:$C,$G1290,Tasks!$I:$I,"&lt;="&amp;INDEX(Weeks!$D:$D,MATCH($C1290,Weeks!$A:$A,0)),Tasks!$I:$I,"&lt;&gt;")/COUNTIFS(Tasks!$A:$A,$A1290,Tasks!$B:$B,$B1290,Tasks!$C:$C,$G1290)*100,0),"")</f>
        <v/>
      </c>
    </row>
    <row r="1291" spans="1:8" ht="15" customHeight="1">
      <c r="A1291" t="s">
        <v>97</v>
      </c>
      <c r="B1291" t="s">
        <v>99</v>
      </c>
      <c r="C1291">
        <v>42</v>
      </c>
      <c r="D1291">
        <v>10</v>
      </c>
      <c r="E1291">
        <v>3</v>
      </c>
      <c r="F1291">
        <v>5</v>
      </c>
      <c r="G1291" t="s">
        <v>119</v>
      </c>
      <c r="H1291" t="str">
        <f>IFERROR(ROUND(COUNTIFS(Tasks!$A:$A,$A1291,Tasks!$B:$B,$B1291,Tasks!$C:$C,$G1291,Tasks!$I:$I,"&lt;="&amp;INDEX(Weeks!$D:$D,MATCH($C1291,Weeks!$A:$A,0)),Tasks!$I:$I,"&lt;&gt;")/COUNTIFS(Tasks!$A:$A,$A1291,Tasks!$B:$B,$B1291,Tasks!$C:$C,$G1291)*100,0),"")</f>
        <v/>
      </c>
    </row>
    <row r="1292" spans="1:8" ht="15" customHeight="1">
      <c r="A1292" t="s">
        <v>97</v>
      </c>
      <c r="B1292" t="s">
        <v>99</v>
      </c>
      <c r="C1292">
        <v>43</v>
      </c>
      <c r="D1292">
        <v>10</v>
      </c>
      <c r="E1292">
        <v>4</v>
      </c>
      <c r="F1292">
        <v>5</v>
      </c>
      <c r="G1292" t="s">
        <v>119</v>
      </c>
      <c r="H1292" t="str">
        <f>IFERROR(ROUND(COUNTIFS(Tasks!$A:$A,$A1292,Tasks!$B:$B,$B1292,Tasks!$C:$C,$G1292,Tasks!$I:$I,"&lt;="&amp;INDEX(Weeks!$D:$D,MATCH($C1292,Weeks!$A:$A,0)),Tasks!$I:$I,"&lt;&gt;")/COUNTIFS(Tasks!$A:$A,$A1292,Tasks!$B:$B,$B1292,Tasks!$C:$C,$G1292)*100,0),"")</f>
        <v/>
      </c>
    </row>
    <row r="1293" spans="1:8" ht="15" customHeight="1">
      <c r="A1293" t="s">
        <v>97</v>
      </c>
      <c r="B1293" t="s">
        <v>99</v>
      </c>
      <c r="C1293">
        <v>44</v>
      </c>
      <c r="D1293">
        <v>10</v>
      </c>
      <c r="E1293">
        <v>5</v>
      </c>
      <c r="F1293">
        <v>5</v>
      </c>
      <c r="G1293" t="s">
        <v>119</v>
      </c>
      <c r="H1293" t="str">
        <f>IFERROR(ROUND(COUNTIFS(Tasks!$A:$A,$A1293,Tasks!$B:$B,$B1293,Tasks!$C:$C,$G1293,Tasks!$I:$I,"&lt;="&amp;INDEX(Weeks!$D:$D,MATCH($C1293,Weeks!$A:$A,0)),Tasks!$I:$I,"&lt;&gt;")/COUNTIFS(Tasks!$A:$A,$A1293,Tasks!$B:$B,$B1293,Tasks!$C:$C,$G1293)*100,0),"")</f>
        <v/>
      </c>
    </row>
    <row r="1294" spans="1:8" ht="15" customHeight="1">
      <c r="A1294" t="s">
        <v>97</v>
      </c>
      <c r="B1294" t="s">
        <v>99</v>
      </c>
      <c r="C1294">
        <v>45</v>
      </c>
      <c r="D1294">
        <v>11</v>
      </c>
      <c r="E1294">
        <v>1</v>
      </c>
      <c r="F1294">
        <v>5</v>
      </c>
      <c r="G1294" t="s">
        <v>119</v>
      </c>
      <c r="H1294" t="str">
        <f>IFERROR(ROUND(COUNTIFS(Tasks!$A:$A,$A1294,Tasks!$B:$B,$B1294,Tasks!$C:$C,$G1294,Tasks!$I:$I,"&lt;="&amp;INDEX(Weeks!$D:$D,MATCH($C1294,Weeks!$A:$A,0)),Tasks!$I:$I,"&lt;&gt;")/COUNTIFS(Tasks!$A:$A,$A1294,Tasks!$B:$B,$B1294,Tasks!$C:$C,$G1294)*100,0),"")</f>
        <v/>
      </c>
    </row>
    <row r="1295" spans="1:8" ht="15" customHeight="1">
      <c r="A1295" t="s">
        <v>97</v>
      </c>
      <c r="B1295" t="s">
        <v>99</v>
      </c>
      <c r="C1295">
        <v>46</v>
      </c>
      <c r="D1295">
        <v>11</v>
      </c>
      <c r="E1295">
        <v>2</v>
      </c>
      <c r="F1295">
        <v>5</v>
      </c>
      <c r="G1295" t="s">
        <v>119</v>
      </c>
      <c r="H1295" t="str">
        <f>IFERROR(ROUND(COUNTIFS(Tasks!$A:$A,$A1295,Tasks!$B:$B,$B1295,Tasks!$C:$C,$G1295,Tasks!$I:$I,"&lt;="&amp;INDEX(Weeks!$D:$D,MATCH($C1295,Weeks!$A:$A,0)),Tasks!$I:$I,"&lt;&gt;")/COUNTIFS(Tasks!$A:$A,$A1295,Tasks!$B:$B,$B1295,Tasks!$C:$C,$G1295)*100,0),"")</f>
        <v/>
      </c>
    </row>
    <row r="1296" spans="1:8" ht="15" customHeight="1">
      <c r="A1296" t="s">
        <v>97</v>
      </c>
      <c r="B1296" t="s">
        <v>99</v>
      </c>
      <c r="C1296">
        <v>47</v>
      </c>
      <c r="D1296">
        <v>11</v>
      </c>
      <c r="E1296">
        <v>3</v>
      </c>
      <c r="F1296">
        <v>5</v>
      </c>
      <c r="G1296" t="s">
        <v>119</v>
      </c>
      <c r="H1296" t="str">
        <f>IFERROR(ROUND(COUNTIFS(Tasks!$A:$A,$A1296,Tasks!$B:$B,$B1296,Tasks!$C:$C,$G1296,Tasks!$I:$I,"&lt;="&amp;INDEX(Weeks!$D:$D,MATCH($C1296,Weeks!$A:$A,0)),Tasks!$I:$I,"&lt;&gt;")/COUNTIFS(Tasks!$A:$A,$A1296,Tasks!$B:$B,$B1296,Tasks!$C:$C,$G1296)*100,0),"")</f>
        <v/>
      </c>
    </row>
    <row r="1297" spans="1:8" ht="15" customHeight="1">
      <c r="A1297" t="s">
        <v>97</v>
      </c>
      <c r="B1297" t="s">
        <v>99</v>
      </c>
      <c r="C1297">
        <v>48</v>
      </c>
      <c r="D1297">
        <v>11</v>
      </c>
      <c r="E1297">
        <v>4</v>
      </c>
      <c r="F1297">
        <v>5</v>
      </c>
      <c r="G1297" t="s">
        <v>119</v>
      </c>
      <c r="H1297" t="str">
        <f>IFERROR(ROUND(COUNTIFS(Tasks!$A:$A,$A1297,Tasks!$B:$B,$B1297,Tasks!$C:$C,$G1297,Tasks!$I:$I,"&lt;="&amp;INDEX(Weeks!$D:$D,MATCH($C1297,Weeks!$A:$A,0)),Tasks!$I:$I,"&lt;&gt;")/COUNTIFS(Tasks!$A:$A,$A1297,Tasks!$B:$B,$B1297,Tasks!$C:$C,$G1297)*100,0),"")</f>
        <v/>
      </c>
    </row>
    <row r="1298" spans="1:8" ht="15" customHeight="1">
      <c r="A1298" t="s">
        <v>97</v>
      </c>
      <c r="B1298" t="s">
        <v>99</v>
      </c>
      <c r="C1298">
        <v>49</v>
      </c>
      <c r="D1298">
        <v>12</v>
      </c>
      <c r="E1298">
        <v>1</v>
      </c>
      <c r="F1298">
        <v>5</v>
      </c>
      <c r="G1298" t="s">
        <v>119</v>
      </c>
      <c r="H1298" t="str">
        <f>IFERROR(ROUND(COUNTIFS(Tasks!$A:$A,$A1298,Tasks!$B:$B,$B1298,Tasks!$C:$C,$G1298,Tasks!$I:$I,"&lt;="&amp;INDEX(Weeks!$D:$D,MATCH($C1298,Weeks!$A:$A,0)),Tasks!$I:$I,"&lt;&gt;")/COUNTIFS(Tasks!$A:$A,$A1298,Tasks!$B:$B,$B1298,Tasks!$C:$C,$G1298)*100,0),"")</f>
        <v/>
      </c>
    </row>
    <row r="1299" spans="1:8" ht="15" customHeight="1">
      <c r="A1299" t="s">
        <v>97</v>
      </c>
      <c r="B1299" t="s">
        <v>99</v>
      </c>
      <c r="C1299">
        <v>50</v>
      </c>
      <c r="D1299">
        <v>12</v>
      </c>
      <c r="E1299">
        <v>2</v>
      </c>
      <c r="F1299">
        <v>5</v>
      </c>
      <c r="G1299" t="s">
        <v>119</v>
      </c>
      <c r="H1299" t="str">
        <f>IFERROR(ROUND(COUNTIFS(Tasks!$A:$A,$A1299,Tasks!$B:$B,$B1299,Tasks!$C:$C,$G1299,Tasks!$I:$I,"&lt;="&amp;INDEX(Weeks!$D:$D,MATCH($C1299,Weeks!$A:$A,0)),Tasks!$I:$I,"&lt;&gt;")/COUNTIFS(Tasks!$A:$A,$A1299,Tasks!$B:$B,$B1299,Tasks!$C:$C,$G1299)*100,0),"")</f>
        <v/>
      </c>
    </row>
    <row r="1300" spans="1:8" ht="15" customHeight="1">
      <c r="A1300" t="s">
        <v>97</v>
      </c>
      <c r="B1300" t="s">
        <v>99</v>
      </c>
      <c r="C1300">
        <v>51</v>
      </c>
      <c r="D1300">
        <v>12</v>
      </c>
      <c r="E1300">
        <v>3</v>
      </c>
      <c r="F1300">
        <v>5</v>
      </c>
      <c r="G1300" t="s">
        <v>119</v>
      </c>
      <c r="H1300" t="str">
        <f>IFERROR(ROUND(COUNTIFS(Tasks!$A:$A,$A1300,Tasks!$B:$B,$B1300,Tasks!$C:$C,$G1300,Tasks!$I:$I,"&lt;="&amp;INDEX(Weeks!$D:$D,MATCH($C1300,Weeks!$A:$A,0)),Tasks!$I:$I,"&lt;&gt;")/COUNTIFS(Tasks!$A:$A,$A1300,Tasks!$B:$B,$B1300,Tasks!$C:$C,$G1300)*100,0),"")</f>
        <v/>
      </c>
    </row>
    <row r="1301" spans="1:8" ht="15" customHeight="1">
      <c r="A1301" t="s">
        <v>97</v>
      </c>
      <c r="B1301" t="s">
        <v>99</v>
      </c>
      <c r="C1301">
        <v>52</v>
      </c>
      <c r="D1301">
        <v>12</v>
      </c>
      <c r="E1301">
        <v>4</v>
      </c>
      <c r="F1301">
        <v>5</v>
      </c>
      <c r="G1301" t="s">
        <v>119</v>
      </c>
      <c r="H1301" t="str">
        <f>IFERROR(ROUND(COUNTIFS(Tasks!$A:$A,$A1301,Tasks!$B:$B,$B1301,Tasks!$C:$C,$G1301,Tasks!$I:$I,"&lt;="&amp;INDEX(Weeks!$D:$D,MATCH($C1301,Weeks!$A:$A,0)),Tasks!$I:$I,"&lt;&gt;")/COUNTIFS(Tasks!$A:$A,$A1301,Tasks!$B:$B,$B1301,Tasks!$C:$C,$G1301)*100,0),"")</f>
        <v/>
      </c>
    </row>
    <row r="1302" spans="1:8" ht="15" hidden="1" customHeight="1">
      <c r="A1302" t="s">
        <v>97</v>
      </c>
      <c r="B1302" t="s">
        <v>100</v>
      </c>
      <c r="C1302">
        <v>1</v>
      </c>
      <c r="D1302">
        <v>1</v>
      </c>
      <c r="E1302">
        <v>1</v>
      </c>
      <c r="F1302">
        <v>1</v>
      </c>
      <c r="G1302" t="s">
        <v>115</v>
      </c>
      <c r="H1302" t="str">
        <f>IFERROR(ROUND(COUNTIFS(Tasks!$A:$A,$A1302,Tasks!$B:$B,$B1302,Tasks!$C:$C,$G1302,Tasks!$I:$I,"&lt;="&amp;INDEX(Weeks!$D:$D,MATCH($C1302,Weeks!$A:$A,0)),Tasks!$I:$I,"&lt;&gt;")/COUNTIFS(Tasks!$A:$A,$A1302,Tasks!$B:$B,$B1302,Tasks!$C:$C,$G1302)*100,0),"")</f>
        <v/>
      </c>
    </row>
    <row r="1303" spans="1:8" ht="15" hidden="1" customHeight="1">
      <c r="A1303" t="s">
        <v>97</v>
      </c>
      <c r="B1303" t="s">
        <v>100</v>
      </c>
      <c r="C1303">
        <v>2</v>
      </c>
      <c r="D1303">
        <v>1</v>
      </c>
      <c r="E1303">
        <v>2</v>
      </c>
      <c r="F1303">
        <v>1</v>
      </c>
      <c r="G1303" t="s">
        <v>115</v>
      </c>
      <c r="H1303" t="str">
        <f>IFERROR(ROUND(COUNTIFS(Tasks!$A:$A,$A1303,Tasks!$B:$B,$B1303,Tasks!$C:$C,$G1303,Tasks!$I:$I,"&lt;="&amp;INDEX(Weeks!$D:$D,MATCH($C1303,Weeks!$A:$A,0)),Tasks!$I:$I,"&lt;&gt;")/COUNTIFS(Tasks!$A:$A,$A1303,Tasks!$B:$B,$B1303,Tasks!$C:$C,$G1303)*100,0),"")</f>
        <v/>
      </c>
    </row>
    <row r="1304" spans="1:8" ht="15" hidden="1" customHeight="1">
      <c r="A1304" t="s">
        <v>97</v>
      </c>
      <c r="B1304" t="s">
        <v>100</v>
      </c>
      <c r="C1304">
        <v>3</v>
      </c>
      <c r="D1304">
        <v>1</v>
      </c>
      <c r="E1304">
        <v>3</v>
      </c>
      <c r="F1304">
        <v>1</v>
      </c>
      <c r="G1304" t="s">
        <v>115</v>
      </c>
      <c r="H1304" t="str">
        <f>IFERROR(ROUND(COUNTIFS(Tasks!$A:$A,$A1304,Tasks!$B:$B,$B1304,Tasks!$C:$C,$G1304,Tasks!$I:$I,"&lt;="&amp;INDEX(Weeks!$D:$D,MATCH($C1304,Weeks!$A:$A,0)),Tasks!$I:$I,"&lt;&gt;")/COUNTIFS(Tasks!$A:$A,$A1304,Tasks!$B:$B,$B1304,Tasks!$C:$C,$G1304)*100,0),"")</f>
        <v/>
      </c>
    </row>
    <row r="1305" spans="1:8" ht="15" hidden="1" customHeight="1">
      <c r="A1305" t="s">
        <v>97</v>
      </c>
      <c r="B1305" t="s">
        <v>100</v>
      </c>
      <c r="C1305">
        <v>4</v>
      </c>
      <c r="D1305">
        <v>1</v>
      </c>
      <c r="E1305">
        <v>4</v>
      </c>
      <c r="F1305">
        <v>1</v>
      </c>
      <c r="G1305" t="s">
        <v>115</v>
      </c>
      <c r="H1305" t="str">
        <f>IFERROR(ROUND(COUNTIFS(Tasks!$A:$A,$A1305,Tasks!$B:$B,$B1305,Tasks!$C:$C,$G1305,Tasks!$I:$I,"&lt;="&amp;INDEX(Weeks!$D:$D,MATCH($C1305,Weeks!$A:$A,0)),Tasks!$I:$I,"&lt;&gt;")/COUNTIFS(Tasks!$A:$A,$A1305,Tasks!$B:$B,$B1305,Tasks!$C:$C,$G1305)*100,0),"")</f>
        <v/>
      </c>
    </row>
    <row r="1306" spans="1:8" ht="15" hidden="1" customHeight="1">
      <c r="A1306" t="s">
        <v>97</v>
      </c>
      <c r="B1306" t="s">
        <v>100</v>
      </c>
      <c r="C1306">
        <v>5</v>
      </c>
      <c r="D1306">
        <v>1</v>
      </c>
      <c r="E1306">
        <v>5</v>
      </c>
      <c r="F1306">
        <v>1</v>
      </c>
      <c r="G1306" t="s">
        <v>115</v>
      </c>
      <c r="H1306" t="str">
        <f>IFERROR(ROUND(COUNTIFS(Tasks!$A:$A,$A1306,Tasks!$B:$B,$B1306,Tasks!$C:$C,$G1306,Tasks!$I:$I,"&lt;="&amp;INDEX(Weeks!$D:$D,MATCH($C1306,Weeks!$A:$A,0)),Tasks!$I:$I,"&lt;&gt;")/COUNTIFS(Tasks!$A:$A,$A1306,Tasks!$B:$B,$B1306,Tasks!$C:$C,$G1306)*100,0),"")</f>
        <v/>
      </c>
    </row>
    <row r="1307" spans="1:8" ht="15" hidden="1" customHeight="1">
      <c r="A1307" t="s">
        <v>97</v>
      </c>
      <c r="B1307" t="s">
        <v>100</v>
      </c>
      <c r="C1307">
        <v>6</v>
      </c>
      <c r="D1307">
        <v>2</v>
      </c>
      <c r="E1307">
        <v>1</v>
      </c>
      <c r="F1307">
        <v>1</v>
      </c>
      <c r="G1307" t="s">
        <v>115</v>
      </c>
      <c r="H1307" t="str">
        <f>IFERROR(ROUND(COUNTIFS(Tasks!$A:$A,$A1307,Tasks!$B:$B,$B1307,Tasks!$C:$C,$G1307,Tasks!$I:$I,"&lt;="&amp;INDEX(Weeks!$D:$D,MATCH($C1307,Weeks!$A:$A,0)),Tasks!$I:$I,"&lt;&gt;")/COUNTIFS(Tasks!$A:$A,$A1307,Tasks!$B:$B,$B1307,Tasks!$C:$C,$G1307)*100,0),"")</f>
        <v/>
      </c>
    </row>
    <row r="1308" spans="1:8" ht="15" hidden="1" customHeight="1">
      <c r="A1308" t="s">
        <v>97</v>
      </c>
      <c r="B1308" t="s">
        <v>100</v>
      </c>
      <c r="C1308">
        <v>7</v>
      </c>
      <c r="D1308">
        <v>2</v>
      </c>
      <c r="E1308">
        <v>2</v>
      </c>
      <c r="F1308">
        <v>1</v>
      </c>
      <c r="G1308" t="s">
        <v>115</v>
      </c>
      <c r="H1308" t="str">
        <f>IFERROR(ROUND(COUNTIFS(Tasks!$A:$A,$A1308,Tasks!$B:$B,$B1308,Tasks!$C:$C,$G1308,Tasks!$I:$I,"&lt;="&amp;INDEX(Weeks!$D:$D,MATCH($C1308,Weeks!$A:$A,0)),Tasks!$I:$I,"&lt;&gt;")/COUNTIFS(Tasks!$A:$A,$A1308,Tasks!$B:$B,$B1308,Tasks!$C:$C,$G1308)*100,0),"")</f>
        <v/>
      </c>
    </row>
    <row r="1309" spans="1:8" ht="15" hidden="1" customHeight="1">
      <c r="A1309" t="s">
        <v>97</v>
      </c>
      <c r="B1309" t="s">
        <v>100</v>
      </c>
      <c r="C1309">
        <v>8</v>
      </c>
      <c r="D1309">
        <v>2</v>
      </c>
      <c r="E1309">
        <v>3</v>
      </c>
      <c r="F1309">
        <v>1</v>
      </c>
      <c r="G1309" t="s">
        <v>115</v>
      </c>
      <c r="H1309" t="str">
        <f>IFERROR(ROUND(COUNTIFS(Tasks!$A:$A,$A1309,Tasks!$B:$B,$B1309,Tasks!$C:$C,$G1309,Tasks!$I:$I,"&lt;="&amp;INDEX(Weeks!$D:$D,MATCH($C1309,Weeks!$A:$A,0)),Tasks!$I:$I,"&lt;&gt;")/COUNTIFS(Tasks!$A:$A,$A1309,Tasks!$B:$B,$B1309,Tasks!$C:$C,$G1309)*100,0),"")</f>
        <v/>
      </c>
    </row>
    <row r="1310" spans="1:8" ht="15" hidden="1" customHeight="1">
      <c r="A1310" t="s">
        <v>97</v>
      </c>
      <c r="B1310" t="s">
        <v>100</v>
      </c>
      <c r="C1310">
        <v>9</v>
      </c>
      <c r="D1310">
        <v>2</v>
      </c>
      <c r="E1310">
        <v>4</v>
      </c>
      <c r="F1310">
        <v>1</v>
      </c>
      <c r="G1310" t="s">
        <v>115</v>
      </c>
      <c r="H1310" t="str">
        <f>IFERROR(ROUND(COUNTIFS(Tasks!$A:$A,$A1310,Tasks!$B:$B,$B1310,Tasks!$C:$C,$G1310,Tasks!$I:$I,"&lt;="&amp;INDEX(Weeks!$D:$D,MATCH($C1310,Weeks!$A:$A,0)),Tasks!$I:$I,"&lt;&gt;")/COUNTIFS(Tasks!$A:$A,$A1310,Tasks!$B:$B,$B1310,Tasks!$C:$C,$G1310)*100,0),"")</f>
        <v/>
      </c>
    </row>
    <row r="1311" spans="1:8" ht="15" hidden="1" customHeight="1">
      <c r="A1311" t="s">
        <v>97</v>
      </c>
      <c r="B1311" t="s">
        <v>100</v>
      </c>
      <c r="C1311">
        <v>10</v>
      </c>
      <c r="D1311">
        <v>3</v>
      </c>
      <c r="E1311">
        <v>1</v>
      </c>
      <c r="F1311">
        <v>1</v>
      </c>
      <c r="G1311" t="s">
        <v>115</v>
      </c>
      <c r="H1311" t="str">
        <f>IFERROR(ROUND(COUNTIFS(Tasks!$A:$A,$A1311,Tasks!$B:$B,$B1311,Tasks!$C:$C,$G1311,Tasks!$I:$I,"&lt;="&amp;INDEX(Weeks!$D:$D,MATCH($C1311,Weeks!$A:$A,0)),Tasks!$I:$I,"&lt;&gt;")/COUNTIFS(Tasks!$A:$A,$A1311,Tasks!$B:$B,$B1311,Tasks!$C:$C,$G1311)*100,0),"")</f>
        <v/>
      </c>
    </row>
    <row r="1312" spans="1:8" ht="15" hidden="1" customHeight="1">
      <c r="A1312" t="s">
        <v>97</v>
      </c>
      <c r="B1312" t="s">
        <v>100</v>
      </c>
      <c r="C1312">
        <v>11</v>
      </c>
      <c r="D1312">
        <v>3</v>
      </c>
      <c r="E1312">
        <v>2</v>
      </c>
      <c r="F1312">
        <v>1</v>
      </c>
      <c r="G1312" t="s">
        <v>115</v>
      </c>
      <c r="H1312" t="str">
        <f>IFERROR(ROUND(COUNTIFS(Tasks!$A:$A,$A1312,Tasks!$B:$B,$B1312,Tasks!$C:$C,$G1312,Tasks!$I:$I,"&lt;="&amp;INDEX(Weeks!$D:$D,MATCH($C1312,Weeks!$A:$A,0)),Tasks!$I:$I,"&lt;&gt;")/COUNTIFS(Tasks!$A:$A,$A1312,Tasks!$B:$B,$B1312,Tasks!$C:$C,$G1312)*100,0),"")</f>
        <v/>
      </c>
    </row>
    <row r="1313" spans="1:8" ht="15" hidden="1" customHeight="1">
      <c r="A1313" t="s">
        <v>97</v>
      </c>
      <c r="B1313" t="s">
        <v>100</v>
      </c>
      <c r="C1313">
        <v>12</v>
      </c>
      <c r="D1313">
        <v>3</v>
      </c>
      <c r="E1313">
        <v>3</v>
      </c>
      <c r="F1313">
        <v>1</v>
      </c>
      <c r="G1313" t="s">
        <v>115</v>
      </c>
      <c r="H1313" t="str">
        <f>IFERROR(ROUND(COUNTIFS(Tasks!$A:$A,$A1313,Tasks!$B:$B,$B1313,Tasks!$C:$C,$G1313,Tasks!$I:$I,"&lt;="&amp;INDEX(Weeks!$D:$D,MATCH($C1313,Weeks!$A:$A,0)),Tasks!$I:$I,"&lt;&gt;")/COUNTIFS(Tasks!$A:$A,$A1313,Tasks!$B:$B,$B1313,Tasks!$C:$C,$G1313)*100,0),"")</f>
        <v/>
      </c>
    </row>
    <row r="1314" spans="1:8" ht="15" hidden="1" customHeight="1">
      <c r="A1314" t="s">
        <v>97</v>
      </c>
      <c r="B1314" t="s">
        <v>100</v>
      </c>
      <c r="C1314">
        <v>13</v>
      </c>
      <c r="D1314">
        <v>3</v>
      </c>
      <c r="E1314">
        <v>4</v>
      </c>
      <c r="F1314">
        <v>1</v>
      </c>
      <c r="G1314" t="s">
        <v>115</v>
      </c>
      <c r="H1314" t="str">
        <f>IFERROR(ROUND(COUNTIFS(Tasks!$A:$A,$A1314,Tasks!$B:$B,$B1314,Tasks!$C:$C,$G1314,Tasks!$I:$I,"&lt;="&amp;INDEX(Weeks!$D:$D,MATCH($C1314,Weeks!$A:$A,0)),Tasks!$I:$I,"&lt;&gt;")/COUNTIFS(Tasks!$A:$A,$A1314,Tasks!$B:$B,$B1314,Tasks!$C:$C,$G1314)*100,0),"")</f>
        <v/>
      </c>
    </row>
    <row r="1315" spans="1:8" ht="15" hidden="1" customHeight="1">
      <c r="A1315" t="s">
        <v>97</v>
      </c>
      <c r="B1315" t="s">
        <v>100</v>
      </c>
      <c r="C1315">
        <v>14</v>
      </c>
      <c r="D1315">
        <v>4</v>
      </c>
      <c r="E1315">
        <v>1</v>
      </c>
      <c r="F1315">
        <v>1</v>
      </c>
      <c r="G1315" t="s">
        <v>115</v>
      </c>
      <c r="H1315" t="str">
        <f>IFERROR(ROUND(COUNTIFS(Tasks!$A:$A,$A1315,Tasks!$B:$B,$B1315,Tasks!$C:$C,$G1315,Tasks!$I:$I,"&lt;="&amp;INDEX(Weeks!$D:$D,MATCH($C1315,Weeks!$A:$A,0)),Tasks!$I:$I,"&lt;&gt;")/COUNTIFS(Tasks!$A:$A,$A1315,Tasks!$B:$B,$B1315,Tasks!$C:$C,$G1315)*100,0),"")</f>
        <v/>
      </c>
    </row>
    <row r="1316" spans="1:8" ht="15" hidden="1" customHeight="1">
      <c r="A1316" t="s">
        <v>97</v>
      </c>
      <c r="B1316" t="s">
        <v>100</v>
      </c>
      <c r="C1316">
        <v>15</v>
      </c>
      <c r="D1316">
        <v>4</v>
      </c>
      <c r="E1316">
        <v>2</v>
      </c>
      <c r="F1316">
        <v>1</v>
      </c>
      <c r="G1316" t="s">
        <v>115</v>
      </c>
      <c r="H1316" t="str">
        <f>IFERROR(ROUND(COUNTIFS(Tasks!$A:$A,$A1316,Tasks!$B:$B,$B1316,Tasks!$C:$C,$G1316,Tasks!$I:$I,"&lt;="&amp;INDEX(Weeks!$D:$D,MATCH($C1316,Weeks!$A:$A,0)),Tasks!$I:$I,"&lt;&gt;")/COUNTIFS(Tasks!$A:$A,$A1316,Tasks!$B:$B,$B1316,Tasks!$C:$C,$G1316)*100,0),"")</f>
        <v/>
      </c>
    </row>
    <row r="1317" spans="1:8" ht="15" hidden="1" customHeight="1">
      <c r="A1317" t="s">
        <v>97</v>
      </c>
      <c r="B1317" t="s">
        <v>100</v>
      </c>
      <c r="C1317">
        <v>16</v>
      </c>
      <c r="D1317">
        <v>4</v>
      </c>
      <c r="E1317">
        <v>3</v>
      </c>
      <c r="F1317">
        <v>1</v>
      </c>
      <c r="G1317" t="s">
        <v>115</v>
      </c>
      <c r="H1317" t="str">
        <f>IFERROR(ROUND(COUNTIFS(Tasks!$A:$A,$A1317,Tasks!$B:$B,$B1317,Tasks!$C:$C,$G1317,Tasks!$I:$I,"&lt;="&amp;INDEX(Weeks!$D:$D,MATCH($C1317,Weeks!$A:$A,0)),Tasks!$I:$I,"&lt;&gt;")/COUNTIFS(Tasks!$A:$A,$A1317,Tasks!$B:$B,$B1317,Tasks!$C:$C,$G1317)*100,0),"")</f>
        <v/>
      </c>
    </row>
    <row r="1318" spans="1:8" ht="15" hidden="1" customHeight="1">
      <c r="A1318" t="s">
        <v>97</v>
      </c>
      <c r="B1318" t="s">
        <v>100</v>
      </c>
      <c r="C1318">
        <v>17</v>
      </c>
      <c r="D1318">
        <v>4</v>
      </c>
      <c r="E1318">
        <v>4</v>
      </c>
      <c r="F1318">
        <v>1</v>
      </c>
      <c r="G1318" t="s">
        <v>115</v>
      </c>
      <c r="H1318" t="str">
        <f>IFERROR(ROUND(COUNTIFS(Tasks!$A:$A,$A1318,Tasks!$B:$B,$B1318,Tasks!$C:$C,$G1318,Tasks!$I:$I,"&lt;="&amp;INDEX(Weeks!$D:$D,MATCH($C1318,Weeks!$A:$A,0)),Tasks!$I:$I,"&lt;&gt;")/COUNTIFS(Tasks!$A:$A,$A1318,Tasks!$B:$B,$B1318,Tasks!$C:$C,$G1318)*100,0),"")</f>
        <v/>
      </c>
    </row>
    <row r="1319" spans="1:8" ht="15" hidden="1" customHeight="1">
      <c r="A1319" t="s">
        <v>97</v>
      </c>
      <c r="B1319" t="s">
        <v>100</v>
      </c>
      <c r="C1319">
        <v>18</v>
      </c>
      <c r="D1319">
        <v>5</v>
      </c>
      <c r="E1319">
        <v>1</v>
      </c>
      <c r="F1319">
        <v>1</v>
      </c>
      <c r="G1319" t="s">
        <v>115</v>
      </c>
      <c r="H1319" t="str">
        <f>IFERROR(ROUND(COUNTIFS(Tasks!$A:$A,$A1319,Tasks!$B:$B,$B1319,Tasks!$C:$C,$G1319,Tasks!$I:$I,"&lt;="&amp;INDEX(Weeks!$D:$D,MATCH($C1319,Weeks!$A:$A,0)),Tasks!$I:$I,"&lt;&gt;")/COUNTIFS(Tasks!$A:$A,$A1319,Tasks!$B:$B,$B1319,Tasks!$C:$C,$G1319)*100,0),"")</f>
        <v/>
      </c>
    </row>
    <row r="1320" spans="1:8" ht="15" hidden="1" customHeight="1">
      <c r="A1320" t="s">
        <v>97</v>
      </c>
      <c r="B1320" t="s">
        <v>100</v>
      </c>
      <c r="C1320">
        <v>19</v>
      </c>
      <c r="D1320">
        <v>5</v>
      </c>
      <c r="E1320">
        <v>2</v>
      </c>
      <c r="F1320">
        <v>1</v>
      </c>
      <c r="G1320" t="s">
        <v>115</v>
      </c>
      <c r="H1320" t="str">
        <f>IFERROR(ROUND(COUNTIFS(Tasks!$A:$A,$A1320,Tasks!$B:$B,$B1320,Tasks!$C:$C,$G1320,Tasks!$I:$I,"&lt;="&amp;INDEX(Weeks!$D:$D,MATCH($C1320,Weeks!$A:$A,0)),Tasks!$I:$I,"&lt;&gt;")/COUNTIFS(Tasks!$A:$A,$A1320,Tasks!$B:$B,$B1320,Tasks!$C:$C,$G1320)*100,0),"")</f>
        <v/>
      </c>
    </row>
    <row r="1321" spans="1:8" ht="15" hidden="1" customHeight="1">
      <c r="A1321" t="s">
        <v>97</v>
      </c>
      <c r="B1321" t="s">
        <v>100</v>
      </c>
      <c r="C1321">
        <v>20</v>
      </c>
      <c r="D1321">
        <v>5</v>
      </c>
      <c r="E1321">
        <v>3</v>
      </c>
      <c r="F1321">
        <v>1</v>
      </c>
      <c r="G1321" t="s">
        <v>115</v>
      </c>
      <c r="H1321" t="str">
        <f>IFERROR(ROUND(COUNTIFS(Tasks!$A:$A,$A1321,Tasks!$B:$B,$B1321,Tasks!$C:$C,$G1321,Tasks!$I:$I,"&lt;="&amp;INDEX(Weeks!$D:$D,MATCH($C1321,Weeks!$A:$A,0)),Tasks!$I:$I,"&lt;&gt;")/COUNTIFS(Tasks!$A:$A,$A1321,Tasks!$B:$B,$B1321,Tasks!$C:$C,$G1321)*100,0),"")</f>
        <v/>
      </c>
    </row>
    <row r="1322" spans="1:8" ht="15" hidden="1" customHeight="1">
      <c r="A1322" t="s">
        <v>97</v>
      </c>
      <c r="B1322" t="s">
        <v>100</v>
      </c>
      <c r="C1322">
        <v>21</v>
      </c>
      <c r="D1322">
        <v>5</v>
      </c>
      <c r="E1322">
        <v>4</v>
      </c>
      <c r="F1322">
        <v>1</v>
      </c>
      <c r="G1322" t="s">
        <v>115</v>
      </c>
      <c r="H1322" t="str">
        <f>IFERROR(ROUND(COUNTIFS(Tasks!$A:$A,$A1322,Tasks!$B:$B,$B1322,Tasks!$C:$C,$G1322,Tasks!$I:$I,"&lt;="&amp;INDEX(Weeks!$D:$D,MATCH($C1322,Weeks!$A:$A,0)),Tasks!$I:$I,"&lt;&gt;")/COUNTIFS(Tasks!$A:$A,$A1322,Tasks!$B:$B,$B1322,Tasks!$C:$C,$G1322)*100,0),"")</f>
        <v/>
      </c>
    </row>
    <row r="1323" spans="1:8" ht="15" hidden="1" customHeight="1">
      <c r="A1323" t="s">
        <v>97</v>
      </c>
      <c r="B1323" t="s">
        <v>100</v>
      </c>
      <c r="C1323">
        <v>22</v>
      </c>
      <c r="D1323">
        <v>5</v>
      </c>
      <c r="E1323">
        <v>5</v>
      </c>
      <c r="F1323">
        <v>1</v>
      </c>
      <c r="G1323" t="s">
        <v>115</v>
      </c>
      <c r="H1323" t="str">
        <f>IFERROR(ROUND(COUNTIFS(Tasks!$A:$A,$A1323,Tasks!$B:$B,$B1323,Tasks!$C:$C,$G1323,Tasks!$I:$I,"&lt;="&amp;INDEX(Weeks!$D:$D,MATCH($C1323,Weeks!$A:$A,0)),Tasks!$I:$I,"&lt;&gt;")/COUNTIFS(Tasks!$A:$A,$A1323,Tasks!$B:$B,$B1323,Tasks!$C:$C,$G1323)*100,0),"")</f>
        <v/>
      </c>
    </row>
    <row r="1324" spans="1:8" ht="15" hidden="1" customHeight="1">
      <c r="A1324" t="s">
        <v>97</v>
      </c>
      <c r="B1324" t="s">
        <v>100</v>
      </c>
      <c r="C1324">
        <v>23</v>
      </c>
      <c r="D1324">
        <v>6</v>
      </c>
      <c r="E1324">
        <v>1</v>
      </c>
      <c r="F1324">
        <v>1</v>
      </c>
      <c r="G1324" t="s">
        <v>115</v>
      </c>
      <c r="H1324" t="str">
        <f>IFERROR(ROUND(COUNTIFS(Tasks!$A:$A,$A1324,Tasks!$B:$B,$B1324,Tasks!$C:$C,$G1324,Tasks!$I:$I,"&lt;="&amp;INDEX(Weeks!$D:$D,MATCH($C1324,Weeks!$A:$A,0)),Tasks!$I:$I,"&lt;&gt;")/COUNTIFS(Tasks!$A:$A,$A1324,Tasks!$B:$B,$B1324,Tasks!$C:$C,$G1324)*100,0),"")</f>
        <v/>
      </c>
    </row>
    <row r="1325" spans="1:8" ht="15" hidden="1" customHeight="1">
      <c r="A1325" t="s">
        <v>97</v>
      </c>
      <c r="B1325" t="s">
        <v>100</v>
      </c>
      <c r="C1325">
        <v>24</v>
      </c>
      <c r="D1325">
        <v>6</v>
      </c>
      <c r="E1325">
        <v>2</v>
      </c>
      <c r="F1325">
        <v>1</v>
      </c>
      <c r="G1325" t="s">
        <v>115</v>
      </c>
      <c r="H1325" t="str">
        <f>IFERROR(ROUND(COUNTIFS(Tasks!$A:$A,$A1325,Tasks!$B:$B,$B1325,Tasks!$C:$C,$G1325,Tasks!$I:$I,"&lt;="&amp;INDEX(Weeks!$D:$D,MATCH($C1325,Weeks!$A:$A,0)),Tasks!$I:$I,"&lt;&gt;")/COUNTIFS(Tasks!$A:$A,$A1325,Tasks!$B:$B,$B1325,Tasks!$C:$C,$G1325)*100,0),"")</f>
        <v/>
      </c>
    </row>
    <row r="1326" spans="1:8" ht="15" hidden="1" customHeight="1">
      <c r="A1326" t="s">
        <v>97</v>
      </c>
      <c r="B1326" t="s">
        <v>100</v>
      </c>
      <c r="C1326">
        <v>25</v>
      </c>
      <c r="D1326">
        <v>6</v>
      </c>
      <c r="E1326">
        <v>3</v>
      </c>
      <c r="F1326">
        <v>1</v>
      </c>
      <c r="G1326" t="s">
        <v>115</v>
      </c>
      <c r="H1326" t="str">
        <f>IFERROR(ROUND(COUNTIFS(Tasks!$A:$A,$A1326,Tasks!$B:$B,$B1326,Tasks!$C:$C,$G1326,Tasks!$I:$I,"&lt;="&amp;INDEX(Weeks!$D:$D,MATCH($C1326,Weeks!$A:$A,0)),Tasks!$I:$I,"&lt;&gt;")/COUNTIFS(Tasks!$A:$A,$A1326,Tasks!$B:$B,$B1326,Tasks!$C:$C,$G1326)*100,0),"")</f>
        <v/>
      </c>
    </row>
    <row r="1327" spans="1:8" ht="15" hidden="1" customHeight="1">
      <c r="A1327" t="s">
        <v>97</v>
      </c>
      <c r="B1327" t="s">
        <v>100</v>
      </c>
      <c r="C1327">
        <v>26</v>
      </c>
      <c r="D1327">
        <v>6</v>
      </c>
      <c r="E1327">
        <v>4</v>
      </c>
      <c r="F1327">
        <v>1</v>
      </c>
      <c r="G1327" t="s">
        <v>115</v>
      </c>
      <c r="H1327" t="str">
        <f>IFERROR(ROUND(COUNTIFS(Tasks!$A:$A,$A1327,Tasks!$B:$B,$B1327,Tasks!$C:$C,$G1327,Tasks!$I:$I,"&lt;="&amp;INDEX(Weeks!$D:$D,MATCH($C1327,Weeks!$A:$A,0)),Tasks!$I:$I,"&lt;&gt;")/COUNTIFS(Tasks!$A:$A,$A1327,Tasks!$B:$B,$B1327,Tasks!$C:$C,$G1327)*100,0),"")</f>
        <v/>
      </c>
    </row>
    <row r="1328" spans="1:8" ht="15" hidden="1" customHeight="1">
      <c r="A1328" t="s">
        <v>97</v>
      </c>
      <c r="B1328" t="s">
        <v>100</v>
      </c>
      <c r="C1328">
        <v>27</v>
      </c>
      <c r="D1328">
        <v>7</v>
      </c>
      <c r="E1328">
        <v>1</v>
      </c>
      <c r="F1328">
        <v>1</v>
      </c>
      <c r="G1328" t="s">
        <v>115</v>
      </c>
      <c r="H1328" t="str">
        <f>IFERROR(ROUND(COUNTIFS(Tasks!$A:$A,$A1328,Tasks!$B:$B,$B1328,Tasks!$C:$C,$G1328,Tasks!$I:$I,"&lt;="&amp;INDEX(Weeks!$D:$D,MATCH($C1328,Weeks!$A:$A,0)),Tasks!$I:$I,"&lt;&gt;")/COUNTIFS(Tasks!$A:$A,$A1328,Tasks!$B:$B,$B1328,Tasks!$C:$C,$G1328)*100,0),"")</f>
        <v/>
      </c>
    </row>
    <row r="1329" spans="1:8" ht="15" hidden="1" customHeight="1">
      <c r="A1329" t="s">
        <v>97</v>
      </c>
      <c r="B1329" t="s">
        <v>100</v>
      </c>
      <c r="C1329">
        <v>28</v>
      </c>
      <c r="D1329">
        <v>7</v>
      </c>
      <c r="E1329">
        <v>2</v>
      </c>
      <c r="F1329">
        <v>1</v>
      </c>
      <c r="G1329" t="s">
        <v>115</v>
      </c>
      <c r="H1329" t="str">
        <f>IFERROR(ROUND(COUNTIFS(Tasks!$A:$A,$A1329,Tasks!$B:$B,$B1329,Tasks!$C:$C,$G1329,Tasks!$I:$I,"&lt;="&amp;INDEX(Weeks!$D:$D,MATCH($C1329,Weeks!$A:$A,0)),Tasks!$I:$I,"&lt;&gt;")/COUNTIFS(Tasks!$A:$A,$A1329,Tasks!$B:$B,$B1329,Tasks!$C:$C,$G1329)*100,0),"")</f>
        <v/>
      </c>
    </row>
    <row r="1330" spans="1:8" ht="15" hidden="1" customHeight="1">
      <c r="A1330" t="s">
        <v>97</v>
      </c>
      <c r="B1330" t="s">
        <v>100</v>
      </c>
      <c r="C1330">
        <v>29</v>
      </c>
      <c r="D1330">
        <v>7</v>
      </c>
      <c r="E1330">
        <v>3</v>
      </c>
      <c r="F1330">
        <v>1</v>
      </c>
      <c r="G1330" t="s">
        <v>115</v>
      </c>
      <c r="H1330" t="str">
        <f>IFERROR(ROUND(COUNTIFS(Tasks!$A:$A,$A1330,Tasks!$B:$B,$B1330,Tasks!$C:$C,$G1330,Tasks!$I:$I,"&lt;="&amp;INDEX(Weeks!$D:$D,MATCH($C1330,Weeks!$A:$A,0)),Tasks!$I:$I,"&lt;&gt;")/COUNTIFS(Tasks!$A:$A,$A1330,Tasks!$B:$B,$B1330,Tasks!$C:$C,$G1330)*100,0),"")</f>
        <v/>
      </c>
    </row>
    <row r="1331" spans="1:8" ht="15" hidden="1" customHeight="1">
      <c r="A1331" t="s">
        <v>97</v>
      </c>
      <c r="B1331" t="s">
        <v>100</v>
      </c>
      <c r="C1331">
        <v>30</v>
      </c>
      <c r="D1331">
        <v>7</v>
      </c>
      <c r="E1331">
        <v>4</v>
      </c>
      <c r="F1331">
        <v>1</v>
      </c>
      <c r="G1331" t="s">
        <v>115</v>
      </c>
      <c r="H1331" t="str">
        <f>IFERROR(ROUND(COUNTIFS(Tasks!$A:$A,$A1331,Tasks!$B:$B,$B1331,Tasks!$C:$C,$G1331,Tasks!$I:$I,"&lt;="&amp;INDEX(Weeks!$D:$D,MATCH($C1331,Weeks!$A:$A,0)),Tasks!$I:$I,"&lt;&gt;")/COUNTIFS(Tasks!$A:$A,$A1331,Tasks!$B:$B,$B1331,Tasks!$C:$C,$G1331)*100,0),"")</f>
        <v/>
      </c>
    </row>
    <row r="1332" spans="1:8" ht="15" hidden="1" customHeight="1">
      <c r="A1332" t="s">
        <v>97</v>
      </c>
      <c r="B1332" t="s">
        <v>100</v>
      </c>
      <c r="C1332">
        <v>31</v>
      </c>
      <c r="D1332">
        <v>8</v>
      </c>
      <c r="E1332">
        <v>1</v>
      </c>
      <c r="F1332">
        <v>1</v>
      </c>
      <c r="G1332" t="s">
        <v>115</v>
      </c>
      <c r="H1332" t="str">
        <f>IFERROR(ROUND(COUNTIFS(Tasks!$A:$A,$A1332,Tasks!$B:$B,$B1332,Tasks!$C:$C,$G1332,Tasks!$I:$I,"&lt;="&amp;INDEX(Weeks!$D:$D,MATCH($C1332,Weeks!$A:$A,0)),Tasks!$I:$I,"&lt;&gt;")/COUNTIFS(Tasks!$A:$A,$A1332,Tasks!$B:$B,$B1332,Tasks!$C:$C,$G1332)*100,0),"")</f>
        <v/>
      </c>
    </row>
    <row r="1333" spans="1:8" ht="15" hidden="1" customHeight="1">
      <c r="A1333" t="s">
        <v>97</v>
      </c>
      <c r="B1333" t="s">
        <v>100</v>
      </c>
      <c r="C1333">
        <v>32</v>
      </c>
      <c r="D1333">
        <v>8</v>
      </c>
      <c r="E1333">
        <v>2</v>
      </c>
      <c r="F1333">
        <v>1</v>
      </c>
      <c r="G1333" t="s">
        <v>115</v>
      </c>
      <c r="H1333" t="str">
        <f>IFERROR(ROUND(COUNTIFS(Tasks!$A:$A,$A1333,Tasks!$B:$B,$B1333,Tasks!$C:$C,$G1333,Tasks!$I:$I,"&lt;="&amp;INDEX(Weeks!$D:$D,MATCH($C1333,Weeks!$A:$A,0)),Tasks!$I:$I,"&lt;&gt;")/COUNTIFS(Tasks!$A:$A,$A1333,Tasks!$B:$B,$B1333,Tasks!$C:$C,$G1333)*100,0),"")</f>
        <v/>
      </c>
    </row>
    <row r="1334" spans="1:8" ht="15" hidden="1" customHeight="1">
      <c r="A1334" t="s">
        <v>97</v>
      </c>
      <c r="B1334" t="s">
        <v>100</v>
      </c>
      <c r="C1334">
        <v>33</v>
      </c>
      <c r="D1334">
        <v>8</v>
      </c>
      <c r="E1334">
        <v>3</v>
      </c>
      <c r="F1334">
        <v>1</v>
      </c>
      <c r="G1334" t="s">
        <v>115</v>
      </c>
      <c r="H1334" t="str">
        <f>IFERROR(ROUND(COUNTIFS(Tasks!$A:$A,$A1334,Tasks!$B:$B,$B1334,Tasks!$C:$C,$G1334,Tasks!$I:$I,"&lt;="&amp;INDEX(Weeks!$D:$D,MATCH($C1334,Weeks!$A:$A,0)),Tasks!$I:$I,"&lt;&gt;")/COUNTIFS(Tasks!$A:$A,$A1334,Tasks!$B:$B,$B1334,Tasks!$C:$C,$G1334)*100,0),"")</f>
        <v/>
      </c>
    </row>
    <row r="1335" spans="1:8" ht="15" hidden="1" customHeight="1">
      <c r="A1335" t="s">
        <v>97</v>
      </c>
      <c r="B1335" t="s">
        <v>100</v>
      </c>
      <c r="C1335">
        <v>34</v>
      </c>
      <c r="D1335">
        <v>8</v>
      </c>
      <c r="E1335">
        <v>4</v>
      </c>
      <c r="F1335">
        <v>1</v>
      </c>
      <c r="G1335" t="s">
        <v>115</v>
      </c>
      <c r="H1335" t="str">
        <f>IFERROR(ROUND(COUNTIFS(Tasks!$A:$A,$A1335,Tasks!$B:$B,$B1335,Tasks!$C:$C,$G1335,Tasks!$I:$I,"&lt;="&amp;INDEX(Weeks!$D:$D,MATCH($C1335,Weeks!$A:$A,0)),Tasks!$I:$I,"&lt;&gt;")/COUNTIFS(Tasks!$A:$A,$A1335,Tasks!$B:$B,$B1335,Tasks!$C:$C,$G1335)*100,0),"")</f>
        <v/>
      </c>
    </row>
    <row r="1336" spans="1:8" ht="15" hidden="1" customHeight="1">
      <c r="A1336" t="s">
        <v>97</v>
      </c>
      <c r="B1336" t="s">
        <v>100</v>
      </c>
      <c r="C1336">
        <v>35</v>
      </c>
      <c r="D1336">
        <v>8</v>
      </c>
      <c r="E1336">
        <v>5</v>
      </c>
      <c r="F1336">
        <v>1</v>
      </c>
      <c r="G1336" t="s">
        <v>115</v>
      </c>
      <c r="H1336" t="str">
        <f>IFERROR(ROUND(COUNTIFS(Tasks!$A:$A,$A1336,Tasks!$B:$B,$B1336,Tasks!$C:$C,$G1336,Tasks!$I:$I,"&lt;="&amp;INDEX(Weeks!$D:$D,MATCH($C1336,Weeks!$A:$A,0)),Tasks!$I:$I,"&lt;&gt;")/COUNTIFS(Tasks!$A:$A,$A1336,Tasks!$B:$B,$B1336,Tasks!$C:$C,$G1336)*100,0),"")</f>
        <v/>
      </c>
    </row>
    <row r="1337" spans="1:8" ht="15" hidden="1" customHeight="1">
      <c r="A1337" t="s">
        <v>97</v>
      </c>
      <c r="B1337" t="s">
        <v>100</v>
      </c>
      <c r="C1337">
        <v>36</v>
      </c>
      <c r="D1337">
        <v>9</v>
      </c>
      <c r="E1337">
        <v>1</v>
      </c>
      <c r="F1337">
        <v>1</v>
      </c>
      <c r="G1337" t="s">
        <v>115</v>
      </c>
      <c r="H1337" t="str">
        <f>IFERROR(ROUND(COUNTIFS(Tasks!$A:$A,$A1337,Tasks!$B:$B,$B1337,Tasks!$C:$C,$G1337,Tasks!$I:$I,"&lt;="&amp;INDEX(Weeks!$D:$D,MATCH($C1337,Weeks!$A:$A,0)),Tasks!$I:$I,"&lt;&gt;")/COUNTIFS(Tasks!$A:$A,$A1337,Tasks!$B:$B,$B1337,Tasks!$C:$C,$G1337)*100,0),"")</f>
        <v/>
      </c>
    </row>
    <row r="1338" spans="1:8" ht="15" hidden="1" customHeight="1">
      <c r="A1338" t="s">
        <v>97</v>
      </c>
      <c r="B1338" t="s">
        <v>100</v>
      </c>
      <c r="C1338">
        <v>37</v>
      </c>
      <c r="D1338">
        <v>9</v>
      </c>
      <c r="E1338">
        <v>2</v>
      </c>
      <c r="F1338">
        <v>1</v>
      </c>
      <c r="G1338" t="s">
        <v>115</v>
      </c>
      <c r="H1338" t="str">
        <f>IFERROR(ROUND(COUNTIFS(Tasks!$A:$A,$A1338,Tasks!$B:$B,$B1338,Tasks!$C:$C,$G1338,Tasks!$I:$I,"&lt;="&amp;INDEX(Weeks!$D:$D,MATCH($C1338,Weeks!$A:$A,0)),Tasks!$I:$I,"&lt;&gt;")/COUNTIFS(Tasks!$A:$A,$A1338,Tasks!$B:$B,$B1338,Tasks!$C:$C,$G1338)*100,0),"")</f>
        <v/>
      </c>
    </row>
    <row r="1339" spans="1:8" ht="15" hidden="1" customHeight="1">
      <c r="A1339" t="s">
        <v>97</v>
      </c>
      <c r="B1339" t="s">
        <v>100</v>
      </c>
      <c r="C1339">
        <v>38</v>
      </c>
      <c r="D1339">
        <v>9</v>
      </c>
      <c r="E1339">
        <v>3</v>
      </c>
      <c r="F1339">
        <v>1</v>
      </c>
      <c r="G1339" t="s">
        <v>115</v>
      </c>
      <c r="H1339" t="str">
        <f>IFERROR(ROUND(COUNTIFS(Tasks!$A:$A,$A1339,Tasks!$B:$B,$B1339,Tasks!$C:$C,$G1339,Tasks!$I:$I,"&lt;="&amp;INDEX(Weeks!$D:$D,MATCH($C1339,Weeks!$A:$A,0)),Tasks!$I:$I,"&lt;&gt;")/COUNTIFS(Tasks!$A:$A,$A1339,Tasks!$B:$B,$B1339,Tasks!$C:$C,$G1339)*100,0),"")</f>
        <v/>
      </c>
    </row>
    <row r="1340" spans="1:8" ht="15" hidden="1" customHeight="1">
      <c r="A1340" t="s">
        <v>97</v>
      </c>
      <c r="B1340" t="s">
        <v>100</v>
      </c>
      <c r="C1340">
        <v>39</v>
      </c>
      <c r="D1340">
        <v>9</v>
      </c>
      <c r="E1340">
        <v>4</v>
      </c>
      <c r="F1340">
        <v>1</v>
      </c>
      <c r="G1340" t="s">
        <v>115</v>
      </c>
      <c r="H1340" t="str">
        <f>IFERROR(ROUND(COUNTIFS(Tasks!$A:$A,$A1340,Tasks!$B:$B,$B1340,Tasks!$C:$C,$G1340,Tasks!$I:$I,"&lt;="&amp;INDEX(Weeks!$D:$D,MATCH($C1340,Weeks!$A:$A,0)),Tasks!$I:$I,"&lt;&gt;")/COUNTIFS(Tasks!$A:$A,$A1340,Tasks!$B:$B,$B1340,Tasks!$C:$C,$G1340)*100,0),"")</f>
        <v/>
      </c>
    </row>
    <row r="1341" spans="1:8" ht="15" hidden="1" customHeight="1">
      <c r="A1341" t="s">
        <v>97</v>
      </c>
      <c r="B1341" t="s">
        <v>100</v>
      </c>
      <c r="C1341">
        <v>40</v>
      </c>
      <c r="D1341">
        <v>10</v>
      </c>
      <c r="E1341">
        <v>1</v>
      </c>
      <c r="F1341">
        <v>1</v>
      </c>
      <c r="G1341" t="s">
        <v>115</v>
      </c>
      <c r="H1341" t="str">
        <f>IFERROR(ROUND(COUNTIFS(Tasks!$A:$A,$A1341,Tasks!$B:$B,$B1341,Tasks!$C:$C,$G1341,Tasks!$I:$I,"&lt;="&amp;INDEX(Weeks!$D:$D,MATCH($C1341,Weeks!$A:$A,0)),Tasks!$I:$I,"&lt;&gt;")/COUNTIFS(Tasks!$A:$A,$A1341,Tasks!$B:$B,$B1341,Tasks!$C:$C,$G1341)*100,0),"")</f>
        <v/>
      </c>
    </row>
    <row r="1342" spans="1:8" ht="15" hidden="1" customHeight="1">
      <c r="A1342" t="s">
        <v>97</v>
      </c>
      <c r="B1342" t="s">
        <v>100</v>
      </c>
      <c r="C1342">
        <v>41</v>
      </c>
      <c r="D1342">
        <v>10</v>
      </c>
      <c r="E1342">
        <v>2</v>
      </c>
      <c r="F1342">
        <v>1</v>
      </c>
      <c r="G1342" t="s">
        <v>115</v>
      </c>
      <c r="H1342" t="str">
        <f>IFERROR(ROUND(COUNTIFS(Tasks!$A:$A,$A1342,Tasks!$B:$B,$B1342,Tasks!$C:$C,$G1342,Tasks!$I:$I,"&lt;="&amp;INDEX(Weeks!$D:$D,MATCH($C1342,Weeks!$A:$A,0)),Tasks!$I:$I,"&lt;&gt;")/COUNTIFS(Tasks!$A:$A,$A1342,Tasks!$B:$B,$B1342,Tasks!$C:$C,$G1342)*100,0),"")</f>
        <v/>
      </c>
    </row>
    <row r="1343" spans="1:8" ht="15" hidden="1" customHeight="1">
      <c r="A1343" t="s">
        <v>97</v>
      </c>
      <c r="B1343" t="s">
        <v>100</v>
      </c>
      <c r="C1343">
        <v>42</v>
      </c>
      <c r="D1343">
        <v>10</v>
      </c>
      <c r="E1343">
        <v>3</v>
      </c>
      <c r="F1343">
        <v>1</v>
      </c>
      <c r="G1343" t="s">
        <v>115</v>
      </c>
      <c r="H1343" t="str">
        <f>IFERROR(ROUND(COUNTIFS(Tasks!$A:$A,$A1343,Tasks!$B:$B,$B1343,Tasks!$C:$C,$G1343,Tasks!$I:$I,"&lt;="&amp;INDEX(Weeks!$D:$D,MATCH($C1343,Weeks!$A:$A,0)),Tasks!$I:$I,"&lt;&gt;")/COUNTIFS(Tasks!$A:$A,$A1343,Tasks!$B:$B,$B1343,Tasks!$C:$C,$G1343)*100,0),"")</f>
        <v/>
      </c>
    </row>
    <row r="1344" spans="1:8" ht="15" hidden="1" customHeight="1">
      <c r="A1344" t="s">
        <v>97</v>
      </c>
      <c r="B1344" t="s">
        <v>100</v>
      </c>
      <c r="C1344">
        <v>43</v>
      </c>
      <c r="D1344">
        <v>10</v>
      </c>
      <c r="E1344">
        <v>4</v>
      </c>
      <c r="F1344">
        <v>1</v>
      </c>
      <c r="G1344" t="s">
        <v>115</v>
      </c>
      <c r="H1344" t="str">
        <f>IFERROR(ROUND(COUNTIFS(Tasks!$A:$A,$A1344,Tasks!$B:$B,$B1344,Tasks!$C:$C,$G1344,Tasks!$I:$I,"&lt;="&amp;INDEX(Weeks!$D:$D,MATCH($C1344,Weeks!$A:$A,0)),Tasks!$I:$I,"&lt;&gt;")/COUNTIFS(Tasks!$A:$A,$A1344,Tasks!$B:$B,$B1344,Tasks!$C:$C,$G1344)*100,0),"")</f>
        <v/>
      </c>
    </row>
    <row r="1345" spans="1:8" ht="15" hidden="1" customHeight="1">
      <c r="A1345" t="s">
        <v>97</v>
      </c>
      <c r="B1345" t="s">
        <v>100</v>
      </c>
      <c r="C1345">
        <v>44</v>
      </c>
      <c r="D1345">
        <v>10</v>
      </c>
      <c r="E1345">
        <v>5</v>
      </c>
      <c r="F1345">
        <v>1</v>
      </c>
      <c r="G1345" t="s">
        <v>115</v>
      </c>
      <c r="H1345" t="str">
        <f>IFERROR(ROUND(COUNTIFS(Tasks!$A:$A,$A1345,Tasks!$B:$B,$B1345,Tasks!$C:$C,$G1345,Tasks!$I:$I,"&lt;="&amp;INDEX(Weeks!$D:$D,MATCH($C1345,Weeks!$A:$A,0)),Tasks!$I:$I,"&lt;&gt;")/COUNTIFS(Tasks!$A:$A,$A1345,Tasks!$B:$B,$B1345,Tasks!$C:$C,$G1345)*100,0),"")</f>
        <v/>
      </c>
    </row>
    <row r="1346" spans="1:8" ht="15" hidden="1" customHeight="1">
      <c r="A1346" t="s">
        <v>97</v>
      </c>
      <c r="B1346" t="s">
        <v>100</v>
      </c>
      <c r="C1346">
        <v>45</v>
      </c>
      <c r="D1346">
        <v>11</v>
      </c>
      <c r="E1346">
        <v>1</v>
      </c>
      <c r="F1346">
        <v>1</v>
      </c>
      <c r="G1346" t="s">
        <v>115</v>
      </c>
      <c r="H1346" t="str">
        <f>IFERROR(ROUND(COUNTIFS(Tasks!$A:$A,$A1346,Tasks!$B:$B,$B1346,Tasks!$C:$C,$G1346,Tasks!$I:$I,"&lt;="&amp;INDEX(Weeks!$D:$D,MATCH($C1346,Weeks!$A:$A,0)),Tasks!$I:$I,"&lt;&gt;")/COUNTIFS(Tasks!$A:$A,$A1346,Tasks!$B:$B,$B1346,Tasks!$C:$C,$G1346)*100,0),"")</f>
        <v/>
      </c>
    </row>
    <row r="1347" spans="1:8" ht="15" hidden="1" customHeight="1">
      <c r="A1347" t="s">
        <v>97</v>
      </c>
      <c r="B1347" t="s">
        <v>100</v>
      </c>
      <c r="C1347">
        <v>46</v>
      </c>
      <c r="D1347">
        <v>11</v>
      </c>
      <c r="E1347">
        <v>2</v>
      </c>
      <c r="F1347">
        <v>1</v>
      </c>
      <c r="G1347" t="s">
        <v>115</v>
      </c>
      <c r="H1347" t="str">
        <f>IFERROR(ROUND(COUNTIFS(Tasks!$A:$A,$A1347,Tasks!$B:$B,$B1347,Tasks!$C:$C,$G1347,Tasks!$I:$I,"&lt;="&amp;INDEX(Weeks!$D:$D,MATCH($C1347,Weeks!$A:$A,0)),Tasks!$I:$I,"&lt;&gt;")/COUNTIFS(Tasks!$A:$A,$A1347,Tasks!$B:$B,$B1347,Tasks!$C:$C,$G1347)*100,0),"")</f>
        <v/>
      </c>
    </row>
    <row r="1348" spans="1:8" ht="15" hidden="1" customHeight="1">
      <c r="A1348" t="s">
        <v>97</v>
      </c>
      <c r="B1348" t="s">
        <v>100</v>
      </c>
      <c r="C1348">
        <v>47</v>
      </c>
      <c r="D1348">
        <v>11</v>
      </c>
      <c r="E1348">
        <v>3</v>
      </c>
      <c r="F1348">
        <v>1</v>
      </c>
      <c r="G1348" t="s">
        <v>115</v>
      </c>
      <c r="H1348" t="str">
        <f>IFERROR(ROUND(COUNTIFS(Tasks!$A:$A,$A1348,Tasks!$B:$B,$B1348,Tasks!$C:$C,$G1348,Tasks!$I:$I,"&lt;="&amp;INDEX(Weeks!$D:$D,MATCH($C1348,Weeks!$A:$A,0)),Tasks!$I:$I,"&lt;&gt;")/COUNTIFS(Tasks!$A:$A,$A1348,Tasks!$B:$B,$B1348,Tasks!$C:$C,$G1348)*100,0),"")</f>
        <v/>
      </c>
    </row>
    <row r="1349" spans="1:8" ht="15" hidden="1" customHeight="1">
      <c r="A1349" t="s">
        <v>97</v>
      </c>
      <c r="B1349" t="s">
        <v>100</v>
      </c>
      <c r="C1349">
        <v>48</v>
      </c>
      <c r="D1349">
        <v>11</v>
      </c>
      <c r="E1349">
        <v>4</v>
      </c>
      <c r="F1349">
        <v>1</v>
      </c>
      <c r="G1349" t="s">
        <v>115</v>
      </c>
      <c r="H1349" t="str">
        <f>IFERROR(ROUND(COUNTIFS(Tasks!$A:$A,$A1349,Tasks!$B:$B,$B1349,Tasks!$C:$C,$G1349,Tasks!$I:$I,"&lt;="&amp;INDEX(Weeks!$D:$D,MATCH($C1349,Weeks!$A:$A,0)),Tasks!$I:$I,"&lt;&gt;")/COUNTIFS(Tasks!$A:$A,$A1349,Tasks!$B:$B,$B1349,Tasks!$C:$C,$G1349)*100,0),"")</f>
        <v/>
      </c>
    </row>
    <row r="1350" spans="1:8" ht="15" hidden="1" customHeight="1">
      <c r="A1350" t="s">
        <v>97</v>
      </c>
      <c r="B1350" t="s">
        <v>100</v>
      </c>
      <c r="C1350">
        <v>49</v>
      </c>
      <c r="D1350">
        <v>12</v>
      </c>
      <c r="E1350">
        <v>1</v>
      </c>
      <c r="F1350">
        <v>1</v>
      </c>
      <c r="G1350" t="s">
        <v>115</v>
      </c>
      <c r="H1350" t="str">
        <f>IFERROR(ROUND(COUNTIFS(Tasks!$A:$A,$A1350,Tasks!$B:$B,$B1350,Tasks!$C:$C,$G1350,Tasks!$I:$I,"&lt;="&amp;INDEX(Weeks!$D:$D,MATCH($C1350,Weeks!$A:$A,0)),Tasks!$I:$I,"&lt;&gt;")/COUNTIFS(Tasks!$A:$A,$A1350,Tasks!$B:$B,$B1350,Tasks!$C:$C,$G1350)*100,0),"")</f>
        <v/>
      </c>
    </row>
    <row r="1351" spans="1:8" ht="15" hidden="1" customHeight="1">
      <c r="A1351" t="s">
        <v>97</v>
      </c>
      <c r="B1351" t="s">
        <v>100</v>
      </c>
      <c r="C1351">
        <v>50</v>
      </c>
      <c r="D1351">
        <v>12</v>
      </c>
      <c r="E1351">
        <v>2</v>
      </c>
      <c r="F1351">
        <v>1</v>
      </c>
      <c r="G1351" t="s">
        <v>115</v>
      </c>
      <c r="H1351" t="str">
        <f>IFERROR(ROUND(COUNTIFS(Tasks!$A:$A,$A1351,Tasks!$B:$B,$B1351,Tasks!$C:$C,$G1351,Tasks!$I:$I,"&lt;="&amp;INDEX(Weeks!$D:$D,MATCH($C1351,Weeks!$A:$A,0)),Tasks!$I:$I,"&lt;&gt;")/COUNTIFS(Tasks!$A:$A,$A1351,Tasks!$B:$B,$B1351,Tasks!$C:$C,$G1351)*100,0),"")</f>
        <v/>
      </c>
    </row>
    <row r="1352" spans="1:8" ht="15" hidden="1" customHeight="1">
      <c r="A1352" t="s">
        <v>97</v>
      </c>
      <c r="B1352" t="s">
        <v>100</v>
      </c>
      <c r="C1352">
        <v>51</v>
      </c>
      <c r="D1352">
        <v>12</v>
      </c>
      <c r="E1352">
        <v>3</v>
      </c>
      <c r="F1352">
        <v>1</v>
      </c>
      <c r="G1352" t="s">
        <v>115</v>
      </c>
      <c r="H1352" t="str">
        <f>IFERROR(ROUND(COUNTIFS(Tasks!$A:$A,$A1352,Tasks!$B:$B,$B1352,Tasks!$C:$C,$G1352,Tasks!$I:$I,"&lt;="&amp;INDEX(Weeks!$D:$D,MATCH($C1352,Weeks!$A:$A,0)),Tasks!$I:$I,"&lt;&gt;")/COUNTIFS(Tasks!$A:$A,$A1352,Tasks!$B:$B,$B1352,Tasks!$C:$C,$G1352)*100,0),"")</f>
        <v/>
      </c>
    </row>
    <row r="1353" spans="1:8" ht="15" hidden="1" customHeight="1">
      <c r="A1353" t="s">
        <v>97</v>
      </c>
      <c r="B1353" t="s">
        <v>100</v>
      </c>
      <c r="C1353">
        <v>52</v>
      </c>
      <c r="D1353">
        <v>12</v>
      </c>
      <c r="E1353">
        <v>4</v>
      </c>
      <c r="F1353">
        <v>1</v>
      </c>
      <c r="G1353" t="s">
        <v>115</v>
      </c>
      <c r="H1353" t="str">
        <f>IFERROR(ROUND(COUNTIFS(Tasks!$A:$A,$A1353,Tasks!$B:$B,$B1353,Tasks!$C:$C,$G1353,Tasks!$I:$I,"&lt;="&amp;INDEX(Weeks!$D:$D,MATCH($C1353,Weeks!$A:$A,0)),Tasks!$I:$I,"&lt;&gt;")/COUNTIFS(Tasks!$A:$A,$A1353,Tasks!$B:$B,$B1353,Tasks!$C:$C,$G1353)*100,0),"")</f>
        <v/>
      </c>
    </row>
    <row r="1354" spans="1:8" ht="15" hidden="1" customHeight="1">
      <c r="A1354" t="s">
        <v>97</v>
      </c>
      <c r="B1354" t="s">
        <v>100</v>
      </c>
      <c r="C1354">
        <v>1</v>
      </c>
      <c r="D1354">
        <v>1</v>
      </c>
      <c r="E1354">
        <v>1</v>
      </c>
      <c r="F1354">
        <v>2</v>
      </c>
      <c r="G1354" t="s">
        <v>116</v>
      </c>
      <c r="H1354" t="str">
        <f>IFERROR(ROUND(COUNTIFS(Tasks!$A:$A,$A1354,Tasks!$B:$B,$B1354,Tasks!$C:$C,$G1354,Tasks!$I:$I,"&lt;="&amp;INDEX(Weeks!$D:$D,MATCH($C1354,Weeks!$A:$A,0)),Tasks!$I:$I,"&lt;&gt;")/COUNTIFS(Tasks!$A:$A,$A1354,Tasks!$B:$B,$B1354,Tasks!$C:$C,$G1354)*100,0),"")</f>
        <v/>
      </c>
    </row>
    <row r="1355" spans="1:8" ht="15" hidden="1" customHeight="1">
      <c r="A1355" t="s">
        <v>97</v>
      </c>
      <c r="B1355" t="s">
        <v>100</v>
      </c>
      <c r="C1355">
        <v>2</v>
      </c>
      <c r="D1355">
        <v>1</v>
      </c>
      <c r="E1355">
        <v>2</v>
      </c>
      <c r="F1355">
        <v>2</v>
      </c>
      <c r="G1355" t="s">
        <v>116</v>
      </c>
      <c r="H1355" t="str">
        <f>IFERROR(ROUND(COUNTIFS(Tasks!$A:$A,$A1355,Tasks!$B:$B,$B1355,Tasks!$C:$C,$G1355,Tasks!$I:$I,"&lt;="&amp;INDEX(Weeks!$D:$D,MATCH($C1355,Weeks!$A:$A,0)),Tasks!$I:$I,"&lt;&gt;")/COUNTIFS(Tasks!$A:$A,$A1355,Tasks!$B:$B,$B1355,Tasks!$C:$C,$G1355)*100,0),"")</f>
        <v/>
      </c>
    </row>
    <row r="1356" spans="1:8" ht="15" hidden="1" customHeight="1">
      <c r="A1356" t="s">
        <v>97</v>
      </c>
      <c r="B1356" t="s">
        <v>100</v>
      </c>
      <c r="C1356">
        <v>3</v>
      </c>
      <c r="D1356">
        <v>1</v>
      </c>
      <c r="E1356">
        <v>3</v>
      </c>
      <c r="F1356">
        <v>2</v>
      </c>
      <c r="G1356" t="s">
        <v>116</v>
      </c>
      <c r="H1356" t="str">
        <f>IFERROR(ROUND(COUNTIFS(Tasks!$A:$A,$A1356,Tasks!$B:$B,$B1356,Tasks!$C:$C,$G1356,Tasks!$I:$I,"&lt;="&amp;INDEX(Weeks!$D:$D,MATCH($C1356,Weeks!$A:$A,0)),Tasks!$I:$I,"&lt;&gt;")/COUNTIFS(Tasks!$A:$A,$A1356,Tasks!$B:$B,$B1356,Tasks!$C:$C,$G1356)*100,0),"")</f>
        <v/>
      </c>
    </row>
    <row r="1357" spans="1:8" ht="15" hidden="1" customHeight="1">
      <c r="A1357" t="s">
        <v>97</v>
      </c>
      <c r="B1357" t="s">
        <v>100</v>
      </c>
      <c r="C1357">
        <v>4</v>
      </c>
      <c r="D1357">
        <v>1</v>
      </c>
      <c r="E1357">
        <v>4</v>
      </c>
      <c r="F1357">
        <v>2</v>
      </c>
      <c r="G1357" t="s">
        <v>116</v>
      </c>
      <c r="H1357" t="str">
        <f>IFERROR(ROUND(COUNTIFS(Tasks!$A:$A,$A1357,Tasks!$B:$B,$B1357,Tasks!$C:$C,$G1357,Tasks!$I:$I,"&lt;="&amp;INDEX(Weeks!$D:$D,MATCH($C1357,Weeks!$A:$A,0)),Tasks!$I:$I,"&lt;&gt;")/COUNTIFS(Tasks!$A:$A,$A1357,Tasks!$B:$B,$B1357,Tasks!$C:$C,$G1357)*100,0),"")</f>
        <v/>
      </c>
    </row>
    <row r="1358" spans="1:8" ht="15" hidden="1" customHeight="1">
      <c r="A1358" t="s">
        <v>97</v>
      </c>
      <c r="B1358" t="s">
        <v>100</v>
      </c>
      <c r="C1358">
        <v>5</v>
      </c>
      <c r="D1358">
        <v>1</v>
      </c>
      <c r="E1358">
        <v>5</v>
      </c>
      <c r="F1358">
        <v>2</v>
      </c>
      <c r="G1358" t="s">
        <v>116</v>
      </c>
      <c r="H1358" t="str">
        <f>IFERROR(ROUND(COUNTIFS(Tasks!$A:$A,$A1358,Tasks!$B:$B,$B1358,Tasks!$C:$C,$G1358,Tasks!$I:$I,"&lt;="&amp;INDEX(Weeks!$D:$D,MATCH($C1358,Weeks!$A:$A,0)),Tasks!$I:$I,"&lt;&gt;")/COUNTIFS(Tasks!$A:$A,$A1358,Tasks!$B:$B,$B1358,Tasks!$C:$C,$G1358)*100,0),"")</f>
        <v/>
      </c>
    </row>
    <row r="1359" spans="1:8" ht="15" hidden="1" customHeight="1">
      <c r="A1359" t="s">
        <v>97</v>
      </c>
      <c r="B1359" t="s">
        <v>100</v>
      </c>
      <c r="C1359">
        <v>6</v>
      </c>
      <c r="D1359">
        <v>2</v>
      </c>
      <c r="E1359">
        <v>1</v>
      </c>
      <c r="F1359">
        <v>2</v>
      </c>
      <c r="G1359" t="s">
        <v>116</v>
      </c>
      <c r="H1359" t="str">
        <f>IFERROR(ROUND(COUNTIFS(Tasks!$A:$A,$A1359,Tasks!$B:$B,$B1359,Tasks!$C:$C,$G1359,Tasks!$I:$I,"&lt;="&amp;INDEX(Weeks!$D:$D,MATCH($C1359,Weeks!$A:$A,0)),Tasks!$I:$I,"&lt;&gt;")/COUNTIFS(Tasks!$A:$A,$A1359,Tasks!$B:$B,$B1359,Tasks!$C:$C,$G1359)*100,0),"")</f>
        <v/>
      </c>
    </row>
    <row r="1360" spans="1:8" ht="15" hidden="1" customHeight="1">
      <c r="A1360" t="s">
        <v>97</v>
      </c>
      <c r="B1360" t="s">
        <v>100</v>
      </c>
      <c r="C1360">
        <v>7</v>
      </c>
      <c r="D1360">
        <v>2</v>
      </c>
      <c r="E1360">
        <v>2</v>
      </c>
      <c r="F1360">
        <v>2</v>
      </c>
      <c r="G1360" t="s">
        <v>116</v>
      </c>
      <c r="H1360" t="str">
        <f>IFERROR(ROUND(COUNTIFS(Tasks!$A:$A,$A1360,Tasks!$B:$B,$B1360,Tasks!$C:$C,$G1360,Tasks!$I:$I,"&lt;="&amp;INDEX(Weeks!$D:$D,MATCH($C1360,Weeks!$A:$A,0)),Tasks!$I:$I,"&lt;&gt;")/COUNTIFS(Tasks!$A:$A,$A1360,Tasks!$B:$B,$B1360,Tasks!$C:$C,$G1360)*100,0),"")</f>
        <v/>
      </c>
    </row>
    <row r="1361" spans="1:8" ht="15" hidden="1" customHeight="1">
      <c r="A1361" t="s">
        <v>97</v>
      </c>
      <c r="B1361" t="s">
        <v>100</v>
      </c>
      <c r="C1361">
        <v>8</v>
      </c>
      <c r="D1361">
        <v>2</v>
      </c>
      <c r="E1361">
        <v>3</v>
      </c>
      <c r="F1361">
        <v>2</v>
      </c>
      <c r="G1361" t="s">
        <v>116</v>
      </c>
      <c r="H1361" t="str">
        <f>IFERROR(ROUND(COUNTIFS(Tasks!$A:$A,$A1361,Tasks!$B:$B,$B1361,Tasks!$C:$C,$G1361,Tasks!$I:$I,"&lt;="&amp;INDEX(Weeks!$D:$D,MATCH($C1361,Weeks!$A:$A,0)),Tasks!$I:$I,"&lt;&gt;")/COUNTIFS(Tasks!$A:$A,$A1361,Tasks!$B:$B,$B1361,Tasks!$C:$C,$G1361)*100,0),"")</f>
        <v/>
      </c>
    </row>
    <row r="1362" spans="1:8" ht="15" hidden="1" customHeight="1">
      <c r="A1362" t="s">
        <v>97</v>
      </c>
      <c r="B1362" t="s">
        <v>100</v>
      </c>
      <c r="C1362">
        <v>9</v>
      </c>
      <c r="D1362">
        <v>2</v>
      </c>
      <c r="E1362">
        <v>4</v>
      </c>
      <c r="F1362">
        <v>2</v>
      </c>
      <c r="G1362" t="s">
        <v>116</v>
      </c>
      <c r="H1362" t="str">
        <f>IFERROR(ROUND(COUNTIFS(Tasks!$A:$A,$A1362,Tasks!$B:$B,$B1362,Tasks!$C:$C,$G1362,Tasks!$I:$I,"&lt;="&amp;INDEX(Weeks!$D:$D,MATCH($C1362,Weeks!$A:$A,0)),Tasks!$I:$I,"&lt;&gt;")/COUNTIFS(Tasks!$A:$A,$A1362,Tasks!$B:$B,$B1362,Tasks!$C:$C,$G1362)*100,0),"")</f>
        <v/>
      </c>
    </row>
    <row r="1363" spans="1:8" ht="15" hidden="1" customHeight="1">
      <c r="A1363" t="s">
        <v>97</v>
      </c>
      <c r="B1363" t="s">
        <v>100</v>
      </c>
      <c r="C1363">
        <v>10</v>
      </c>
      <c r="D1363">
        <v>3</v>
      </c>
      <c r="E1363">
        <v>1</v>
      </c>
      <c r="F1363">
        <v>2</v>
      </c>
      <c r="G1363" t="s">
        <v>116</v>
      </c>
      <c r="H1363" t="str">
        <f>IFERROR(ROUND(COUNTIFS(Tasks!$A:$A,$A1363,Tasks!$B:$B,$B1363,Tasks!$C:$C,$G1363,Tasks!$I:$I,"&lt;="&amp;INDEX(Weeks!$D:$D,MATCH($C1363,Weeks!$A:$A,0)),Tasks!$I:$I,"&lt;&gt;")/COUNTIFS(Tasks!$A:$A,$A1363,Tasks!$B:$B,$B1363,Tasks!$C:$C,$G1363)*100,0),"")</f>
        <v/>
      </c>
    </row>
    <row r="1364" spans="1:8" ht="15" hidden="1" customHeight="1">
      <c r="A1364" t="s">
        <v>97</v>
      </c>
      <c r="B1364" t="s">
        <v>100</v>
      </c>
      <c r="C1364">
        <v>11</v>
      </c>
      <c r="D1364">
        <v>3</v>
      </c>
      <c r="E1364">
        <v>2</v>
      </c>
      <c r="F1364">
        <v>2</v>
      </c>
      <c r="G1364" t="s">
        <v>116</v>
      </c>
      <c r="H1364" t="str">
        <f>IFERROR(ROUND(COUNTIFS(Tasks!$A:$A,$A1364,Tasks!$B:$B,$B1364,Tasks!$C:$C,$G1364,Tasks!$I:$I,"&lt;="&amp;INDEX(Weeks!$D:$D,MATCH($C1364,Weeks!$A:$A,0)),Tasks!$I:$I,"&lt;&gt;")/COUNTIFS(Tasks!$A:$A,$A1364,Tasks!$B:$B,$B1364,Tasks!$C:$C,$G1364)*100,0),"")</f>
        <v/>
      </c>
    </row>
    <row r="1365" spans="1:8" ht="15" hidden="1" customHeight="1">
      <c r="A1365" t="s">
        <v>97</v>
      </c>
      <c r="B1365" t="s">
        <v>100</v>
      </c>
      <c r="C1365">
        <v>12</v>
      </c>
      <c r="D1365">
        <v>3</v>
      </c>
      <c r="E1365">
        <v>3</v>
      </c>
      <c r="F1365">
        <v>2</v>
      </c>
      <c r="G1365" t="s">
        <v>116</v>
      </c>
      <c r="H1365" t="str">
        <f>IFERROR(ROUND(COUNTIFS(Tasks!$A:$A,$A1365,Tasks!$B:$B,$B1365,Tasks!$C:$C,$G1365,Tasks!$I:$I,"&lt;="&amp;INDEX(Weeks!$D:$D,MATCH($C1365,Weeks!$A:$A,0)),Tasks!$I:$I,"&lt;&gt;")/COUNTIFS(Tasks!$A:$A,$A1365,Tasks!$B:$B,$B1365,Tasks!$C:$C,$G1365)*100,0),"")</f>
        <v/>
      </c>
    </row>
    <row r="1366" spans="1:8" ht="15" hidden="1" customHeight="1">
      <c r="A1366" t="s">
        <v>97</v>
      </c>
      <c r="B1366" t="s">
        <v>100</v>
      </c>
      <c r="C1366">
        <v>13</v>
      </c>
      <c r="D1366">
        <v>3</v>
      </c>
      <c r="E1366">
        <v>4</v>
      </c>
      <c r="F1366">
        <v>2</v>
      </c>
      <c r="G1366" t="s">
        <v>116</v>
      </c>
      <c r="H1366" t="str">
        <f>IFERROR(ROUND(COUNTIFS(Tasks!$A:$A,$A1366,Tasks!$B:$B,$B1366,Tasks!$C:$C,$G1366,Tasks!$I:$I,"&lt;="&amp;INDEX(Weeks!$D:$D,MATCH($C1366,Weeks!$A:$A,0)),Tasks!$I:$I,"&lt;&gt;")/COUNTIFS(Tasks!$A:$A,$A1366,Tasks!$B:$B,$B1366,Tasks!$C:$C,$G1366)*100,0),"")</f>
        <v/>
      </c>
    </row>
    <row r="1367" spans="1:8" ht="15" hidden="1" customHeight="1">
      <c r="A1367" t="s">
        <v>97</v>
      </c>
      <c r="B1367" t="s">
        <v>100</v>
      </c>
      <c r="C1367">
        <v>14</v>
      </c>
      <c r="D1367">
        <v>4</v>
      </c>
      <c r="E1367">
        <v>1</v>
      </c>
      <c r="F1367">
        <v>2</v>
      </c>
      <c r="G1367" t="s">
        <v>116</v>
      </c>
      <c r="H1367" t="str">
        <f>IFERROR(ROUND(COUNTIFS(Tasks!$A:$A,$A1367,Tasks!$B:$B,$B1367,Tasks!$C:$C,$G1367,Tasks!$I:$I,"&lt;="&amp;INDEX(Weeks!$D:$D,MATCH($C1367,Weeks!$A:$A,0)),Tasks!$I:$I,"&lt;&gt;")/COUNTIFS(Tasks!$A:$A,$A1367,Tasks!$B:$B,$B1367,Tasks!$C:$C,$G1367)*100,0),"")</f>
        <v/>
      </c>
    </row>
    <row r="1368" spans="1:8" ht="15" hidden="1" customHeight="1">
      <c r="A1368" t="s">
        <v>97</v>
      </c>
      <c r="B1368" t="s">
        <v>100</v>
      </c>
      <c r="C1368">
        <v>15</v>
      </c>
      <c r="D1368">
        <v>4</v>
      </c>
      <c r="E1368">
        <v>2</v>
      </c>
      <c r="F1368">
        <v>2</v>
      </c>
      <c r="G1368" t="s">
        <v>116</v>
      </c>
      <c r="H1368" t="str">
        <f>IFERROR(ROUND(COUNTIFS(Tasks!$A:$A,$A1368,Tasks!$B:$B,$B1368,Tasks!$C:$C,$G1368,Tasks!$I:$I,"&lt;="&amp;INDEX(Weeks!$D:$D,MATCH($C1368,Weeks!$A:$A,0)),Tasks!$I:$I,"&lt;&gt;")/COUNTIFS(Tasks!$A:$A,$A1368,Tasks!$B:$B,$B1368,Tasks!$C:$C,$G1368)*100,0),"")</f>
        <v/>
      </c>
    </row>
    <row r="1369" spans="1:8" ht="15" hidden="1" customHeight="1">
      <c r="A1369" t="s">
        <v>97</v>
      </c>
      <c r="B1369" t="s">
        <v>100</v>
      </c>
      <c r="C1369">
        <v>16</v>
      </c>
      <c r="D1369">
        <v>4</v>
      </c>
      <c r="E1369">
        <v>3</v>
      </c>
      <c r="F1369">
        <v>2</v>
      </c>
      <c r="G1369" t="s">
        <v>116</v>
      </c>
      <c r="H1369" t="str">
        <f>IFERROR(ROUND(COUNTIFS(Tasks!$A:$A,$A1369,Tasks!$B:$B,$B1369,Tasks!$C:$C,$G1369,Tasks!$I:$I,"&lt;="&amp;INDEX(Weeks!$D:$D,MATCH($C1369,Weeks!$A:$A,0)),Tasks!$I:$I,"&lt;&gt;")/COUNTIFS(Tasks!$A:$A,$A1369,Tasks!$B:$B,$B1369,Tasks!$C:$C,$G1369)*100,0),"")</f>
        <v/>
      </c>
    </row>
    <row r="1370" spans="1:8" ht="15" hidden="1" customHeight="1">
      <c r="A1370" t="s">
        <v>97</v>
      </c>
      <c r="B1370" t="s">
        <v>100</v>
      </c>
      <c r="C1370">
        <v>17</v>
      </c>
      <c r="D1370">
        <v>4</v>
      </c>
      <c r="E1370">
        <v>4</v>
      </c>
      <c r="F1370">
        <v>2</v>
      </c>
      <c r="G1370" t="s">
        <v>116</v>
      </c>
      <c r="H1370" t="str">
        <f>IFERROR(ROUND(COUNTIFS(Tasks!$A:$A,$A1370,Tasks!$B:$B,$B1370,Tasks!$C:$C,$G1370,Tasks!$I:$I,"&lt;="&amp;INDEX(Weeks!$D:$D,MATCH($C1370,Weeks!$A:$A,0)),Tasks!$I:$I,"&lt;&gt;")/COUNTIFS(Tasks!$A:$A,$A1370,Tasks!$B:$B,$B1370,Tasks!$C:$C,$G1370)*100,0),"")</f>
        <v/>
      </c>
    </row>
    <row r="1371" spans="1:8" ht="15" hidden="1" customHeight="1">
      <c r="A1371" t="s">
        <v>97</v>
      </c>
      <c r="B1371" t="s">
        <v>100</v>
      </c>
      <c r="C1371">
        <v>18</v>
      </c>
      <c r="D1371">
        <v>5</v>
      </c>
      <c r="E1371">
        <v>1</v>
      </c>
      <c r="F1371">
        <v>2</v>
      </c>
      <c r="G1371" t="s">
        <v>116</v>
      </c>
      <c r="H1371" t="str">
        <f>IFERROR(ROUND(COUNTIFS(Tasks!$A:$A,$A1371,Tasks!$B:$B,$B1371,Tasks!$C:$C,$G1371,Tasks!$I:$I,"&lt;="&amp;INDEX(Weeks!$D:$D,MATCH($C1371,Weeks!$A:$A,0)),Tasks!$I:$I,"&lt;&gt;")/COUNTIFS(Tasks!$A:$A,$A1371,Tasks!$B:$B,$B1371,Tasks!$C:$C,$G1371)*100,0),"")</f>
        <v/>
      </c>
    </row>
    <row r="1372" spans="1:8" ht="15" hidden="1" customHeight="1">
      <c r="A1372" t="s">
        <v>97</v>
      </c>
      <c r="B1372" t="s">
        <v>100</v>
      </c>
      <c r="C1372">
        <v>19</v>
      </c>
      <c r="D1372">
        <v>5</v>
      </c>
      <c r="E1372">
        <v>2</v>
      </c>
      <c r="F1372">
        <v>2</v>
      </c>
      <c r="G1372" t="s">
        <v>116</v>
      </c>
      <c r="H1372" t="str">
        <f>IFERROR(ROUND(COUNTIFS(Tasks!$A:$A,$A1372,Tasks!$B:$B,$B1372,Tasks!$C:$C,$G1372,Tasks!$I:$I,"&lt;="&amp;INDEX(Weeks!$D:$D,MATCH($C1372,Weeks!$A:$A,0)),Tasks!$I:$I,"&lt;&gt;")/COUNTIFS(Tasks!$A:$A,$A1372,Tasks!$B:$B,$B1372,Tasks!$C:$C,$G1372)*100,0),"")</f>
        <v/>
      </c>
    </row>
    <row r="1373" spans="1:8" ht="15" hidden="1" customHeight="1">
      <c r="A1373" t="s">
        <v>97</v>
      </c>
      <c r="B1373" t="s">
        <v>100</v>
      </c>
      <c r="C1373">
        <v>20</v>
      </c>
      <c r="D1373">
        <v>5</v>
      </c>
      <c r="E1373">
        <v>3</v>
      </c>
      <c r="F1373">
        <v>2</v>
      </c>
      <c r="G1373" t="s">
        <v>116</v>
      </c>
      <c r="H1373" t="str">
        <f>IFERROR(ROUND(COUNTIFS(Tasks!$A:$A,$A1373,Tasks!$B:$B,$B1373,Tasks!$C:$C,$G1373,Tasks!$I:$I,"&lt;="&amp;INDEX(Weeks!$D:$D,MATCH($C1373,Weeks!$A:$A,0)),Tasks!$I:$I,"&lt;&gt;")/COUNTIFS(Tasks!$A:$A,$A1373,Tasks!$B:$B,$B1373,Tasks!$C:$C,$G1373)*100,0),"")</f>
        <v/>
      </c>
    </row>
    <row r="1374" spans="1:8" ht="15" hidden="1" customHeight="1">
      <c r="A1374" t="s">
        <v>97</v>
      </c>
      <c r="B1374" t="s">
        <v>100</v>
      </c>
      <c r="C1374">
        <v>21</v>
      </c>
      <c r="D1374">
        <v>5</v>
      </c>
      <c r="E1374">
        <v>4</v>
      </c>
      <c r="F1374">
        <v>2</v>
      </c>
      <c r="G1374" t="s">
        <v>116</v>
      </c>
      <c r="H1374" t="str">
        <f>IFERROR(ROUND(COUNTIFS(Tasks!$A:$A,$A1374,Tasks!$B:$B,$B1374,Tasks!$C:$C,$G1374,Tasks!$I:$I,"&lt;="&amp;INDEX(Weeks!$D:$D,MATCH($C1374,Weeks!$A:$A,0)),Tasks!$I:$I,"&lt;&gt;")/COUNTIFS(Tasks!$A:$A,$A1374,Tasks!$B:$B,$B1374,Tasks!$C:$C,$G1374)*100,0),"")</f>
        <v/>
      </c>
    </row>
    <row r="1375" spans="1:8" ht="15" hidden="1" customHeight="1">
      <c r="A1375" t="s">
        <v>97</v>
      </c>
      <c r="B1375" t="s">
        <v>100</v>
      </c>
      <c r="C1375">
        <v>22</v>
      </c>
      <c r="D1375">
        <v>5</v>
      </c>
      <c r="E1375">
        <v>5</v>
      </c>
      <c r="F1375">
        <v>2</v>
      </c>
      <c r="G1375" t="s">
        <v>116</v>
      </c>
      <c r="H1375" t="str">
        <f>IFERROR(ROUND(COUNTIFS(Tasks!$A:$A,$A1375,Tasks!$B:$B,$B1375,Tasks!$C:$C,$G1375,Tasks!$I:$I,"&lt;="&amp;INDEX(Weeks!$D:$D,MATCH($C1375,Weeks!$A:$A,0)),Tasks!$I:$I,"&lt;&gt;")/COUNTIFS(Tasks!$A:$A,$A1375,Tasks!$B:$B,$B1375,Tasks!$C:$C,$G1375)*100,0),"")</f>
        <v/>
      </c>
    </row>
    <row r="1376" spans="1:8" ht="15" hidden="1" customHeight="1">
      <c r="A1376" t="s">
        <v>97</v>
      </c>
      <c r="B1376" t="s">
        <v>100</v>
      </c>
      <c r="C1376">
        <v>23</v>
      </c>
      <c r="D1376">
        <v>6</v>
      </c>
      <c r="E1376">
        <v>1</v>
      </c>
      <c r="F1376">
        <v>2</v>
      </c>
      <c r="G1376" t="s">
        <v>116</v>
      </c>
      <c r="H1376" t="str">
        <f>IFERROR(ROUND(COUNTIFS(Tasks!$A:$A,$A1376,Tasks!$B:$B,$B1376,Tasks!$C:$C,$G1376,Tasks!$I:$I,"&lt;="&amp;INDEX(Weeks!$D:$D,MATCH($C1376,Weeks!$A:$A,0)),Tasks!$I:$I,"&lt;&gt;")/COUNTIFS(Tasks!$A:$A,$A1376,Tasks!$B:$B,$B1376,Tasks!$C:$C,$G1376)*100,0),"")</f>
        <v/>
      </c>
    </row>
    <row r="1377" spans="1:8" ht="15" hidden="1" customHeight="1">
      <c r="A1377" t="s">
        <v>97</v>
      </c>
      <c r="B1377" t="s">
        <v>100</v>
      </c>
      <c r="C1377">
        <v>24</v>
      </c>
      <c r="D1377">
        <v>6</v>
      </c>
      <c r="E1377">
        <v>2</v>
      </c>
      <c r="F1377">
        <v>2</v>
      </c>
      <c r="G1377" t="s">
        <v>116</v>
      </c>
      <c r="H1377" t="str">
        <f>IFERROR(ROUND(COUNTIFS(Tasks!$A:$A,$A1377,Tasks!$B:$B,$B1377,Tasks!$C:$C,$G1377,Tasks!$I:$I,"&lt;="&amp;INDEX(Weeks!$D:$D,MATCH($C1377,Weeks!$A:$A,0)),Tasks!$I:$I,"&lt;&gt;")/COUNTIFS(Tasks!$A:$A,$A1377,Tasks!$B:$B,$B1377,Tasks!$C:$C,$G1377)*100,0),"")</f>
        <v/>
      </c>
    </row>
    <row r="1378" spans="1:8" ht="15" hidden="1" customHeight="1">
      <c r="A1378" t="s">
        <v>97</v>
      </c>
      <c r="B1378" t="s">
        <v>100</v>
      </c>
      <c r="C1378">
        <v>25</v>
      </c>
      <c r="D1378">
        <v>6</v>
      </c>
      <c r="E1378">
        <v>3</v>
      </c>
      <c r="F1378">
        <v>2</v>
      </c>
      <c r="G1378" t="s">
        <v>116</v>
      </c>
      <c r="H1378" t="str">
        <f>IFERROR(ROUND(COUNTIFS(Tasks!$A:$A,$A1378,Tasks!$B:$B,$B1378,Tasks!$C:$C,$G1378,Tasks!$I:$I,"&lt;="&amp;INDEX(Weeks!$D:$D,MATCH($C1378,Weeks!$A:$A,0)),Tasks!$I:$I,"&lt;&gt;")/COUNTIFS(Tasks!$A:$A,$A1378,Tasks!$B:$B,$B1378,Tasks!$C:$C,$G1378)*100,0),"")</f>
        <v/>
      </c>
    </row>
    <row r="1379" spans="1:8" ht="15" hidden="1" customHeight="1">
      <c r="A1379" t="s">
        <v>97</v>
      </c>
      <c r="B1379" t="s">
        <v>100</v>
      </c>
      <c r="C1379">
        <v>26</v>
      </c>
      <c r="D1379">
        <v>6</v>
      </c>
      <c r="E1379">
        <v>4</v>
      </c>
      <c r="F1379">
        <v>2</v>
      </c>
      <c r="G1379" t="s">
        <v>116</v>
      </c>
      <c r="H1379" t="str">
        <f>IFERROR(ROUND(COUNTIFS(Tasks!$A:$A,$A1379,Tasks!$B:$B,$B1379,Tasks!$C:$C,$G1379,Tasks!$I:$I,"&lt;="&amp;INDEX(Weeks!$D:$D,MATCH($C1379,Weeks!$A:$A,0)),Tasks!$I:$I,"&lt;&gt;")/COUNTIFS(Tasks!$A:$A,$A1379,Tasks!$B:$B,$B1379,Tasks!$C:$C,$G1379)*100,0),"")</f>
        <v/>
      </c>
    </row>
    <row r="1380" spans="1:8" ht="15" hidden="1" customHeight="1">
      <c r="A1380" t="s">
        <v>97</v>
      </c>
      <c r="B1380" t="s">
        <v>100</v>
      </c>
      <c r="C1380">
        <v>27</v>
      </c>
      <c r="D1380">
        <v>7</v>
      </c>
      <c r="E1380">
        <v>1</v>
      </c>
      <c r="F1380">
        <v>2</v>
      </c>
      <c r="G1380" t="s">
        <v>116</v>
      </c>
      <c r="H1380" t="str">
        <f>IFERROR(ROUND(COUNTIFS(Tasks!$A:$A,$A1380,Tasks!$B:$B,$B1380,Tasks!$C:$C,$G1380,Tasks!$I:$I,"&lt;="&amp;INDEX(Weeks!$D:$D,MATCH($C1380,Weeks!$A:$A,0)),Tasks!$I:$I,"&lt;&gt;")/COUNTIFS(Tasks!$A:$A,$A1380,Tasks!$B:$B,$B1380,Tasks!$C:$C,$G1380)*100,0),"")</f>
        <v/>
      </c>
    </row>
    <row r="1381" spans="1:8" ht="15" hidden="1" customHeight="1">
      <c r="A1381" t="s">
        <v>97</v>
      </c>
      <c r="B1381" t="s">
        <v>100</v>
      </c>
      <c r="C1381">
        <v>28</v>
      </c>
      <c r="D1381">
        <v>7</v>
      </c>
      <c r="E1381">
        <v>2</v>
      </c>
      <c r="F1381">
        <v>2</v>
      </c>
      <c r="G1381" t="s">
        <v>116</v>
      </c>
      <c r="H1381" t="str">
        <f>IFERROR(ROUND(COUNTIFS(Tasks!$A:$A,$A1381,Tasks!$B:$B,$B1381,Tasks!$C:$C,$G1381,Tasks!$I:$I,"&lt;="&amp;INDEX(Weeks!$D:$D,MATCH($C1381,Weeks!$A:$A,0)),Tasks!$I:$I,"&lt;&gt;")/COUNTIFS(Tasks!$A:$A,$A1381,Tasks!$B:$B,$B1381,Tasks!$C:$C,$G1381)*100,0),"")</f>
        <v/>
      </c>
    </row>
    <row r="1382" spans="1:8" ht="15" hidden="1" customHeight="1">
      <c r="A1382" t="s">
        <v>97</v>
      </c>
      <c r="B1382" t="s">
        <v>100</v>
      </c>
      <c r="C1382">
        <v>29</v>
      </c>
      <c r="D1382">
        <v>7</v>
      </c>
      <c r="E1382">
        <v>3</v>
      </c>
      <c r="F1382">
        <v>2</v>
      </c>
      <c r="G1382" t="s">
        <v>116</v>
      </c>
      <c r="H1382" t="str">
        <f>IFERROR(ROUND(COUNTIFS(Tasks!$A:$A,$A1382,Tasks!$B:$B,$B1382,Tasks!$C:$C,$G1382,Tasks!$I:$I,"&lt;="&amp;INDEX(Weeks!$D:$D,MATCH($C1382,Weeks!$A:$A,0)),Tasks!$I:$I,"&lt;&gt;")/COUNTIFS(Tasks!$A:$A,$A1382,Tasks!$B:$B,$B1382,Tasks!$C:$C,$G1382)*100,0),"")</f>
        <v/>
      </c>
    </row>
    <row r="1383" spans="1:8" ht="15" hidden="1" customHeight="1">
      <c r="A1383" t="s">
        <v>97</v>
      </c>
      <c r="B1383" t="s">
        <v>100</v>
      </c>
      <c r="C1383">
        <v>30</v>
      </c>
      <c r="D1383">
        <v>7</v>
      </c>
      <c r="E1383">
        <v>4</v>
      </c>
      <c r="F1383">
        <v>2</v>
      </c>
      <c r="G1383" t="s">
        <v>116</v>
      </c>
      <c r="H1383" t="str">
        <f>IFERROR(ROUND(COUNTIFS(Tasks!$A:$A,$A1383,Tasks!$B:$B,$B1383,Tasks!$C:$C,$G1383,Tasks!$I:$I,"&lt;="&amp;INDEX(Weeks!$D:$D,MATCH($C1383,Weeks!$A:$A,0)),Tasks!$I:$I,"&lt;&gt;")/COUNTIFS(Tasks!$A:$A,$A1383,Tasks!$B:$B,$B1383,Tasks!$C:$C,$G1383)*100,0),"")</f>
        <v/>
      </c>
    </row>
    <row r="1384" spans="1:8" ht="15" hidden="1" customHeight="1">
      <c r="A1384" t="s">
        <v>97</v>
      </c>
      <c r="B1384" t="s">
        <v>100</v>
      </c>
      <c r="C1384">
        <v>31</v>
      </c>
      <c r="D1384">
        <v>8</v>
      </c>
      <c r="E1384">
        <v>1</v>
      </c>
      <c r="F1384">
        <v>2</v>
      </c>
      <c r="G1384" t="s">
        <v>116</v>
      </c>
      <c r="H1384" t="str">
        <f>IFERROR(ROUND(COUNTIFS(Tasks!$A:$A,$A1384,Tasks!$B:$B,$B1384,Tasks!$C:$C,$G1384,Tasks!$I:$I,"&lt;="&amp;INDEX(Weeks!$D:$D,MATCH($C1384,Weeks!$A:$A,0)),Tasks!$I:$I,"&lt;&gt;")/COUNTIFS(Tasks!$A:$A,$A1384,Tasks!$B:$B,$B1384,Tasks!$C:$C,$G1384)*100,0),"")</f>
        <v/>
      </c>
    </row>
    <row r="1385" spans="1:8" ht="15" hidden="1" customHeight="1">
      <c r="A1385" t="s">
        <v>97</v>
      </c>
      <c r="B1385" t="s">
        <v>100</v>
      </c>
      <c r="C1385">
        <v>32</v>
      </c>
      <c r="D1385">
        <v>8</v>
      </c>
      <c r="E1385">
        <v>2</v>
      </c>
      <c r="F1385">
        <v>2</v>
      </c>
      <c r="G1385" t="s">
        <v>116</v>
      </c>
      <c r="H1385" t="str">
        <f>IFERROR(ROUND(COUNTIFS(Tasks!$A:$A,$A1385,Tasks!$B:$B,$B1385,Tasks!$C:$C,$G1385,Tasks!$I:$I,"&lt;="&amp;INDEX(Weeks!$D:$D,MATCH($C1385,Weeks!$A:$A,0)),Tasks!$I:$I,"&lt;&gt;")/COUNTIFS(Tasks!$A:$A,$A1385,Tasks!$B:$B,$B1385,Tasks!$C:$C,$G1385)*100,0),"")</f>
        <v/>
      </c>
    </row>
    <row r="1386" spans="1:8" ht="15" hidden="1" customHeight="1">
      <c r="A1386" t="s">
        <v>97</v>
      </c>
      <c r="B1386" t="s">
        <v>100</v>
      </c>
      <c r="C1386">
        <v>33</v>
      </c>
      <c r="D1386">
        <v>8</v>
      </c>
      <c r="E1386">
        <v>3</v>
      </c>
      <c r="F1386">
        <v>2</v>
      </c>
      <c r="G1386" t="s">
        <v>116</v>
      </c>
      <c r="H1386" t="str">
        <f>IFERROR(ROUND(COUNTIFS(Tasks!$A:$A,$A1386,Tasks!$B:$B,$B1386,Tasks!$C:$C,$G1386,Tasks!$I:$I,"&lt;="&amp;INDEX(Weeks!$D:$D,MATCH($C1386,Weeks!$A:$A,0)),Tasks!$I:$I,"&lt;&gt;")/COUNTIFS(Tasks!$A:$A,$A1386,Tasks!$B:$B,$B1386,Tasks!$C:$C,$G1386)*100,0),"")</f>
        <v/>
      </c>
    </row>
    <row r="1387" spans="1:8" ht="15" hidden="1" customHeight="1">
      <c r="A1387" t="s">
        <v>97</v>
      </c>
      <c r="B1387" t="s">
        <v>100</v>
      </c>
      <c r="C1387">
        <v>34</v>
      </c>
      <c r="D1387">
        <v>8</v>
      </c>
      <c r="E1387">
        <v>4</v>
      </c>
      <c r="F1387">
        <v>2</v>
      </c>
      <c r="G1387" t="s">
        <v>116</v>
      </c>
      <c r="H1387" t="str">
        <f>IFERROR(ROUND(COUNTIFS(Tasks!$A:$A,$A1387,Tasks!$B:$B,$B1387,Tasks!$C:$C,$G1387,Tasks!$I:$I,"&lt;="&amp;INDEX(Weeks!$D:$D,MATCH($C1387,Weeks!$A:$A,0)),Tasks!$I:$I,"&lt;&gt;")/COUNTIFS(Tasks!$A:$A,$A1387,Tasks!$B:$B,$B1387,Tasks!$C:$C,$G1387)*100,0),"")</f>
        <v/>
      </c>
    </row>
    <row r="1388" spans="1:8" ht="15" hidden="1" customHeight="1">
      <c r="A1388" t="s">
        <v>97</v>
      </c>
      <c r="B1388" t="s">
        <v>100</v>
      </c>
      <c r="C1388">
        <v>35</v>
      </c>
      <c r="D1388">
        <v>8</v>
      </c>
      <c r="E1388">
        <v>5</v>
      </c>
      <c r="F1388">
        <v>2</v>
      </c>
      <c r="G1388" t="s">
        <v>116</v>
      </c>
      <c r="H1388" t="str">
        <f>IFERROR(ROUND(COUNTIFS(Tasks!$A:$A,$A1388,Tasks!$B:$B,$B1388,Tasks!$C:$C,$G1388,Tasks!$I:$I,"&lt;="&amp;INDEX(Weeks!$D:$D,MATCH($C1388,Weeks!$A:$A,0)),Tasks!$I:$I,"&lt;&gt;")/COUNTIFS(Tasks!$A:$A,$A1388,Tasks!$B:$B,$B1388,Tasks!$C:$C,$G1388)*100,0),"")</f>
        <v/>
      </c>
    </row>
    <row r="1389" spans="1:8" ht="15" hidden="1" customHeight="1">
      <c r="A1389" t="s">
        <v>97</v>
      </c>
      <c r="B1389" t="s">
        <v>100</v>
      </c>
      <c r="C1389">
        <v>36</v>
      </c>
      <c r="D1389">
        <v>9</v>
      </c>
      <c r="E1389">
        <v>1</v>
      </c>
      <c r="F1389">
        <v>2</v>
      </c>
      <c r="G1389" t="s">
        <v>116</v>
      </c>
      <c r="H1389" t="str">
        <f>IFERROR(ROUND(COUNTIFS(Tasks!$A:$A,$A1389,Tasks!$B:$B,$B1389,Tasks!$C:$C,$G1389,Tasks!$I:$I,"&lt;="&amp;INDEX(Weeks!$D:$D,MATCH($C1389,Weeks!$A:$A,0)),Tasks!$I:$I,"&lt;&gt;")/COUNTIFS(Tasks!$A:$A,$A1389,Tasks!$B:$B,$B1389,Tasks!$C:$C,$G1389)*100,0),"")</f>
        <v/>
      </c>
    </row>
    <row r="1390" spans="1:8" ht="15" hidden="1" customHeight="1">
      <c r="A1390" t="s">
        <v>97</v>
      </c>
      <c r="B1390" t="s">
        <v>100</v>
      </c>
      <c r="C1390">
        <v>37</v>
      </c>
      <c r="D1390">
        <v>9</v>
      </c>
      <c r="E1390">
        <v>2</v>
      </c>
      <c r="F1390">
        <v>2</v>
      </c>
      <c r="G1390" t="s">
        <v>116</v>
      </c>
      <c r="H1390" t="str">
        <f>IFERROR(ROUND(COUNTIFS(Tasks!$A:$A,$A1390,Tasks!$B:$B,$B1390,Tasks!$C:$C,$G1390,Tasks!$I:$I,"&lt;="&amp;INDEX(Weeks!$D:$D,MATCH($C1390,Weeks!$A:$A,0)),Tasks!$I:$I,"&lt;&gt;")/COUNTIFS(Tasks!$A:$A,$A1390,Tasks!$B:$B,$B1390,Tasks!$C:$C,$G1390)*100,0),"")</f>
        <v/>
      </c>
    </row>
    <row r="1391" spans="1:8" ht="15" hidden="1" customHeight="1">
      <c r="A1391" t="s">
        <v>97</v>
      </c>
      <c r="B1391" t="s">
        <v>100</v>
      </c>
      <c r="C1391">
        <v>38</v>
      </c>
      <c r="D1391">
        <v>9</v>
      </c>
      <c r="E1391">
        <v>3</v>
      </c>
      <c r="F1391">
        <v>2</v>
      </c>
      <c r="G1391" t="s">
        <v>116</v>
      </c>
      <c r="H1391" t="str">
        <f>IFERROR(ROUND(COUNTIFS(Tasks!$A:$A,$A1391,Tasks!$B:$B,$B1391,Tasks!$C:$C,$G1391,Tasks!$I:$I,"&lt;="&amp;INDEX(Weeks!$D:$D,MATCH($C1391,Weeks!$A:$A,0)),Tasks!$I:$I,"&lt;&gt;")/COUNTIFS(Tasks!$A:$A,$A1391,Tasks!$B:$B,$B1391,Tasks!$C:$C,$G1391)*100,0),"")</f>
        <v/>
      </c>
    </row>
    <row r="1392" spans="1:8" ht="15" hidden="1" customHeight="1">
      <c r="A1392" t="s">
        <v>97</v>
      </c>
      <c r="B1392" t="s">
        <v>100</v>
      </c>
      <c r="C1392">
        <v>39</v>
      </c>
      <c r="D1392">
        <v>9</v>
      </c>
      <c r="E1392">
        <v>4</v>
      </c>
      <c r="F1392">
        <v>2</v>
      </c>
      <c r="G1392" t="s">
        <v>116</v>
      </c>
      <c r="H1392" t="str">
        <f>IFERROR(ROUND(COUNTIFS(Tasks!$A:$A,$A1392,Tasks!$B:$B,$B1392,Tasks!$C:$C,$G1392,Tasks!$I:$I,"&lt;="&amp;INDEX(Weeks!$D:$D,MATCH($C1392,Weeks!$A:$A,0)),Tasks!$I:$I,"&lt;&gt;")/COUNTIFS(Tasks!$A:$A,$A1392,Tasks!$B:$B,$B1392,Tasks!$C:$C,$G1392)*100,0),"")</f>
        <v/>
      </c>
    </row>
    <row r="1393" spans="1:8" ht="15" hidden="1" customHeight="1">
      <c r="A1393" t="s">
        <v>97</v>
      </c>
      <c r="B1393" t="s">
        <v>100</v>
      </c>
      <c r="C1393">
        <v>40</v>
      </c>
      <c r="D1393">
        <v>10</v>
      </c>
      <c r="E1393">
        <v>1</v>
      </c>
      <c r="F1393">
        <v>2</v>
      </c>
      <c r="G1393" t="s">
        <v>116</v>
      </c>
      <c r="H1393" t="str">
        <f>IFERROR(ROUND(COUNTIFS(Tasks!$A:$A,$A1393,Tasks!$B:$B,$B1393,Tasks!$C:$C,$G1393,Tasks!$I:$I,"&lt;="&amp;INDEX(Weeks!$D:$D,MATCH($C1393,Weeks!$A:$A,0)),Tasks!$I:$I,"&lt;&gt;")/COUNTIFS(Tasks!$A:$A,$A1393,Tasks!$B:$B,$B1393,Tasks!$C:$C,$G1393)*100,0),"")</f>
        <v/>
      </c>
    </row>
    <row r="1394" spans="1:8" ht="15" hidden="1" customHeight="1">
      <c r="A1394" t="s">
        <v>97</v>
      </c>
      <c r="B1394" t="s">
        <v>100</v>
      </c>
      <c r="C1394">
        <v>41</v>
      </c>
      <c r="D1394">
        <v>10</v>
      </c>
      <c r="E1394">
        <v>2</v>
      </c>
      <c r="F1394">
        <v>2</v>
      </c>
      <c r="G1394" t="s">
        <v>116</v>
      </c>
      <c r="H1394" t="str">
        <f>IFERROR(ROUND(COUNTIFS(Tasks!$A:$A,$A1394,Tasks!$B:$B,$B1394,Tasks!$C:$C,$G1394,Tasks!$I:$I,"&lt;="&amp;INDEX(Weeks!$D:$D,MATCH($C1394,Weeks!$A:$A,0)),Tasks!$I:$I,"&lt;&gt;")/COUNTIFS(Tasks!$A:$A,$A1394,Tasks!$B:$B,$B1394,Tasks!$C:$C,$G1394)*100,0),"")</f>
        <v/>
      </c>
    </row>
    <row r="1395" spans="1:8" ht="15" hidden="1" customHeight="1">
      <c r="A1395" t="s">
        <v>97</v>
      </c>
      <c r="B1395" t="s">
        <v>100</v>
      </c>
      <c r="C1395">
        <v>42</v>
      </c>
      <c r="D1395">
        <v>10</v>
      </c>
      <c r="E1395">
        <v>3</v>
      </c>
      <c r="F1395">
        <v>2</v>
      </c>
      <c r="G1395" t="s">
        <v>116</v>
      </c>
      <c r="H1395" t="str">
        <f>IFERROR(ROUND(COUNTIFS(Tasks!$A:$A,$A1395,Tasks!$B:$B,$B1395,Tasks!$C:$C,$G1395,Tasks!$I:$I,"&lt;="&amp;INDEX(Weeks!$D:$D,MATCH($C1395,Weeks!$A:$A,0)),Tasks!$I:$I,"&lt;&gt;")/COUNTIFS(Tasks!$A:$A,$A1395,Tasks!$B:$B,$B1395,Tasks!$C:$C,$G1395)*100,0),"")</f>
        <v/>
      </c>
    </row>
    <row r="1396" spans="1:8" ht="15" hidden="1" customHeight="1">
      <c r="A1396" t="s">
        <v>97</v>
      </c>
      <c r="B1396" t="s">
        <v>100</v>
      </c>
      <c r="C1396">
        <v>43</v>
      </c>
      <c r="D1396">
        <v>10</v>
      </c>
      <c r="E1396">
        <v>4</v>
      </c>
      <c r="F1396">
        <v>2</v>
      </c>
      <c r="G1396" t="s">
        <v>116</v>
      </c>
      <c r="H1396" t="str">
        <f>IFERROR(ROUND(COUNTIFS(Tasks!$A:$A,$A1396,Tasks!$B:$B,$B1396,Tasks!$C:$C,$G1396,Tasks!$I:$I,"&lt;="&amp;INDEX(Weeks!$D:$D,MATCH($C1396,Weeks!$A:$A,0)),Tasks!$I:$I,"&lt;&gt;")/COUNTIFS(Tasks!$A:$A,$A1396,Tasks!$B:$B,$B1396,Tasks!$C:$C,$G1396)*100,0),"")</f>
        <v/>
      </c>
    </row>
    <row r="1397" spans="1:8" ht="15" hidden="1" customHeight="1">
      <c r="A1397" t="s">
        <v>97</v>
      </c>
      <c r="B1397" t="s">
        <v>100</v>
      </c>
      <c r="C1397">
        <v>44</v>
      </c>
      <c r="D1397">
        <v>10</v>
      </c>
      <c r="E1397">
        <v>5</v>
      </c>
      <c r="F1397">
        <v>2</v>
      </c>
      <c r="G1397" t="s">
        <v>116</v>
      </c>
      <c r="H1397" t="str">
        <f>IFERROR(ROUND(COUNTIFS(Tasks!$A:$A,$A1397,Tasks!$B:$B,$B1397,Tasks!$C:$C,$G1397,Tasks!$I:$I,"&lt;="&amp;INDEX(Weeks!$D:$D,MATCH($C1397,Weeks!$A:$A,0)),Tasks!$I:$I,"&lt;&gt;")/COUNTIFS(Tasks!$A:$A,$A1397,Tasks!$B:$B,$B1397,Tasks!$C:$C,$G1397)*100,0),"")</f>
        <v/>
      </c>
    </row>
    <row r="1398" spans="1:8" ht="15" hidden="1" customHeight="1">
      <c r="A1398" t="s">
        <v>97</v>
      </c>
      <c r="B1398" t="s">
        <v>100</v>
      </c>
      <c r="C1398">
        <v>45</v>
      </c>
      <c r="D1398">
        <v>11</v>
      </c>
      <c r="E1398">
        <v>1</v>
      </c>
      <c r="F1398">
        <v>2</v>
      </c>
      <c r="G1398" t="s">
        <v>116</v>
      </c>
      <c r="H1398" t="str">
        <f>IFERROR(ROUND(COUNTIFS(Tasks!$A:$A,$A1398,Tasks!$B:$B,$B1398,Tasks!$C:$C,$G1398,Tasks!$I:$I,"&lt;="&amp;INDEX(Weeks!$D:$D,MATCH($C1398,Weeks!$A:$A,0)),Tasks!$I:$I,"&lt;&gt;")/COUNTIFS(Tasks!$A:$A,$A1398,Tasks!$B:$B,$B1398,Tasks!$C:$C,$G1398)*100,0),"")</f>
        <v/>
      </c>
    </row>
    <row r="1399" spans="1:8" ht="15" hidden="1" customHeight="1">
      <c r="A1399" t="s">
        <v>97</v>
      </c>
      <c r="B1399" t="s">
        <v>100</v>
      </c>
      <c r="C1399">
        <v>46</v>
      </c>
      <c r="D1399">
        <v>11</v>
      </c>
      <c r="E1399">
        <v>2</v>
      </c>
      <c r="F1399">
        <v>2</v>
      </c>
      <c r="G1399" t="s">
        <v>116</v>
      </c>
      <c r="H1399" t="str">
        <f>IFERROR(ROUND(COUNTIFS(Tasks!$A:$A,$A1399,Tasks!$B:$B,$B1399,Tasks!$C:$C,$G1399,Tasks!$I:$I,"&lt;="&amp;INDEX(Weeks!$D:$D,MATCH($C1399,Weeks!$A:$A,0)),Tasks!$I:$I,"&lt;&gt;")/COUNTIFS(Tasks!$A:$A,$A1399,Tasks!$B:$B,$B1399,Tasks!$C:$C,$G1399)*100,0),"")</f>
        <v/>
      </c>
    </row>
    <row r="1400" spans="1:8" ht="15" hidden="1" customHeight="1">
      <c r="A1400" t="s">
        <v>97</v>
      </c>
      <c r="B1400" t="s">
        <v>100</v>
      </c>
      <c r="C1400">
        <v>47</v>
      </c>
      <c r="D1400">
        <v>11</v>
      </c>
      <c r="E1400">
        <v>3</v>
      </c>
      <c r="F1400">
        <v>2</v>
      </c>
      <c r="G1400" t="s">
        <v>116</v>
      </c>
      <c r="H1400" t="str">
        <f>IFERROR(ROUND(COUNTIFS(Tasks!$A:$A,$A1400,Tasks!$B:$B,$B1400,Tasks!$C:$C,$G1400,Tasks!$I:$I,"&lt;="&amp;INDEX(Weeks!$D:$D,MATCH($C1400,Weeks!$A:$A,0)),Tasks!$I:$I,"&lt;&gt;")/COUNTIFS(Tasks!$A:$A,$A1400,Tasks!$B:$B,$B1400,Tasks!$C:$C,$G1400)*100,0),"")</f>
        <v/>
      </c>
    </row>
    <row r="1401" spans="1:8" ht="15" hidden="1" customHeight="1">
      <c r="A1401" t="s">
        <v>97</v>
      </c>
      <c r="B1401" t="s">
        <v>100</v>
      </c>
      <c r="C1401">
        <v>48</v>
      </c>
      <c r="D1401">
        <v>11</v>
      </c>
      <c r="E1401">
        <v>4</v>
      </c>
      <c r="F1401">
        <v>2</v>
      </c>
      <c r="G1401" t="s">
        <v>116</v>
      </c>
      <c r="H1401" t="str">
        <f>IFERROR(ROUND(COUNTIFS(Tasks!$A:$A,$A1401,Tasks!$B:$B,$B1401,Tasks!$C:$C,$G1401,Tasks!$I:$I,"&lt;="&amp;INDEX(Weeks!$D:$D,MATCH($C1401,Weeks!$A:$A,0)),Tasks!$I:$I,"&lt;&gt;")/COUNTIFS(Tasks!$A:$A,$A1401,Tasks!$B:$B,$B1401,Tasks!$C:$C,$G1401)*100,0),"")</f>
        <v/>
      </c>
    </row>
    <row r="1402" spans="1:8" ht="15" hidden="1" customHeight="1">
      <c r="A1402" t="s">
        <v>97</v>
      </c>
      <c r="B1402" t="s">
        <v>100</v>
      </c>
      <c r="C1402">
        <v>49</v>
      </c>
      <c r="D1402">
        <v>12</v>
      </c>
      <c r="E1402">
        <v>1</v>
      </c>
      <c r="F1402">
        <v>2</v>
      </c>
      <c r="G1402" t="s">
        <v>116</v>
      </c>
      <c r="H1402" t="str">
        <f>IFERROR(ROUND(COUNTIFS(Tasks!$A:$A,$A1402,Tasks!$B:$B,$B1402,Tasks!$C:$C,$G1402,Tasks!$I:$I,"&lt;="&amp;INDEX(Weeks!$D:$D,MATCH($C1402,Weeks!$A:$A,0)),Tasks!$I:$I,"&lt;&gt;")/COUNTIFS(Tasks!$A:$A,$A1402,Tasks!$B:$B,$B1402,Tasks!$C:$C,$G1402)*100,0),"")</f>
        <v/>
      </c>
    </row>
    <row r="1403" spans="1:8" ht="15" hidden="1" customHeight="1">
      <c r="A1403" t="s">
        <v>97</v>
      </c>
      <c r="B1403" t="s">
        <v>100</v>
      </c>
      <c r="C1403">
        <v>50</v>
      </c>
      <c r="D1403">
        <v>12</v>
      </c>
      <c r="E1403">
        <v>2</v>
      </c>
      <c r="F1403">
        <v>2</v>
      </c>
      <c r="G1403" t="s">
        <v>116</v>
      </c>
      <c r="H1403" t="str">
        <f>IFERROR(ROUND(COUNTIFS(Tasks!$A:$A,$A1403,Tasks!$B:$B,$B1403,Tasks!$C:$C,$G1403,Tasks!$I:$I,"&lt;="&amp;INDEX(Weeks!$D:$D,MATCH($C1403,Weeks!$A:$A,0)),Tasks!$I:$I,"&lt;&gt;")/COUNTIFS(Tasks!$A:$A,$A1403,Tasks!$B:$B,$B1403,Tasks!$C:$C,$G1403)*100,0),"")</f>
        <v/>
      </c>
    </row>
    <row r="1404" spans="1:8" ht="15" hidden="1" customHeight="1">
      <c r="A1404" t="s">
        <v>97</v>
      </c>
      <c r="B1404" t="s">
        <v>100</v>
      </c>
      <c r="C1404">
        <v>51</v>
      </c>
      <c r="D1404">
        <v>12</v>
      </c>
      <c r="E1404">
        <v>3</v>
      </c>
      <c r="F1404">
        <v>2</v>
      </c>
      <c r="G1404" t="s">
        <v>116</v>
      </c>
      <c r="H1404" t="str">
        <f>IFERROR(ROUND(COUNTIFS(Tasks!$A:$A,$A1404,Tasks!$B:$B,$B1404,Tasks!$C:$C,$G1404,Tasks!$I:$I,"&lt;="&amp;INDEX(Weeks!$D:$D,MATCH($C1404,Weeks!$A:$A,0)),Tasks!$I:$I,"&lt;&gt;")/COUNTIFS(Tasks!$A:$A,$A1404,Tasks!$B:$B,$B1404,Tasks!$C:$C,$G1404)*100,0),"")</f>
        <v/>
      </c>
    </row>
    <row r="1405" spans="1:8" ht="15" hidden="1" customHeight="1">
      <c r="A1405" t="s">
        <v>97</v>
      </c>
      <c r="B1405" t="s">
        <v>100</v>
      </c>
      <c r="C1405">
        <v>52</v>
      </c>
      <c r="D1405">
        <v>12</v>
      </c>
      <c r="E1405">
        <v>4</v>
      </c>
      <c r="F1405">
        <v>2</v>
      </c>
      <c r="G1405" t="s">
        <v>116</v>
      </c>
      <c r="H1405" t="str">
        <f>IFERROR(ROUND(COUNTIFS(Tasks!$A:$A,$A1405,Tasks!$B:$B,$B1405,Tasks!$C:$C,$G1405,Tasks!$I:$I,"&lt;="&amp;INDEX(Weeks!$D:$D,MATCH($C1405,Weeks!$A:$A,0)),Tasks!$I:$I,"&lt;&gt;")/COUNTIFS(Tasks!$A:$A,$A1405,Tasks!$B:$B,$B1405,Tasks!$C:$C,$G1405)*100,0),"")</f>
        <v/>
      </c>
    </row>
    <row r="1406" spans="1:8" ht="15" hidden="1" customHeight="1">
      <c r="A1406" t="s">
        <v>97</v>
      </c>
      <c r="B1406" t="s">
        <v>100</v>
      </c>
      <c r="C1406">
        <v>1</v>
      </c>
      <c r="D1406">
        <v>1</v>
      </c>
      <c r="E1406">
        <v>1</v>
      </c>
      <c r="F1406">
        <v>3</v>
      </c>
      <c r="G1406" t="s">
        <v>117</v>
      </c>
      <c r="H1406" t="str">
        <f>IFERROR(ROUND(COUNTIFS(Tasks!$A:$A,$A1406,Tasks!$B:$B,$B1406,Tasks!$C:$C,$G1406,Tasks!$I:$I,"&lt;="&amp;INDEX(Weeks!$D:$D,MATCH($C1406,Weeks!$A:$A,0)),Tasks!$I:$I,"&lt;&gt;")/COUNTIFS(Tasks!$A:$A,$A1406,Tasks!$B:$B,$B1406,Tasks!$C:$C,$G1406)*100,0),"")</f>
        <v/>
      </c>
    </row>
    <row r="1407" spans="1:8" ht="15" hidden="1" customHeight="1">
      <c r="A1407" t="s">
        <v>97</v>
      </c>
      <c r="B1407" t="s">
        <v>100</v>
      </c>
      <c r="C1407">
        <v>2</v>
      </c>
      <c r="D1407">
        <v>1</v>
      </c>
      <c r="E1407">
        <v>2</v>
      </c>
      <c r="F1407">
        <v>3</v>
      </c>
      <c r="G1407" t="s">
        <v>117</v>
      </c>
      <c r="H1407" t="str">
        <f>IFERROR(ROUND(COUNTIFS(Tasks!$A:$A,$A1407,Tasks!$B:$B,$B1407,Tasks!$C:$C,$G1407,Tasks!$I:$I,"&lt;="&amp;INDEX(Weeks!$D:$D,MATCH($C1407,Weeks!$A:$A,0)),Tasks!$I:$I,"&lt;&gt;")/COUNTIFS(Tasks!$A:$A,$A1407,Tasks!$B:$B,$B1407,Tasks!$C:$C,$G1407)*100,0),"")</f>
        <v/>
      </c>
    </row>
    <row r="1408" spans="1:8" ht="15" hidden="1" customHeight="1">
      <c r="A1408" t="s">
        <v>97</v>
      </c>
      <c r="B1408" t="s">
        <v>100</v>
      </c>
      <c r="C1408">
        <v>3</v>
      </c>
      <c r="D1408">
        <v>1</v>
      </c>
      <c r="E1408">
        <v>3</v>
      </c>
      <c r="F1408">
        <v>3</v>
      </c>
      <c r="G1408" t="s">
        <v>117</v>
      </c>
      <c r="H1408" t="str">
        <f>IFERROR(ROUND(COUNTIFS(Tasks!$A:$A,$A1408,Tasks!$B:$B,$B1408,Tasks!$C:$C,$G1408,Tasks!$I:$I,"&lt;="&amp;INDEX(Weeks!$D:$D,MATCH($C1408,Weeks!$A:$A,0)),Tasks!$I:$I,"&lt;&gt;")/COUNTIFS(Tasks!$A:$A,$A1408,Tasks!$B:$B,$B1408,Tasks!$C:$C,$G1408)*100,0),"")</f>
        <v/>
      </c>
    </row>
    <row r="1409" spans="1:8" ht="15" hidden="1" customHeight="1">
      <c r="A1409" t="s">
        <v>97</v>
      </c>
      <c r="B1409" t="s">
        <v>100</v>
      </c>
      <c r="C1409">
        <v>4</v>
      </c>
      <c r="D1409">
        <v>1</v>
      </c>
      <c r="E1409">
        <v>4</v>
      </c>
      <c r="F1409">
        <v>3</v>
      </c>
      <c r="G1409" t="s">
        <v>117</v>
      </c>
      <c r="H1409" t="str">
        <f>IFERROR(ROUND(COUNTIFS(Tasks!$A:$A,$A1409,Tasks!$B:$B,$B1409,Tasks!$C:$C,$G1409,Tasks!$I:$I,"&lt;="&amp;INDEX(Weeks!$D:$D,MATCH($C1409,Weeks!$A:$A,0)),Tasks!$I:$I,"&lt;&gt;")/COUNTIFS(Tasks!$A:$A,$A1409,Tasks!$B:$B,$B1409,Tasks!$C:$C,$G1409)*100,0),"")</f>
        <v/>
      </c>
    </row>
    <row r="1410" spans="1:8" ht="15" hidden="1" customHeight="1">
      <c r="A1410" t="s">
        <v>97</v>
      </c>
      <c r="B1410" t="s">
        <v>100</v>
      </c>
      <c r="C1410">
        <v>5</v>
      </c>
      <c r="D1410">
        <v>1</v>
      </c>
      <c r="E1410">
        <v>5</v>
      </c>
      <c r="F1410">
        <v>3</v>
      </c>
      <c r="G1410" t="s">
        <v>117</v>
      </c>
      <c r="H1410" t="str">
        <f>IFERROR(ROUND(COUNTIFS(Tasks!$A:$A,$A1410,Tasks!$B:$B,$B1410,Tasks!$C:$C,$G1410,Tasks!$I:$I,"&lt;="&amp;INDEX(Weeks!$D:$D,MATCH($C1410,Weeks!$A:$A,0)),Tasks!$I:$I,"&lt;&gt;")/COUNTIFS(Tasks!$A:$A,$A1410,Tasks!$B:$B,$B1410,Tasks!$C:$C,$G1410)*100,0),"")</f>
        <v/>
      </c>
    </row>
    <row r="1411" spans="1:8" ht="15" hidden="1" customHeight="1">
      <c r="A1411" t="s">
        <v>97</v>
      </c>
      <c r="B1411" t="s">
        <v>100</v>
      </c>
      <c r="C1411">
        <v>6</v>
      </c>
      <c r="D1411">
        <v>2</v>
      </c>
      <c r="E1411">
        <v>1</v>
      </c>
      <c r="F1411">
        <v>3</v>
      </c>
      <c r="G1411" t="s">
        <v>117</v>
      </c>
      <c r="H1411" t="str">
        <f>IFERROR(ROUND(COUNTIFS(Tasks!$A:$A,$A1411,Tasks!$B:$B,$B1411,Tasks!$C:$C,$G1411,Tasks!$I:$I,"&lt;="&amp;INDEX(Weeks!$D:$D,MATCH($C1411,Weeks!$A:$A,0)),Tasks!$I:$I,"&lt;&gt;")/COUNTIFS(Tasks!$A:$A,$A1411,Tasks!$B:$B,$B1411,Tasks!$C:$C,$G1411)*100,0),"")</f>
        <v/>
      </c>
    </row>
    <row r="1412" spans="1:8" ht="15" hidden="1" customHeight="1">
      <c r="A1412" t="s">
        <v>97</v>
      </c>
      <c r="B1412" t="s">
        <v>100</v>
      </c>
      <c r="C1412">
        <v>7</v>
      </c>
      <c r="D1412">
        <v>2</v>
      </c>
      <c r="E1412">
        <v>2</v>
      </c>
      <c r="F1412">
        <v>3</v>
      </c>
      <c r="G1412" t="s">
        <v>117</v>
      </c>
      <c r="H1412" t="str">
        <f>IFERROR(ROUND(COUNTIFS(Tasks!$A:$A,$A1412,Tasks!$B:$B,$B1412,Tasks!$C:$C,$G1412,Tasks!$I:$I,"&lt;="&amp;INDEX(Weeks!$D:$D,MATCH($C1412,Weeks!$A:$A,0)),Tasks!$I:$I,"&lt;&gt;")/COUNTIFS(Tasks!$A:$A,$A1412,Tasks!$B:$B,$B1412,Tasks!$C:$C,$G1412)*100,0),"")</f>
        <v/>
      </c>
    </row>
    <row r="1413" spans="1:8" ht="15" hidden="1" customHeight="1">
      <c r="A1413" t="s">
        <v>97</v>
      </c>
      <c r="B1413" t="s">
        <v>100</v>
      </c>
      <c r="C1413">
        <v>8</v>
      </c>
      <c r="D1413">
        <v>2</v>
      </c>
      <c r="E1413">
        <v>3</v>
      </c>
      <c r="F1413">
        <v>3</v>
      </c>
      <c r="G1413" t="s">
        <v>117</v>
      </c>
      <c r="H1413" t="str">
        <f>IFERROR(ROUND(COUNTIFS(Tasks!$A:$A,$A1413,Tasks!$B:$B,$B1413,Tasks!$C:$C,$G1413,Tasks!$I:$I,"&lt;="&amp;INDEX(Weeks!$D:$D,MATCH($C1413,Weeks!$A:$A,0)),Tasks!$I:$I,"&lt;&gt;")/COUNTIFS(Tasks!$A:$A,$A1413,Tasks!$B:$B,$B1413,Tasks!$C:$C,$G1413)*100,0),"")</f>
        <v/>
      </c>
    </row>
    <row r="1414" spans="1:8" ht="15" hidden="1" customHeight="1">
      <c r="A1414" t="s">
        <v>97</v>
      </c>
      <c r="B1414" t="s">
        <v>100</v>
      </c>
      <c r="C1414">
        <v>9</v>
      </c>
      <c r="D1414">
        <v>2</v>
      </c>
      <c r="E1414">
        <v>4</v>
      </c>
      <c r="F1414">
        <v>3</v>
      </c>
      <c r="G1414" t="s">
        <v>117</v>
      </c>
      <c r="H1414" t="str">
        <f>IFERROR(ROUND(COUNTIFS(Tasks!$A:$A,$A1414,Tasks!$B:$B,$B1414,Tasks!$C:$C,$G1414,Tasks!$I:$I,"&lt;="&amp;INDEX(Weeks!$D:$D,MATCH($C1414,Weeks!$A:$A,0)),Tasks!$I:$I,"&lt;&gt;")/COUNTIFS(Tasks!$A:$A,$A1414,Tasks!$B:$B,$B1414,Tasks!$C:$C,$G1414)*100,0),"")</f>
        <v/>
      </c>
    </row>
    <row r="1415" spans="1:8" ht="15" hidden="1" customHeight="1">
      <c r="A1415" t="s">
        <v>97</v>
      </c>
      <c r="B1415" t="s">
        <v>100</v>
      </c>
      <c r="C1415">
        <v>10</v>
      </c>
      <c r="D1415">
        <v>3</v>
      </c>
      <c r="E1415">
        <v>1</v>
      </c>
      <c r="F1415">
        <v>3</v>
      </c>
      <c r="G1415" t="s">
        <v>117</v>
      </c>
      <c r="H1415" t="str">
        <f>IFERROR(ROUND(COUNTIFS(Tasks!$A:$A,$A1415,Tasks!$B:$B,$B1415,Tasks!$C:$C,$G1415,Tasks!$I:$I,"&lt;="&amp;INDEX(Weeks!$D:$D,MATCH($C1415,Weeks!$A:$A,0)),Tasks!$I:$I,"&lt;&gt;")/COUNTIFS(Tasks!$A:$A,$A1415,Tasks!$B:$B,$B1415,Tasks!$C:$C,$G1415)*100,0),"")</f>
        <v/>
      </c>
    </row>
    <row r="1416" spans="1:8" ht="15" hidden="1" customHeight="1">
      <c r="A1416" t="s">
        <v>97</v>
      </c>
      <c r="B1416" t="s">
        <v>100</v>
      </c>
      <c r="C1416">
        <v>11</v>
      </c>
      <c r="D1416">
        <v>3</v>
      </c>
      <c r="E1416">
        <v>2</v>
      </c>
      <c r="F1416">
        <v>3</v>
      </c>
      <c r="G1416" t="s">
        <v>117</v>
      </c>
      <c r="H1416" t="str">
        <f>IFERROR(ROUND(COUNTIFS(Tasks!$A:$A,$A1416,Tasks!$B:$B,$B1416,Tasks!$C:$C,$G1416,Tasks!$I:$I,"&lt;="&amp;INDEX(Weeks!$D:$D,MATCH($C1416,Weeks!$A:$A,0)),Tasks!$I:$I,"&lt;&gt;")/COUNTIFS(Tasks!$A:$A,$A1416,Tasks!$B:$B,$B1416,Tasks!$C:$C,$G1416)*100,0),"")</f>
        <v/>
      </c>
    </row>
    <row r="1417" spans="1:8" ht="15" hidden="1" customHeight="1">
      <c r="A1417" t="s">
        <v>97</v>
      </c>
      <c r="B1417" t="s">
        <v>100</v>
      </c>
      <c r="C1417">
        <v>12</v>
      </c>
      <c r="D1417">
        <v>3</v>
      </c>
      <c r="E1417">
        <v>3</v>
      </c>
      <c r="F1417">
        <v>3</v>
      </c>
      <c r="G1417" t="s">
        <v>117</v>
      </c>
      <c r="H1417" t="str">
        <f>IFERROR(ROUND(COUNTIFS(Tasks!$A:$A,$A1417,Tasks!$B:$B,$B1417,Tasks!$C:$C,$G1417,Tasks!$I:$I,"&lt;="&amp;INDEX(Weeks!$D:$D,MATCH($C1417,Weeks!$A:$A,0)),Tasks!$I:$I,"&lt;&gt;")/COUNTIFS(Tasks!$A:$A,$A1417,Tasks!$B:$B,$B1417,Tasks!$C:$C,$G1417)*100,0),"")</f>
        <v/>
      </c>
    </row>
    <row r="1418" spans="1:8" ht="15" hidden="1" customHeight="1">
      <c r="A1418" t="s">
        <v>97</v>
      </c>
      <c r="B1418" t="s">
        <v>100</v>
      </c>
      <c r="C1418">
        <v>13</v>
      </c>
      <c r="D1418">
        <v>3</v>
      </c>
      <c r="E1418">
        <v>4</v>
      </c>
      <c r="F1418">
        <v>3</v>
      </c>
      <c r="G1418" t="s">
        <v>117</v>
      </c>
      <c r="H1418" t="str">
        <f>IFERROR(ROUND(COUNTIFS(Tasks!$A:$A,$A1418,Tasks!$B:$B,$B1418,Tasks!$C:$C,$G1418,Tasks!$I:$I,"&lt;="&amp;INDEX(Weeks!$D:$D,MATCH($C1418,Weeks!$A:$A,0)),Tasks!$I:$I,"&lt;&gt;")/COUNTIFS(Tasks!$A:$A,$A1418,Tasks!$B:$B,$B1418,Tasks!$C:$C,$G1418)*100,0),"")</f>
        <v/>
      </c>
    </row>
    <row r="1419" spans="1:8" ht="15" hidden="1" customHeight="1">
      <c r="A1419" t="s">
        <v>97</v>
      </c>
      <c r="B1419" t="s">
        <v>100</v>
      </c>
      <c r="C1419">
        <v>14</v>
      </c>
      <c r="D1419">
        <v>4</v>
      </c>
      <c r="E1419">
        <v>1</v>
      </c>
      <c r="F1419">
        <v>3</v>
      </c>
      <c r="G1419" t="s">
        <v>117</v>
      </c>
      <c r="H1419" t="str">
        <f>IFERROR(ROUND(COUNTIFS(Tasks!$A:$A,$A1419,Tasks!$B:$B,$B1419,Tasks!$C:$C,$G1419,Tasks!$I:$I,"&lt;="&amp;INDEX(Weeks!$D:$D,MATCH($C1419,Weeks!$A:$A,0)),Tasks!$I:$I,"&lt;&gt;")/COUNTIFS(Tasks!$A:$A,$A1419,Tasks!$B:$B,$B1419,Tasks!$C:$C,$G1419)*100,0),"")</f>
        <v/>
      </c>
    </row>
    <row r="1420" spans="1:8" ht="15" hidden="1" customHeight="1">
      <c r="A1420" t="s">
        <v>97</v>
      </c>
      <c r="B1420" t="s">
        <v>100</v>
      </c>
      <c r="C1420">
        <v>15</v>
      </c>
      <c r="D1420">
        <v>4</v>
      </c>
      <c r="E1420">
        <v>2</v>
      </c>
      <c r="F1420">
        <v>3</v>
      </c>
      <c r="G1420" t="s">
        <v>117</v>
      </c>
      <c r="H1420" t="str">
        <f>IFERROR(ROUND(COUNTIFS(Tasks!$A:$A,$A1420,Tasks!$B:$B,$B1420,Tasks!$C:$C,$G1420,Tasks!$I:$I,"&lt;="&amp;INDEX(Weeks!$D:$D,MATCH($C1420,Weeks!$A:$A,0)),Tasks!$I:$I,"&lt;&gt;")/COUNTIFS(Tasks!$A:$A,$A1420,Tasks!$B:$B,$B1420,Tasks!$C:$C,$G1420)*100,0),"")</f>
        <v/>
      </c>
    </row>
    <row r="1421" spans="1:8" ht="15" hidden="1" customHeight="1">
      <c r="A1421" t="s">
        <v>97</v>
      </c>
      <c r="B1421" t="s">
        <v>100</v>
      </c>
      <c r="C1421">
        <v>16</v>
      </c>
      <c r="D1421">
        <v>4</v>
      </c>
      <c r="E1421">
        <v>3</v>
      </c>
      <c r="F1421">
        <v>3</v>
      </c>
      <c r="G1421" t="s">
        <v>117</v>
      </c>
      <c r="H1421" t="str">
        <f>IFERROR(ROUND(COUNTIFS(Tasks!$A:$A,$A1421,Tasks!$B:$B,$B1421,Tasks!$C:$C,$G1421,Tasks!$I:$I,"&lt;="&amp;INDEX(Weeks!$D:$D,MATCH($C1421,Weeks!$A:$A,0)),Tasks!$I:$I,"&lt;&gt;")/COUNTIFS(Tasks!$A:$A,$A1421,Tasks!$B:$B,$B1421,Tasks!$C:$C,$G1421)*100,0),"")</f>
        <v/>
      </c>
    </row>
    <row r="1422" spans="1:8" ht="15" hidden="1" customHeight="1">
      <c r="A1422" t="s">
        <v>97</v>
      </c>
      <c r="B1422" t="s">
        <v>100</v>
      </c>
      <c r="C1422">
        <v>17</v>
      </c>
      <c r="D1422">
        <v>4</v>
      </c>
      <c r="E1422">
        <v>4</v>
      </c>
      <c r="F1422">
        <v>3</v>
      </c>
      <c r="G1422" t="s">
        <v>117</v>
      </c>
      <c r="H1422" t="str">
        <f>IFERROR(ROUND(COUNTIFS(Tasks!$A:$A,$A1422,Tasks!$B:$B,$B1422,Tasks!$C:$C,$G1422,Tasks!$I:$I,"&lt;="&amp;INDEX(Weeks!$D:$D,MATCH($C1422,Weeks!$A:$A,0)),Tasks!$I:$I,"&lt;&gt;")/COUNTIFS(Tasks!$A:$A,$A1422,Tasks!$B:$B,$B1422,Tasks!$C:$C,$G1422)*100,0),"")</f>
        <v/>
      </c>
    </row>
    <row r="1423" spans="1:8" ht="15" hidden="1" customHeight="1">
      <c r="A1423" t="s">
        <v>97</v>
      </c>
      <c r="B1423" t="s">
        <v>100</v>
      </c>
      <c r="C1423">
        <v>18</v>
      </c>
      <c r="D1423">
        <v>5</v>
      </c>
      <c r="E1423">
        <v>1</v>
      </c>
      <c r="F1423">
        <v>3</v>
      </c>
      <c r="G1423" t="s">
        <v>117</v>
      </c>
      <c r="H1423" t="str">
        <f>IFERROR(ROUND(COUNTIFS(Tasks!$A:$A,$A1423,Tasks!$B:$B,$B1423,Tasks!$C:$C,$G1423,Tasks!$I:$I,"&lt;="&amp;INDEX(Weeks!$D:$D,MATCH($C1423,Weeks!$A:$A,0)),Tasks!$I:$I,"&lt;&gt;")/COUNTIFS(Tasks!$A:$A,$A1423,Tasks!$B:$B,$B1423,Tasks!$C:$C,$G1423)*100,0),"")</f>
        <v/>
      </c>
    </row>
    <row r="1424" spans="1:8" ht="15" hidden="1" customHeight="1">
      <c r="A1424" t="s">
        <v>97</v>
      </c>
      <c r="B1424" t="s">
        <v>100</v>
      </c>
      <c r="C1424">
        <v>19</v>
      </c>
      <c r="D1424">
        <v>5</v>
      </c>
      <c r="E1424">
        <v>2</v>
      </c>
      <c r="F1424">
        <v>3</v>
      </c>
      <c r="G1424" t="s">
        <v>117</v>
      </c>
      <c r="H1424" t="str">
        <f>IFERROR(ROUND(COUNTIFS(Tasks!$A:$A,$A1424,Tasks!$B:$B,$B1424,Tasks!$C:$C,$G1424,Tasks!$I:$I,"&lt;="&amp;INDEX(Weeks!$D:$D,MATCH($C1424,Weeks!$A:$A,0)),Tasks!$I:$I,"&lt;&gt;")/COUNTIFS(Tasks!$A:$A,$A1424,Tasks!$B:$B,$B1424,Tasks!$C:$C,$G1424)*100,0),"")</f>
        <v/>
      </c>
    </row>
    <row r="1425" spans="1:8" ht="15" hidden="1" customHeight="1">
      <c r="A1425" t="s">
        <v>97</v>
      </c>
      <c r="B1425" t="s">
        <v>100</v>
      </c>
      <c r="C1425">
        <v>20</v>
      </c>
      <c r="D1425">
        <v>5</v>
      </c>
      <c r="E1425">
        <v>3</v>
      </c>
      <c r="F1425">
        <v>3</v>
      </c>
      <c r="G1425" t="s">
        <v>117</v>
      </c>
      <c r="H1425" t="str">
        <f>IFERROR(ROUND(COUNTIFS(Tasks!$A:$A,$A1425,Tasks!$B:$B,$B1425,Tasks!$C:$C,$G1425,Tasks!$I:$I,"&lt;="&amp;INDEX(Weeks!$D:$D,MATCH($C1425,Weeks!$A:$A,0)),Tasks!$I:$I,"&lt;&gt;")/COUNTIFS(Tasks!$A:$A,$A1425,Tasks!$B:$B,$B1425,Tasks!$C:$C,$G1425)*100,0),"")</f>
        <v/>
      </c>
    </row>
    <row r="1426" spans="1:8" ht="15" hidden="1" customHeight="1">
      <c r="A1426" t="s">
        <v>97</v>
      </c>
      <c r="B1426" t="s">
        <v>100</v>
      </c>
      <c r="C1426">
        <v>21</v>
      </c>
      <c r="D1426">
        <v>5</v>
      </c>
      <c r="E1426">
        <v>4</v>
      </c>
      <c r="F1426">
        <v>3</v>
      </c>
      <c r="G1426" t="s">
        <v>117</v>
      </c>
      <c r="H1426" t="str">
        <f>IFERROR(ROUND(COUNTIFS(Tasks!$A:$A,$A1426,Tasks!$B:$B,$B1426,Tasks!$C:$C,$G1426,Tasks!$I:$I,"&lt;="&amp;INDEX(Weeks!$D:$D,MATCH($C1426,Weeks!$A:$A,0)),Tasks!$I:$I,"&lt;&gt;")/COUNTIFS(Tasks!$A:$A,$A1426,Tasks!$B:$B,$B1426,Tasks!$C:$C,$G1426)*100,0),"")</f>
        <v/>
      </c>
    </row>
    <row r="1427" spans="1:8" ht="15" hidden="1" customHeight="1">
      <c r="A1427" t="s">
        <v>97</v>
      </c>
      <c r="B1427" t="s">
        <v>100</v>
      </c>
      <c r="C1427">
        <v>22</v>
      </c>
      <c r="D1427">
        <v>5</v>
      </c>
      <c r="E1427">
        <v>5</v>
      </c>
      <c r="F1427">
        <v>3</v>
      </c>
      <c r="G1427" t="s">
        <v>117</v>
      </c>
      <c r="H1427" t="str">
        <f>IFERROR(ROUND(COUNTIFS(Tasks!$A:$A,$A1427,Tasks!$B:$B,$B1427,Tasks!$C:$C,$G1427,Tasks!$I:$I,"&lt;="&amp;INDEX(Weeks!$D:$D,MATCH($C1427,Weeks!$A:$A,0)),Tasks!$I:$I,"&lt;&gt;")/COUNTIFS(Tasks!$A:$A,$A1427,Tasks!$B:$B,$B1427,Tasks!$C:$C,$G1427)*100,0),"")</f>
        <v/>
      </c>
    </row>
    <row r="1428" spans="1:8" ht="15" hidden="1" customHeight="1">
      <c r="A1428" t="s">
        <v>97</v>
      </c>
      <c r="B1428" t="s">
        <v>100</v>
      </c>
      <c r="C1428">
        <v>23</v>
      </c>
      <c r="D1428">
        <v>6</v>
      </c>
      <c r="E1428">
        <v>1</v>
      </c>
      <c r="F1428">
        <v>3</v>
      </c>
      <c r="G1428" t="s">
        <v>117</v>
      </c>
      <c r="H1428" t="str">
        <f>IFERROR(ROUND(COUNTIFS(Tasks!$A:$A,$A1428,Tasks!$B:$B,$B1428,Tasks!$C:$C,$G1428,Tasks!$I:$I,"&lt;="&amp;INDEX(Weeks!$D:$D,MATCH($C1428,Weeks!$A:$A,0)),Tasks!$I:$I,"&lt;&gt;")/COUNTIFS(Tasks!$A:$A,$A1428,Tasks!$B:$B,$B1428,Tasks!$C:$C,$G1428)*100,0),"")</f>
        <v/>
      </c>
    </row>
    <row r="1429" spans="1:8" ht="15" hidden="1" customHeight="1">
      <c r="A1429" t="s">
        <v>97</v>
      </c>
      <c r="B1429" t="s">
        <v>100</v>
      </c>
      <c r="C1429">
        <v>24</v>
      </c>
      <c r="D1429">
        <v>6</v>
      </c>
      <c r="E1429">
        <v>2</v>
      </c>
      <c r="F1429">
        <v>3</v>
      </c>
      <c r="G1429" t="s">
        <v>117</v>
      </c>
      <c r="H1429" t="str">
        <f>IFERROR(ROUND(COUNTIFS(Tasks!$A:$A,$A1429,Tasks!$B:$B,$B1429,Tasks!$C:$C,$G1429,Tasks!$I:$I,"&lt;="&amp;INDEX(Weeks!$D:$D,MATCH($C1429,Weeks!$A:$A,0)),Tasks!$I:$I,"&lt;&gt;")/COUNTIFS(Tasks!$A:$A,$A1429,Tasks!$B:$B,$B1429,Tasks!$C:$C,$G1429)*100,0),"")</f>
        <v/>
      </c>
    </row>
    <row r="1430" spans="1:8" ht="15" hidden="1" customHeight="1">
      <c r="A1430" t="s">
        <v>97</v>
      </c>
      <c r="B1430" t="s">
        <v>100</v>
      </c>
      <c r="C1430">
        <v>25</v>
      </c>
      <c r="D1430">
        <v>6</v>
      </c>
      <c r="E1430">
        <v>3</v>
      </c>
      <c r="F1430">
        <v>3</v>
      </c>
      <c r="G1430" t="s">
        <v>117</v>
      </c>
      <c r="H1430" t="str">
        <f>IFERROR(ROUND(COUNTIFS(Tasks!$A:$A,$A1430,Tasks!$B:$B,$B1430,Tasks!$C:$C,$G1430,Tasks!$I:$I,"&lt;="&amp;INDEX(Weeks!$D:$D,MATCH($C1430,Weeks!$A:$A,0)),Tasks!$I:$I,"&lt;&gt;")/COUNTIFS(Tasks!$A:$A,$A1430,Tasks!$B:$B,$B1430,Tasks!$C:$C,$G1430)*100,0),"")</f>
        <v/>
      </c>
    </row>
    <row r="1431" spans="1:8" ht="15" hidden="1" customHeight="1">
      <c r="A1431" t="s">
        <v>97</v>
      </c>
      <c r="B1431" t="s">
        <v>100</v>
      </c>
      <c r="C1431">
        <v>26</v>
      </c>
      <c r="D1431">
        <v>6</v>
      </c>
      <c r="E1431">
        <v>4</v>
      </c>
      <c r="F1431">
        <v>3</v>
      </c>
      <c r="G1431" t="s">
        <v>117</v>
      </c>
      <c r="H1431" t="str">
        <f>IFERROR(ROUND(COUNTIFS(Tasks!$A:$A,$A1431,Tasks!$B:$B,$B1431,Tasks!$C:$C,$G1431,Tasks!$I:$I,"&lt;="&amp;INDEX(Weeks!$D:$D,MATCH($C1431,Weeks!$A:$A,0)),Tasks!$I:$I,"&lt;&gt;")/COUNTIFS(Tasks!$A:$A,$A1431,Tasks!$B:$B,$B1431,Tasks!$C:$C,$G1431)*100,0),"")</f>
        <v/>
      </c>
    </row>
    <row r="1432" spans="1:8" ht="15" hidden="1" customHeight="1">
      <c r="A1432" t="s">
        <v>97</v>
      </c>
      <c r="B1432" t="s">
        <v>100</v>
      </c>
      <c r="C1432">
        <v>27</v>
      </c>
      <c r="D1432">
        <v>7</v>
      </c>
      <c r="E1432">
        <v>1</v>
      </c>
      <c r="F1432">
        <v>3</v>
      </c>
      <c r="G1432" t="s">
        <v>117</v>
      </c>
      <c r="H1432" t="str">
        <f>IFERROR(ROUND(COUNTIFS(Tasks!$A:$A,$A1432,Tasks!$B:$B,$B1432,Tasks!$C:$C,$G1432,Tasks!$I:$I,"&lt;="&amp;INDEX(Weeks!$D:$D,MATCH($C1432,Weeks!$A:$A,0)),Tasks!$I:$I,"&lt;&gt;")/COUNTIFS(Tasks!$A:$A,$A1432,Tasks!$B:$B,$B1432,Tasks!$C:$C,$G1432)*100,0),"")</f>
        <v/>
      </c>
    </row>
    <row r="1433" spans="1:8" ht="15" hidden="1" customHeight="1">
      <c r="A1433" t="s">
        <v>97</v>
      </c>
      <c r="B1433" t="s">
        <v>100</v>
      </c>
      <c r="C1433">
        <v>28</v>
      </c>
      <c r="D1433">
        <v>7</v>
      </c>
      <c r="E1433">
        <v>2</v>
      </c>
      <c r="F1433">
        <v>3</v>
      </c>
      <c r="G1433" t="s">
        <v>117</v>
      </c>
      <c r="H1433" t="str">
        <f>IFERROR(ROUND(COUNTIFS(Tasks!$A:$A,$A1433,Tasks!$B:$B,$B1433,Tasks!$C:$C,$G1433,Tasks!$I:$I,"&lt;="&amp;INDEX(Weeks!$D:$D,MATCH($C1433,Weeks!$A:$A,0)),Tasks!$I:$I,"&lt;&gt;")/COUNTIFS(Tasks!$A:$A,$A1433,Tasks!$B:$B,$B1433,Tasks!$C:$C,$G1433)*100,0),"")</f>
        <v/>
      </c>
    </row>
    <row r="1434" spans="1:8" ht="15" hidden="1" customHeight="1">
      <c r="A1434" t="s">
        <v>97</v>
      </c>
      <c r="B1434" t="s">
        <v>100</v>
      </c>
      <c r="C1434">
        <v>29</v>
      </c>
      <c r="D1434">
        <v>7</v>
      </c>
      <c r="E1434">
        <v>3</v>
      </c>
      <c r="F1434">
        <v>3</v>
      </c>
      <c r="G1434" t="s">
        <v>117</v>
      </c>
      <c r="H1434" t="str">
        <f>IFERROR(ROUND(COUNTIFS(Tasks!$A:$A,$A1434,Tasks!$B:$B,$B1434,Tasks!$C:$C,$G1434,Tasks!$I:$I,"&lt;="&amp;INDEX(Weeks!$D:$D,MATCH($C1434,Weeks!$A:$A,0)),Tasks!$I:$I,"&lt;&gt;")/COUNTIFS(Tasks!$A:$A,$A1434,Tasks!$B:$B,$B1434,Tasks!$C:$C,$G1434)*100,0),"")</f>
        <v/>
      </c>
    </row>
    <row r="1435" spans="1:8" ht="15" hidden="1" customHeight="1">
      <c r="A1435" t="s">
        <v>97</v>
      </c>
      <c r="B1435" t="s">
        <v>100</v>
      </c>
      <c r="C1435">
        <v>30</v>
      </c>
      <c r="D1435">
        <v>7</v>
      </c>
      <c r="E1435">
        <v>4</v>
      </c>
      <c r="F1435">
        <v>3</v>
      </c>
      <c r="G1435" t="s">
        <v>117</v>
      </c>
      <c r="H1435" t="str">
        <f>IFERROR(ROUND(COUNTIFS(Tasks!$A:$A,$A1435,Tasks!$B:$B,$B1435,Tasks!$C:$C,$G1435,Tasks!$I:$I,"&lt;="&amp;INDEX(Weeks!$D:$D,MATCH($C1435,Weeks!$A:$A,0)),Tasks!$I:$I,"&lt;&gt;")/COUNTIFS(Tasks!$A:$A,$A1435,Tasks!$B:$B,$B1435,Tasks!$C:$C,$G1435)*100,0),"")</f>
        <v/>
      </c>
    </row>
    <row r="1436" spans="1:8" ht="15" hidden="1" customHeight="1">
      <c r="A1436" t="s">
        <v>97</v>
      </c>
      <c r="B1436" t="s">
        <v>100</v>
      </c>
      <c r="C1436">
        <v>31</v>
      </c>
      <c r="D1436">
        <v>8</v>
      </c>
      <c r="E1436">
        <v>1</v>
      </c>
      <c r="F1436">
        <v>3</v>
      </c>
      <c r="G1436" t="s">
        <v>117</v>
      </c>
      <c r="H1436" t="str">
        <f>IFERROR(ROUND(COUNTIFS(Tasks!$A:$A,$A1436,Tasks!$B:$B,$B1436,Tasks!$C:$C,$G1436,Tasks!$I:$I,"&lt;="&amp;INDEX(Weeks!$D:$D,MATCH($C1436,Weeks!$A:$A,0)),Tasks!$I:$I,"&lt;&gt;")/COUNTIFS(Tasks!$A:$A,$A1436,Tasks!$B:$B,$B1436,Tasks!$C:$C,$G1436)*100,0),"")</f>
        <v/>
      </c>
    </row>
    <row r="1437" spans="1:8" ht="15" hidden="1" customHeight="1">
      <c r="A1437" t="s">
        <v>97</v>
      </c>
      <c r="B1437" t="s">
        <v>100</v>
      </c>
      <c r="C1437">
        <v>32</v>
      </c>
      <c r="D1437">
        <v>8</v>
      </c>
      <c r="E1437">
        <v>2</v>
      </c>
      <c r="F1437">
        <v>3</v>
      </c>
      <c r="G1437" t="s">
        <v>117</v>
      </c>
      <c r="H1437" t="str">
        <f>IFERROR(ROUND(COUNTIFS(Tasks!$A:$A,$A1437,Tasks!$B:$B,$B1437,Tasks!$C:$C,$G1437,Tasks!$I:$I,"&lt;="&amp;INDEX(Weeks!$D:$D,MATCH($C1437,Weeks!$A:$A,0)),Tasks!$I:$I,"&lt;&gt;")/COUNTIFS(Tasks!$A:$A,$A1437,Tasks!$B:$B,$B1437,Tasks!$C:$C,$G1437)*100,0),"")</f>
        <v/>
      </c>
    </row>
    <row r="1438" spans="1:8" ht="15" hidden="1" customHeight="1">
      <c r="A1438" t="s">
        <v>97</v>
      </c>
      <c r="B1438" t="s">
        <v>100</v>
      </c>
      <c r="C1438">
        <v>33</v>
      </c>
      <c r="D1438">
        <v>8</v>
      </c>
      <c r="E1438">
        <v>3</v>
      </c>
      <c r="F1438">
        <v>3</v>
      </c>
      <c r="G1438" t="s">
        <v>117</v>
      </c>
      <c r="H1438" t="str">
        <f>IFERROR(ROUND(COUNTIFS(Tasks!$A:$A,$A1438,Tasks!$B:$B,$B1438,Tasks!$C:$C,$G1438,Tasks!$I:$I,"&lt;="&amp;INDEX(Weeks!$D:$D,MATCH($C1438,Weeks!$A:$A,0)),Tasks!$I:$I,"&lt;&gt;")/COUNTIFS(Tasks!$A:$A,$A1438,Tasks!$B:$B,$B1438,Tasks!$C:$C,$G1438)*100,0),"")</f>
        <v/>
      </c>
    </row>
    <row r="1439" spans="1:8" ht="15" hidden="1" customHeight="1">
      <c r="A1439" t="s">
        <v>97</v>
      </c>
      <c r="B1439" t="s">
        <v>100</v>
      </c>
      <c r="C1439">
        <v>34</v>
      </c>
      <c r="D1439">
        <v>8</v>
      </c>
      <c r="E1439">
        <v>4</v>
      </c>
      <c r="F1439">
        <v>3</v>
      </c>
      <c r="G1439" t="s">
        <v>117</v>
      </c>
      <c r="H1439" t="str">
        <f>IFERROR(ROUND(COUNTIFS(Tasks!$A:$A,$A1439,Tasks!$B:$B,$B1439,Tasks!$C:$C,$G1439,Tasks!$I:$I,"&lt;="&amp;INDEX(Weeks!$D:$D,MATCH($C1439,Weeks!$A:$A,0)),Tasks!$I:$I,"&lt;&gt;")/COUNTIFS(Tasks!$A:$A,$A1439,Tasks!$B:$B,$B1439,Tasks!$C:$C,$G1439)*100,0),"")</f>
        <v/>
      </c>
    </row>
    <row r="1440" spans="1:8" ht="15" hidden="1" customHeight="1">
      <c r="A1440" t="s">
        <v>97</v>
      </c>
      <c r="B1440" t="s">
        <v>100</v>
      </c>
      <c r="C1440">
        <v>35</v>
      </c>
      <c r="D1440">
        <v>8</v>
      </c>
      <c r="E1440">
        <v>5</v>
      </c>
      <c r="F1440">
        <v>3</v>
      </c>
      <c r="G1440" t="s">
        <v>117</v>
      </c>
      <c r="H1440" t="str">
        <f>IFERROR(ROUND(COUNTIFS(Tasks!$A:$A,$A1440,Tasks!$B:$B,$B1440,Tasks!$C:$C,$G1440,Tasks!$I:$I,"&lt;="&amp;INDEX(Weeks!$D:$D,MATCH($C1440,Weeks!$A:$A,0)),Tasks!$I:$I,"&lt;&gt;")/COUNTIFS(Tasks!$A:$A,$A1440,Tasks!$B:$B,$B1440,Tasks!$C:$C,$G1440)*100,0),"")</f>
        <v/>
      </c>
    </row>
    <row r="1441" spans="1:8" ht="15" hidden="1" customHeight="1">
      <c r="A1441" t="s">
        <v>97</v>
      </c>
      <c r="B1441" t="s">
        <v>100</v>
      </c>
      <c r="C1441">
        <v>36</v>
      </c>
      <c r="D1441">
        <v>9</v>
      </c>
      <c r="E1441">
        <v>1</v>
      </c>
      <c r="F1441">
        <v>3</v>
      </c>
      <c r="G1441" t="s">
        <v>117</v>
      </c>
      <c r="H1441" t="str">
        <f>IFERROR(ROUND(COUNTIFS(Tasks!$A:$A,$A1441,Tasks!$B:$B,$B1441,Tasks!$C:$C,$G1441,Tasks!$I:$I,"&lt;="&amp;INDEX(Weeks!$D:$D,MATCH($C1441,Weeks!$A:$A,0)),Tasks!$I:$I,"&lt;&gt;")/COUNTIFS(Tasks!$A:$A,$A1441,Tasks!$B:$B,$B1441,Tasks!$C:$C,$G1441)*100,0),"")</f>
        <v/>
      </c>
    </row>
    <row r="1442" spans="1:8" ht="15" hidden="1" customHeight="1">
      <c r="A1442" t="s">
        <v>97</v>
      </c>
      <c r="B1442" t="s">
        <v>100</v>
      </c>
      <c r="C1442">
        <v>37</v>
      </c>
      <c r="D1442">
        <v>9</v>
      </c>
      <c r="E1442">
        <v>2</v>
      </c>
      <c r="F1442">
        <v>3</v>
      </c>
      <c r="G1442" t="s">
        <v>117</v>
      </c>
      <c r="H1442" t="str">
        <f>IFERROR(ROUND(COUNTIFS(Tasks!$A:$A,$A1442,Tasks!$B:$B,$B1442,Tasks!$C:$C,$G1442,Tasks!$I:$I,"&lt;="&amp;INDEX(Weeks!$D:$D,MATCH($C1442,Weeks!$A:$A,0)),Tasks!$I:$I,"&lt;&gt;")/COUNTIFS(Tasks!$A:$A,$A1442,Tasks!$B:$B,$B1442,Tasks!$C:$C,$G1442)*100,0),"")</f>
        <v/>
      </c>
    </row>
    <row r="1443" spans="1:8" ht="15" hidden="1" customHeight="1">
      <c r="A1443" t="s">
        <v>97</v>
      </c>
      <c r="B1443" t="s">
        <v>100</v>
      </c>
      <c r="C1443">
        <v>38</v>
      </c>
      <c r="D1443">
        <v>9</v>
      </c>
      <c r="E1443">
        <v>3</v>
      </c>
      <c r="F1443">
        <v>3</v>
      </c>
      <c r="G1443" t="s">
        <v>117</v>
      </c>
      <c r="H1443" t="str">
        <f>IFERROR(ROUND(COUNTIFS(Tasks!$A:$A,$A1443,Tasks!$B:$B,$B1443,Tasks!$C:$C,$G1443,Tasks!$I:$I,"&lt;="&amp;INDEX(Weeks!$D:$D,MATCH($C1443,Weeks!$A:$A,0)),Tasks!$I:$I,"&lt;&gt;")/COUNTIFS(Tasks!$A:$A,$A1443,Tasks!$B:$B,$B1443,Tasks!$C:$C,$G1443)*100,0),"")</f>
        <v/>
      </c>
    </row>
    <row r="1444" spans="1:8" ht="15" hidden="1" customHeight="1">
      <c r="A1444" t="s">
        <v>97</v>
      </c>
      <c r="B1444" t="s">
        <v>100</v>
      </c>
      <c r="C1444">
        <v>39</v>
      </c>
      <c r="D1444">
        <v>9</v>
      </c>
      <c r="E1444">
        <v>4</v>
      </c>
      <c r="F1444">
        <v>3</v>
      </c>
      <c r="G1444" t="s">
        <v>117</v>
      </c>
      <c r="H1444" t="str">
        <f>IFERROR(ROUND(COUNTIFS(Tasks!$A:$A,$A1444,Tasks!$B:$B,$B1444,Tasks!$C:$C,$G1444,Tasks!$I:$I,"&lt;="&amp;INDEX(Weeks!$D:$D,MATCH($C1444,Weeks!$A:$A,0)),Tasks!$I:$I,"&lt;&gt;")/COUNTIFS(Tasks!$A:$A,$A1444,Tasks!$B:$B,$B1444,Tasks!$C:$C,$G1444)*100,0),"")</f>
        <v/>
      </c>
    </row>
    <row r="1445" spans="1:8" ht="15" hidden="1" customHeight="1">
      <c r="A1445" t="s">
        <v>97</v>
      </c>
      <c r="B1445" t="s">
        <v>100</v>
      </c>
      <c r="C1445">
        <v>40</v>
      </c>
      <c r="D1445">
        <v>10</v>
      </c>
      <c r="E1445">
        <v>1</v>
      </c>
      <c r="F1445">
        <v>3</v>
      </c>
      <c r="G1445" t="s">
        <v>117</v>
      </c>
      <c r="H1445" t="str">
        <f>IFERROR(ROUND(COUNTIFS(Tasks!$A:$A,$A1445,Tasks!$B:$B,$B1445,Tasks!$C:$C,$G1445,Tasks!$I:$I,"&lt;="&amp;INDEX(Weeks!$D:$D,MATCH($C1445,Weeks!$A:$A,0)),Tasks!$I:$I,"&lt;&gt;")/COUNTIFS(Tasks!$A:$A,$A1445,Tasks!$B:$B,$B1445,Tasks!$C:$C,$G1445)*100,0),"")</f>
        <v/>
      </c>
    </row>
    <row r="1446" spans="1:8" ht="15" hidden="1" customHeight="1">
      <c r="A1446" t="s">
        <v>97</v>
      </c>
      <c r="B1446" t="s">
        <v>100</v>
      </c>
      <c r="C1446">
        <v>41</v>
      </c>
      <c r="D1446">
        <v>10</v>
      </c>
      <c r="E1446">
        <v>2</v>
      </c>
      <c r="F1446">
        <v>3</v>
      </c>
      <c r="G1446" t="s">
        <v>117</v>
      </c>
      <c r="H1446" t="str">
        <f>IFERROR(ROUND(COUNTIFS(Tasks!$A:$A,$A1446,Tasks!$B:$B,$B1446,Tasks!$C:$C,$G1446,Tasks!$I:$I,"&lt;="&amp;INDEX(Weeks!$D:$D,MATCH($C1446,Weeks!$A:$A,0)),Tasks!$I:$I,"&lt;&gt;")/COUNTIFS(Tasks!$A:$A,$A1446,Tasks!$B:$B,$B1446,Tasks!$C:$C,$G1446)*100,0),"")</f>
        <v/>
      </c>
    </row>
    <row r="1447" spans="1:8" ht="15" hidden="1" customHeight="1">
      <c r="A1447" t="s">
        <v>97</v>
      </c>
      <c r="B1447" t="s">
        <v>100</v>
      </c>
      <c r="C1447">
        <v>42</v>
      </c>
      <c r="D1447">
        <v>10</v>
      </c>
      <c r="E1447">
        <v>3</v>
      </c>
      <c r="F1447">
        <v>3</v>
      </c>
      <c r="G1447" t="s">
        <v>117</v>
      </c>
      <c r="H1447" t="str">
        <f>IFERROR(ROUND(COUNTIFS(Tasks!$A:$A,$A1447,Tasks!$B:$B,$B1447,Tasks!$C:$C,$G1447,Tasks!$I:$I,"&lt;="&amp;INDEX(Weeks!$D:$D,MATCH($C1447,Weeks!$A:$A,0)),Tasks!$I:$I,"&lt;&gt;")/COUNTIFS(Tasks!$A:$A,$A1447,Tasks!$B:$B,$B1447,Tasks!$C:$C,$G1447)*100,0),"")</f>
        <v/>
      </c>
    </row>
    <row r="1448" spans="1:8" ht="15" hidden="1" customHeight="1">
      <c r="A1448" t="s">
        <v>97</v>
      </c>
      <c r="B1448" t="s">
        <v>100</v>
      </c>
      <c r="C1448">
        <v>43</v>
      </c>
      <c r="D1448">
        <v>10</v>
      </c>
      <c r="E1448">
        <v>4</v>
      </c>
      <c r="F1448">
        <v>3</v>
      </c>
      <c r="G1448" t="s">
        <v>117</v>
      </c>
      <c r="H1448" t="str">
        <f>IFERROR(ROUND(COUNTIFS(Tasks!$A:$A,$A1448,Tasks!$B:$B,$B1448,Tasks!$C:$C,$G1448,Tasks!$I:$I,"&lt;="&amp;INDEX(Weeks!$D:$D,MATCH($C1448,Weeks!$A:$A,0)),Tasks!$I:$I,"&lt;&gt;")/COUNTIFS(Tasks!$A:$A,$A1448,Tasks!$B:$B,$B1448,Tasks!$C:$C,$G1448)*100,0),"")</f>
        <v/>
      </c>
    </row>
    <row r="1449" spans="1:8" ht="15" hidden="1" customHeight="1">
      <c r="A1449" t="s">
        <v>97</v>
      </c>
      <c r="B1449" t="s">
        <v>100</v>
      </c>
      <c r="C1449">
        <v>44</v>
      </c>
      <c r="D1449">
        <v>10</v>
      </c>
      <c r="E1449">
        <v>5</v>
      </c>
      <c r="F1449">
        <v>3</v>
      </c>
      <c r="G1449" t="s">
        <v>117</v>
      </c>
      <c r="H1449" t="str">
        <f>IFERROR(ROUND(COUNTIFS(Tasks!$A:$A,$A1449,Tasks!$B:$B,$B1449,Tasks!$C:$C,$G1449,Tasks!$I:$I,"&lt;="&amp;INDEX(Weeks!$D:$D,MATCH($C1449,Weeks!$A:$A,0)),Tasks!$I:$I,"&lt;&gt;")/COUNTIFS(Tasks!$A:$A,$A1449,Tasks!$B:$B,$B1449,Tasks!$C:$C,$G1449)*100,0),"")</f>
        <v/>
      </c>
    </row>
    <row r="1450" spans="1:8" ht="15" hidden="1" customHeight="1">
      <c r="A1450" t="s">
        <v>97</v>
      </c>
      <c r="B1450" t="s">
        <v>100</v>
      </c>
      <c r="C1450">
        <v>45</v>
      </c>
      <c r="D1450">
        <v>11</v>
      </c>
      <c r="E1450">
        <v>1</v>
      </c>
      <c r="F1450">
        <v>3</v>
      </c>
      <c r="G1450" t="s">
        <v>117</v>
      </c>
      <c r="H1450" t="str">
        <f>IFERROR(ROUND(COUNTIFS(Tasks!$A:$A,$A1450,Tasks!$B:$B,$B1450,Tasks!$C:$C,$G1450,Tasks!$I:$I,"&lt;="&amp;INDEX(Weeks!$D:$D,MATCH($C1450,Weeks!$A:$A,0)),Tasks!$I:$I,"&lt;&gt;")/COUNTIFS(Tasks!$A:$A,$A1450,Tasks!$B:$B,$B1450,Tasks!$C:$C,$G1450)*100,0),"")</f>
        <v/>
      </c>
    </row>
    <row r="1451" spans="1:8" ht="15" hidden="1" customHeight="1">
      <c r="A1451" t="s">
        <v>97</v>
      </c>
      <c r="B1451" t="s">
        <v>100</v>
      </c>
      <c r="C1451">
        <v>46</v>
      </c>
      <c r="D1451">
        <v>11</v>
      </c>
      <c r="E1451">
        <v>2</v>
      </c>
      <c r="F1451">
        <v>3</v>
      </c>
      <c r="G1451" t="s">
        <v>117</v>
      </c>
      <c r="H1451" t="str">
        <f>IFERROR(ROUND(COUNTIFS(Tasks!$A:$A,$A1451,Tasks!$B:$B,$B1451,Tasks!$C:$C,$G1451,Tasks!$I:$I,"&lt;="&amp;INDEX(Weeks!$D:$D,MATCH($C1451,Weeks!$A:$A,0)),Tasks!$I:$I,"&lt;&gt;")/COUNTIFS(Tasks!$A:$A,$A1451,Tasks!$B:$B,$B1451,Tasks!$C:$C,$G1451)*100,0),"")</f>
        <v/>
      </c>
    </row>
    <row r="1452" spans="1:8" ht="15" hidden="1" customHeight="1">
      <c r="A1452" t="s">
        <v>97</v>
      </c>
      <c r="B1452" t="s">
        <v>100</v>
      </c>
      <c r="C1452">
        <v>47</v>
      </c>
      <c r="D1452">
        <v>11</v>
      </c>
      <c r="E1452">
        <v>3</v>
      </c>
      <c r="F1452">
        <v>3</v>
      </c>
      <c r="G1452" t="s">
        <v>117</v>
      </c>
      <c r="H1452" t="str">
        <f>IFERROR(ROUND(COUNTIFS(Tasks!$A:$A,$A1452,Tasks!$B:$B,$B1452,Tasks!$C:$C,$G1452,Tasks!$I:$I,"&lt;="&amp;INDEX(Weeks!$D:$D,MATCH($C1452,Weeks!$A:$A,0)),Tasks!$I:$I,"&lt;&gt;")/COUNTIFS(Tasks!$A:$A,$A1452,Tasks!$B:$B,$B1452,Tasks!$C:$C,$G1452)*100,0),"")</f>
        <v/>
      </c>
    </row>
    <row r="1453" spans="1:8" ht="15" hidden="1" customHeight="1">
      <c r="A1453" t="s">
        <v>97</v>
      </c>
      <c r="B1453" t="s">
        <v>100</v>
      </c>
      <c r="C1453">
        <v>48</v>
      </c>
      <c r="D1453">
        <v>11</v>
      </c>
      <c r="E1453">
        <v>4</v>
      </c>
      <c r="F1453">
        <v>3</v>
      </c>
      <c r="G1453" t="s">
        <v>117</v>
      </c>
      <c r="H1453" t="str">
        <f>IFERROR(ROUND(COUNTIFS(Tasks!$A:$A,$A1453,Tasks!$B:$B,$B1453,Tasks!$C:$C,$G1453,Tasks!$I:$I,"&lt;="&amp;INDEX(Weeks!$D:$D,MATCH($C1453,Weeks!$A:$A,0)),Tasks!$I:$I,"&lt;&gt;")/COUNTIFS(Tasks!$A:$A,$A1453,Tasks!$B:$B,$B1453,Tasks!$C:$C,$G1453)*100,0),"")</f>
        <v/>
      </c>
    </row>
    <row r="1454" spans="1:8" ht="15" hidden="1" customHeight="1">
      <c r="A1454" t="s">
        <v>97</v>
      </c>
      <c r="B1454" t="s">
        <v>100</v>
      </c>
      <c r="C1454">
        <v>49</v>
      </c>
      <c r="D1454">
        <v>12</v>
      </c>
      <c r="E1454">
        <v>1</v>
      </c>
      <c r="F1454">
        <v>3</v>
      </c>
      <c r="G1454" t="s">
        <v>117</v>
      </c>
      <c r="H1454" t="str">
        <f>IFERROR(ROUND(COUNTIFS(Tasks!$A:$A,$A1454,Tasks!$B:$B,$B1454,Tasks!$C:$C,$G1454,Tasks!$I:$I,"&lt;="&amp;INDEX(Weeks!$D:$D,MATCH($C1454,Weeks!$A:$A,0)),Tasks!$I:$I,"&lt;&gt;")/COUNTIFS(Tasks!$A:$A,$A1454,Tasks!$B:$B,$B1454,Tasks!$C:$C,$G1454)*100,0),"")</f>
        <v/>
      </c>
    </row>
    <row r="1455" spans="1:8" ht="15" hidden="1" customHeight="1">
      <c r="A1455" t="s">
        <v>97</v>
      </c>
      <c r="B1455" t="s">
        <v>100</v>
      </c>
      <c r="C1455">
        <v>50</v>
      </c>
      <c r="D1455">
        <v>12</v>
      </c>
      <c r="E1455">
        <v>2</v>
      </c>
      <c r="F1455">
        <v>3</v>
      </c>
      <c r="G1455" t="s">
        <v>117</v>
      </c>
      <c r="H1455" t="str">
        <f>IFERROR(ROUND(COUNTIFS(Tasks!$A:$A,$A1455,Tasks!$B:$B,$B1455,Tasks!$C:$C,$G1455,Tasks!$I:$I,"&lt;="&amp;INDEX(Weeks!$D:$D,MATCH($C1455,Weeks!$A:$A,0)),Tasks!$I:$I,"&lt;&gt;")/COUNTIFS(Tasks!$A:$A,$A1455,Tasks!$B:$B,$B1455,Tasks!$C:$C,$G1455)*100,0),"")</f>
        <v/>
      </c>
    </row>
    <row r="1456" spans="1:8" ht="15" hidden="1" customHeight="1">
      <c r="A1456" t="s">
        <v>97</v>
      </c>
      <c r="B1456" t="s">
        <v>100</v>
      </c>
      <c r="C1456">
        <v>51</v>
      </c>
      <c r="D1456">
        <v>12</v>
      </c>
      <c r="E1456">
        <v>3</v>
      </c>
      <c r="F1456">
        <v>3</v>
      </c>
      <c r="G1456" t="s">
        <v>117</v>
      </c>
      <c r="H1456" t="str">
        <f>IFERROR(ROUND(COUNTIFS(Tasks!$A:$A,$A1456,Tasks!$B:$B,$B1456,Tasks!$C:$C,$G1456,Tasks!$I:$I,"&lt;="&amp;INDEX(Weeks!$D:$D,MATCH($C1456,Weeks!$A:$A,0)),Tasks!$I:$I,"&lt;&gt;")/COUNTIFS(Tasks!$A:$A,$A1456,Tasks!$B:$B,$B1456,Tasks!$C:$C,$G1456)*100,0),"")</f>
        <v/>
      </c>
    </row>
    <row r="1457" spans="1:8" ht="15" hidden="1" customHeight="1">
      <c r="A1457" t="s">
        <v>97</v>
      </c>
      <c r="B1457" t="s">
        <v>100</v>
      </c>
      <c r="C1457">
        <v>52</v>
      </c>
      <c r="D1457">
        <v>12</v>
      </c>
      <c r="E1457">
        <v>4</v>
      </c>
      <c r="F1457">
        <v>3</v>
      </c>
      <c r="G1457" t="s">
        <v>117</v>
      </c>
      <c r="H1457" t="str">
        <f>IFERROR(ROUND(COUNTIFS(Tasks!$A:$A,$A1457,Tasks!$B:$B,$B1457,Tasks!$C:$C,$G1457,Tasks!$I:$I,"&lt;="&amp;INDEX(Weeks!$D:$D,MATCH($C1457,Weeks!$A:$A,0)),Tasks!$I:$I,"&lt;&gt;")/COUNTIFS(Tasks!$A:$A,$A1457,Tasks!$B:$B,$B1457,Tasks!$C:$C,$G1457)*100,0),"")</f>
        <v/>
      </c>
    </row>
    <row r="1458" spans="1:8" ht="15" hidden="1" customHeight="1">
      <c r="A1458" t="s">
        <v>97</v>
      </c>
      <c r="B1458" t="s">
        <v>100</v>
      </c>
      <c r="C1458">
        <v>1</v>
      </c>
      <c r="D1458">
        <v>1</v>
      </c>
      <c r="E1458">
        <v>1</v>
      </c>
      <c r="F1458">
        <v>4</v>
      </c>
      <c r="G1458" t="s">
        <v>118</v>
      </c>
      <c r="H1458" t="str">
        <f>IFERROR(ROUND(COUNTIFS(Tasks!$A:$A,$A1458,Tasks!$B:$B,$B1458,Tasks!$C:$C,$G1458,Tasks!$I:$I,"&lt;="&amp;INDEX(Weeks!$D:$D,MATCH($C1458,Weeks!$A:$A,0)),Tasks!$I:$I,"&lt;&gt;")/COUNTIFS(Tasks!$A:$A,$A1458,Tasks!$B:$B,$B1458,Tasks!$C:$C,$G1458)*100,0),"")</f>
        <v/>
      </c>
    </row>
    <row r="1459" spans="1:8" ht="15" hidden="1" customHeight="1">
      <c r="A1459" t="s">
        <v>97</v>
      </c>
      <c r="B1459" t="s">
        <v>100</v>
      </c>
      <c r="C1459">
        <v>2</v>
      </c>
      <c r="D1459">
        <v>1</v>
      </c>
      <c r="E1459">
        <v>2</v>
      </c>
      <c r="F1459">
        <v>4</v>
      </c>
      <c r="G1459" t="s">
        <v>118</v>
      </c>
      <c r="H1459" t="str">
        <f>IFERROR(ROUND(COUNTIFS(Tasks!$A:$A,$A1459,Tasks!$B:$B,$B1459,Tasks!$C:$C,$G1459,Tasks!$I:$I,"&lt;="&amp;INDEX(Weeks!$D:$D,MATCH($C1459,Weeks!$A:$A,0)),Tasks!$I:$I,"&lt;&gt;")/COUNTIFS(Tasks!$A:$A,$A1459,Tasks!$B:$B,$B1459,Tasks!$C:$C,$G1459)*100,0),"")</f>
        <v/>
      </c>
    </row>
    <row r="1460" spans="1:8" ht="15" hidden="1" customHeight="1">
      <c r="A1460" t="s">
        <v>97</v>
      </c>
      <c r="B1460" t="s">
        <v>100</v>
      </c>
      <c r="C1460">
        <v>3</v>
      </c>
      <c r="D1460">
        <v>1</v>
      </c>
      <c r="E1460">
        <v>3</v>
      </c>
      <c r="F1460">
        <v>4</v>
      </c>
      <c r="G1460" t="s">
        <v>118</v>
      </c>
      <c r="H1460" t="str">
        <f>IFERROR(ROUND(COUNTIFS(Tasks!$A:$A,$A1460,Tasks!$B:$B,$B1460,Tasks!$C:$C,$G1460,Tasks!$I:$I,"&lt;="&amp;INDEX(Weeks!$D:$D,MATCH($C1460,Weeks!$A:$A,0)),Tasks!$I:$I,"&lt;&gt;")/COUNTIFS(Tasks!$A:$A,$A1460,Tasks!$B:$B,$B1460,Tasks!$C:$C,$G1460)*100,0),"")</f>
        <v/>
      </c>
    </row>
    <row r="1461" spans="1:8" ht="15" hidden="1" customHeight="1">
      <c r="A1461" t="s">
        <v>97</v>
      </c>
      <c r="B1461" t="s">
        <v>100</v>
      </c>
      <c r="C1461">
        <v>4</v>
      </c>
      <c r="D1461">
        <v>1</v>
      </c>
      <c r="E1461">
        <v>4</v>
      </c>
      <c r="F1461">
        <v>4</v>
      </c>
      <c r="G1461" t="s">
        <v>118</v>
      </c>
      <c r="H1461" t="str">
        <f>IFERROR(ROUND(COUNTIFS(Tasks!$A:$A,$A1461,Tasks!$B:$B,$B1461,Tasks!$C:$C,$G1461,Tasks!$I:$I,"&lt;="&amp;INDEX(Weeks!$D:$D,MATCH($C1461,Weeks!$A:$A,0)),Tasks!$I:$I,"&lt;&gt;")/COUNTIFS(Tasks!$A:$A,$A1461,Tasks!$B:$B,$B1461,Tasks!$C:$C,$G1461)*100,0),"")</f>
        <v/>
      </c>
    </row>
    <row r="1462" spans="1:8" ht="15" hidden="1" customHeight="1">
      <c r="A1462" t="s">
        <v>97</v>
      </c>
      <c r="B1462" t="s">
        <v>100</v>
      </c>
      <c r="C1462">
        <v>5</v>
      </c>
      <c r="D1462">
        <v>1</v>
      </c>
      <c r="E1462">
        <v>5</v>
      </c>
      <c r="F1462">
        <v>4</v>
      </c>
      <c r="G1462" t="s">
        <v>118</v>
      </c>
      <c r="H1462" t="str">
        <f>IFERROR(ROUND(COUNTIFS(Tasks!$A:$A,$A1462,Tasks!$B:$B,$B1462,Tasks!$C:$C,$G1462,Tasks!$I:$I,"&lt;="&amp;INDEX(Weeks!$D:$D,MATCH($C1462,Weeks!$A:$A,0)),Tasks!$I:$I,"&lt;&gt;")/COUNTIFS(Tasks!$A:$A,$A1462,Tasks!$B:$B,$B1462,Tasks!$C:$C,$G1462)*100,0),"")</f>
        <v/>
      </c>
    </row>
    <row r="1463" spans="1:8" ht="15" hidden="1" customHeight="1">
      <c r="A1463" t="s">
        <v>97</v>
      </c>
      <c r="B1463" t="s">
        <v>100</v>
      </c>
      <c r="C1463">
        <v>6</v>
      </c>
      <c r="D1463">
        <v>2</v>
      </c>
      <c r="E1463">
        <v>1</v>
      </c>
      <c r="F1463">
        <v>4</v>
      </c>
      <c r="G1463" t="s">
        <v>118</v>
      </c>
      <c r="H1463" t="str">
        <f>IFERROR(ROUND(COUNTIFS(Tasks!$A:$A,$A1463,Tasks!$B:$B,$B1463,Tasks!$C:$C,$G1463,Tasks!$I:$I,"&lt;="&amp;INDEX(Weeks!$D:$D,MATCH($C1463,Weeks!$A:$A,0)),Tasks!$I:$I,"&lt;&gt;")/COUNTIFS(Tasks!$A:$A,$A1463,Tasks!$B:$B,$B1463,Tasks!$C:$C,$G1463)*100,0),"")</f>
        <v/>
      </c>
    </row>
    <row r="1464" spans="1:8" ht="15" hidden="1" customHeight="1">
      <c r="A1464" t="s">
        <v>97</v>
      </c>
      <c r="B1464" t="s">
        <v>100</v>
      </c>
      <c r="C1464">
        <v>7</v>
      </c>
      <c r="D1464">
        <v>2</v>
      </c>
      <c r="E1464">
        <v>2</v>
      </c>
      <c r="F1464">
        <v>4</v>
      </c>
      <c r="G1464" t="s">
        <v>118</v>
      </c>
      <c r="H1464" t="str">
        <f>IFERROR(ROUND(COUNTIFS(Tasks!$A:$A,$A1464,Tasks!$B:$B,$B1464,Tasks!$C:$C,$G1464,Tasks!$I:$I,"&lt;="&amp;INDEX(Weeks!$D:$D,MATCH($C1464,Weeks!$A:$A,0)),Tasks!$I:$I,"&lt;&gt;")/COUNTIFS(Tasks!$A:$A,$A1464,Tasks!$B:$B,$B1464,Tasks!$C:$C,$G1464)*100,0),"")</f>
        <v/>
      </c>
    </row>
    <row r="1465" spans="1:8" ht="15" hidden="1" customHeight="1">
      <c r="A1465" t="s">
        <v>97</v>
      </c>
      <c r="B1465" t="s">
        <v>100</v>
      </c>
      <c r="C1465">
        <v>8</v>
      </c>
      <c r="D1465">
        <v>2</v>
      </c>
      <c r="E1465">
        <v>3</v>
      </c>
      <c r="F1465">
        <v>4</v>
      </c>
      <c r="G1465" t="s">
        <v>118</v>
      </c>
      <c r="H1465" t="str">
        <f>IFERROR(ROUND(COUNTIFS(Tasks!$A:$A,$A1465,Tasks!$B:$B,$B1465,Tasks!$C:$C,$G1465,Tasks!$I:$I,"&lt;="&amp;INDEX(Weeks!$D:$D,MATCH($C1465,Weeks!$A:$A,0)),Tasks!$I:$I,"&lt;&gt;")/COUNTIFS(Tasks!$A:$A,$A1465,Tasks!$B:$B,$B1465,Tasks!$C:$C,$G1465)*100,0),"")</f>
        <v/>
      </c>
    </row>
    <row r="1466" spans="1:8" ht="15" hidden="1" customHeight="1">
      <c r="A1466" t="s">
        <v>97</v>
      </c>
      <c r="B1466" t="s">
        <v>100</v>
      </c>
      <c r="C1466">
        <v>9</v>
      </c>
      <c r="D1466">
        <v>2</v>
      </c>
      <c r="E1466">
        <v>4</v>
      </c>
      <c r="F1466">
        <v>4</v>
      </c>
      <c r="G1466" t="s">
        <v>118</v>
      </c>
      <c r="H1466" t="str">
        <f>IFERROR(ROUND(COUNTIFS(Tasks!$A:$A,$A1466,Tasks!$B:$B,$B1466,Tasks!$C:$C,$G1466,Tasks!$I:$I,"&lt;="&amp;INDEX(Weeks!$D:$D,MATCH($C1466,Weeks!$A:$A,0)),Tasks!$I:$I,"&lt;&gt;")/COUNTIFS(Tasks!$A:$A,$A1466,Tasks!$B:$B,$B1466,Tasks!$C:$C,$G1466)*100,0),"")</f>
        <v/>
      </c>
    </row>
    <row r="1467" spans="1:8" ht="15" hidden="1" customHeight="1">
      <c r="A1467" t="s">
        <v>97</v>
      </c>
      <c r="B1467" t="s">
        <v>100</v>
      </c>
      <c r="C1467">
        <v>10</v>
      </c>
      <c r="D1467">
        <v>3</v>
      </c>
      <c r="E1467">
        <v>1</v>
      </c>
      <c r="F1467">
        <v>4</v>
      </c>
      <c r="G1467" t="s">
        <v>118</v>
      </c>
      <c r="H1467" t="str">
        <f>IFERROR(ROUND(COUNTIFS(Tasks!$A:$A,$A1467,Tasks!$B:$B,$B1467,Tasks!$C:$C,$G1467,Tasks!$I:$I,"&lt;="&amp;INDEX(Weeks!$D:$D,MATCH($C1467,Weeks!$A:$A,0)),Tasks!$I:$I,"&lt;&gt;")/COUNTIFS(Tasks!$A:$A,$A1467,Tasks!$B:$B,$B1467,Tasks!$C:$C,$G1467)*100,0),"")</f>
        <v/>
      </c>
    </row>
    <row r="1468" spans="1:8" ht="15" hidden="1" customHeight="1">
      <c r="A1468" t="s">
        <v>97</v>
      </c>
      <c r="B1468" t="s">
        <v>100</v>
      </c>
      <c r="C1468">
        <v>11</v>
      </c>
      <c r="D1468">
        <v>3</v>
      </c>
      <c r="E1468">
        <v>2</v>
      </c>
      <c r="F1468">
        <v>4</v>
      </c>
      <c r="G1468" t="s">
        <v>118</v>
      </c>
      <c r="H1468" t="str">
        <f>IFERROR(ROUND(COUNTIFS(Tasks!$A:$A,$A1468,Tasks!$B:$B,$B1468,Tasks!$C:$C,$G1468,Tasks!$I:$I,"&lt;="&amp;INDEX(Weeks!$D:$D,MATCH($C1468,Weeks!$A:$A,0)),Tasks!$I:$I,"&lt;&gt;")/COUNTIFS(Tasks!$A:$A,$A1468,Tasks!$B:$B,$B1468,Tasks!$C:$C,$G1468)*100,0),"")</f>
        <v/>
      </c>
    </row>
    <row r="1469" spans="1:8" ht="15" hidden="1" customHeight="1">
      <c r="A1469" t="s">
        <v>97</v>
      </c>
      <c r="B1469" t="s">
        <v>100</v>
      </c>
      <c r="C1469">
        <v>12</v>
      </c>
      <c r="D1469">
        <v>3</v>
      </c>
      <c r="E1469">
        <v>3</v>
      </c>
      <c r="F1469">
        <v>4</v>
      </c>
      <c r="G1469" t="s">
        <v>118</v>
      </c>
      <c r="H1469" t="str">
        <f>IFERROR(ROUND(COUNTIFS(Tasks!$A:$A,$A1469,Tasks!$B:$B,$B1469,Tasks!$C:$C,$G1469,Tasks!$I:$I,"&lt;="&amp;INDEX(Weeks!$D:$D,MATCH($C1469,Weeks!$A:$A,0)),Tasks!$I:$I,"&lt;&gt;")/COUNTIFS(Tasks!$A:$A,$A1469,Tasks!$B:$B,$B1469,Tasks!$C:$C,$G1469)*100,0),"")</f>
        <v/>
      </c>
    </row>
    <row r="1470" spans="1:8" ht="15" hidden="1" customHeight="1">
      <c r="A1470" t="s">
        <v>97</v>
      </c>
      <c r="B1470" t="s">
        <v>100</v>
      </c>
      <c r="C1470">
        <v>13</v>
      </c>
      <c r="D1470">
        <v>3</v>
      </c>
      <c r="E1470">
        <v>4</v>
      </c>
      <c r="F1470">
        <v>4</v>
      </c>
      <c r="G1470" t="s">
        <v>118</v>
      </c>
      <c r="H1470" t="str">
        <f>IFERROR(ROUND(COUNTIFS(Tasks!$A:$A,$A1470,Tasks!$B:$B,$B1470,Tasks!$C:$C,$G1470,Tasks!$I:$I,"&lt;="&amp;INDEX(Weeks!$D:$D,MATCH($C1470,Weeks!$A:$A,0)),Tasks!$I:$I,"&lt;&gt;")/COUNTIFS(Tasks!$A:$A,$A1470,Tasks!$B:$B,$B1470,Tasks!$C:$C,$G1470)*100,0),"")</f>
        <v/>
      </c>
    </row>
    <row r="1471" spans="1:8" ht="15" hidden="1" customHeight="1">
      <c r="A1471" t="s">
        <v>97</v>
      </c>
      <c r="B1471" t="s">
        <v>100</v>
      </c>
      <c r="C1471">
        <v>14</v>
      </c>
      <c r="D1471">
        <v>4</v>
      </c>
      <c r="E1471">
        <v>1</v>
      </c>
      <c r="F1471">
        <v>4</v>
      </c>
      <c r="G1471" t="s">
        <v>118</v>
      </c>
      <c r="H1471" t="str">
        <f>IFERROR(ROUND(COUNTIFS(Tasks!$A:$A,$A1471,Tasks!$B:$B,$B1471,Tasks!$C:$C,$G1471,Tasks!$I:$I,"&lt;="&amp;INDEX(Weeks!$D:$D,MATCH($C1471,Weeks!$A:$A,0)),Tasks!$I:$I,"&lt;&gt;")/COUNTIFS(Tasks!$A:$A,$A1471,Tasks!$B:$B,$B1471,Tasks!$C:$C,$G1471)*100,0),"")</f>
        <v/>
      </c>
    </row>
    <row r="1472" spans="1:8" ht="15" hidden="1" customHeight="1">
      <c r="A1472" t="s">
        <v>97</v>
      </c>
      <c r="B1472" t="s">
        <v>100</v>
      </c>
      <c r="C1472">
        <v>15</v>
      </c>
      <c r="D1472">
        <v>4</v>
      </c>
      <c r="E1472">
        <v>2</v>
      </c>
      <c r="F1472">
        <v>4</v>
      </c>
      <c r="G1472" t="s">
        <v>118</v>
      </c>
      <c r="H1472" t="str">
        <f>IFERROR(ROUND(COUNTIFS(Tasks!$A:$A,$A1472,Tasks!$B:$B,$B1472,Tasks!$C:$C,$G1472,Tasks!$I:$I,"&lt;="&amp;INDEX(Weeks!$D:$D,MATCH($C1472,Weeks!$A:$A,0)),Tasks!$I:$I,"&lt;&gt;")/COUNTIFS(Tasks!$A:$A,$A1472,Tasks!$B:$B,$B1472,Tasks!$C:$C,$G1472)*100,0),"")</f>
        <v/>
      </c>
    </row>
    <row r="1473" spans="1:8" ht="15" hidden="1" customHeight="1">
      <c r="A1473" t="s">
        <v>97</v>
      </c>
      <c r="B1473" t="s">
        <v>100</v>
      </c>
      <c r="C1473">
        <v>16</v>
      </c>
      <c r="D1473">
        <v>4</v>
      </c>
      <c r="E1473">
        <v>3</v>
      </c>
      <c r="F1473">
        <v>4</v>
      </c>
      <c r="G1473" t="s">
        <v>118</v>
      </c>
      <c r="H1473" t="str">
        <f>IFERROR(ROUND(COUNTIFS(Tasks!$A:$A,$A1473,Tasks!$B:$B,$B1473,Tasks!$C:$C,$G1473,Tasks!$I:$I,"&lt;="&amp;INDEX(Weeks!$D:$D,MATCH($C1473,Weeks!$A:$A,0)),Tasks!$I:$I,"&lt;&gt;")/COUNTIFS(Tasks!$A:$A,$A1473,Tasks!$B:$B,$B1473,Tasks!$C:$C,$G1473)*100,0),"")</f>
        <v/>
      </c>
    </row>
    <row r="1474" spans="1:8" ht="15" hidden="1" customHeight="1">
      <c r="A1474" t="s">
        <v>97</v>
      </c>
      <c r="B1474" t="s">
        <v>100</v>
      </c>
      <c r="C1474">
        <v>17</v>
      </c>
      <c r="D1474">
        <v>4</v>
      </c>
      <c r="E1474">
        <v>4</v>
      </c>
      <c r="F1474">
        <v>4</v>
      </c>
      <c r="G1474" t="s">
        <v>118</v>
      </c>
      <c r="H1474" t="str">
        <f>IFERROR(ROUND(COUNTIFS(Tasks!$A:$A,$A1474,Tasks!$B:$B,$B1474,Tasks!$C:$C,$G1474,Tasks!$I:$I,"&lt;="&amp;INDEX(Weeks!$D:$D,MATCH($C1474,Weeks!$A:$A,0)),Tasks!$I:$I,"&lt;&gt;")/COUNTIFS(Tasks!$A:$A,$A1474,Tasks!$B:$B,$B1474,Tasks!$C:$C,$G1474)*100,0),"")</f>
        <v/>
      </c>
    </row>
    <row r="1475" spans="1:8" ht="15" hidden="1" customHeight="1">
      <c r="A1475" t="s">
        <v>97</v>
      </c>
      <c r="B1475" t="s">
        <v>100</v>
      </c>
      <c r="C1475">
        <v>18</v>
      </c>
      <c r="D1475">
        <v>5</v>
      </c>
      <c r="E1475">
        <v>1</v>
      </c>
      <c r="F1475">
        <v>4</v>
      </c>
      <c r="G1475" t="s">
        <v>118</v>
      </c>
      <c r="H1475" t="str">
        <f>IFERROR(ROUND(COUNTIFS(Tasks!$A:$A,$A1475,Tasks!$B:$B,$B1475,Tasks!$C:$C,$G1475,Tasks!$I:$I,"&lt;="&amp;INDEX(Weeks!$D:$D,MATCH($C1475,Weeks!$A:$A,0)),Tasks!$I:$I,"&lt;&gt;")/COUNTIFS(Tasks!$A:$A,$A1475,Tasks!$B:$B,$B1475,Tasks!$C:$C,$G1475)*100,0),"")</f>
        <v/>
      </c>
    </row>
    <row r="1476" spans="1:8" ht="15" hidden="1" customHeight="1">
      <c r="A1476" t="s">
        <v>97</v>
      </c>
      <c r="B1476" t="s">
        <v>100</v>
      </c>
      <c r="C1476">
        <v>19</v>
      </c>
      <c r="D1476">
        <v>5</v>
      </c>
      <c r="E1476">
        <v>2</v>
      </c>
      <c r="F1476">
        <v>4</v>
      </c>
      <c r="G1476" t="s">
        <v>118</v>
      </c>
      <c r="H1476" t="str">
        <f>IFERROR(ROUND(COUNTIFS(Tasks!$A:$A,$A1476,Tasks!$B:$B,$B1476,Tasks!$C:$C,$G1476,Tasks!$I:$I,"&lt;="&amp;INDEX(Weeks!$D:$D,MATCH($C1476,Weeks!$A:$A,0)),Tasks!$I:$I,"&lt;&gt;")/COUNTIFS(Tasks!$A:$A,$A1476,Tasks!$B:$B,$B1476,Tasks!$C:$C,$G1476)*100,0),"")</f>
        <v/>
      </c>
    </row>
    <row r="1477" spans="1:8" ht="15" hidden="1" customHeight="1">
      <c r="A1477" t="s">
        <v>97</v>
      </c>
      <c r="B1477" t="s">
        <v>100</v>
      </c>
      <c r="C1477">
        <v>20</v>
      </c>
      <c r="D1477">
        <v>5</v>
      </c>
      <c r="E1477">
        <v>3</v>
      </c>
      <c r="F1477">
        <v>4</v>
      </c>
      <c r="G1477" t="s">
        <v>118</v>
      </c>
      <c r="H1477" t="str">
        <f>IFERROR(ROUND(COUNTIFS(Tasks!$A:$A,$A1477,Tasks!$B:$B,$B1477,Tasks!$C:$C,$G1477,Tasks!$I:$I,"&lt;="&amp;INDEX(Weeks!$D:$D,MATCH($C1477,Weeks!$A:$A,0)),Tasks!$I:$I,"&lt;&gt;")/COUNTIFS(Tasks!$A:$A,$A1477,Tasks!$B:$B,$B1477,Tasks!$C:$C,$G1477)*100,0),"")</f>
        <v/>
      </c>
    </row>
    <row r="1478" spans="1:8" ht="15" hidden="1" customHeight="1">
      <c r="A1478" t="s">
        <v>97</v>
      </c>
      <c r="B1478" t="s">
        <v>100</v>
      </c>
      <c r="C1478">
        <v>21</v>
      </c>
      <c r="D1478">
        <v>5</v>
      </c>
      <c r="E1478">
        <v>4</v>
      </c>
      <c r="F1478">
        <v>4</v>
      </c>
      <c r="G1478" t="s">
        <v>118</v>
      </c>
      <c r="H1478" t="str">
        <f>IFERROR(ROUND(COUNTIFS(Tasks!$A:$A,$A1478,Tasks!$B:$B,$B1478,Tasks!$C:$C,$G1478,Tasks!$I:$I,"&lt;="&amp;INDEX(Weeks!$D:$D,MATCH($C1478,Weeks!$A:$A,0)),Tasks!$I:$I,"&lt;&gt;")/COUNTIFS(Tasks!$A:$A,$A1478,Tasks!$B:$B,$B1478,Tasks!$C:$C,$G1478)*100,0),"")</f>
        <v/>
      </c>
    </row>
    <row r="1479" spans="1:8" ht="15" hidden="1" customHeight="1">
      <c r="A1479" t="s">
        <v>97</v>
      </c>
      <c r="B1479" t="s">
        <v>100</v>
      </c>
      <c r="C1479">
        <v>22</v>
      </c>
      <c r="D1479">
        <v>5</v>
      </c>
      <c r="E1479">
        <v>5</v>
      </c>
      <c r="F1479">
        <v>4</v>
      </c>
      <c r="G1479" t="s">
        <v>118</v>
      </c>
      <c r="H1479" t="str">
        <f>IFERROR(ROUND(COUNTIFS(Tasks!$A:$A,$A1479,Tasks!$B:$B,$B1479,Tasks!$C:$C,$G1479,Tasks!$I:$I,"&lt;="&amp;INDEX(Weeks!$D:$D,MATCH($C1479,Weeks!$A:$A,0)),Tasks!$I:$I,"&lt;&gt;")/COUNTIFS(Tasks!$A:$A,$A1479,Tasks!$B:$B,$B1479,Tasks!$C:$C,$G1479)*100,0),"")</f>
        <v/>
      </c>
    </row>
    <row r="1480" spans="1:8" ht="15" hidden="1" customHeight="1">
      <c r="A1480" t="s">
        <v>97</v>
      </c>
      <c r="B1480" t="s">
        <v>100</v>
      </c>
      <c r="C1480">
        <v>23</v>
      </c>
      <c r="D1480">
        <v>6</v>
      </c>
      <c r="E1480">
        <v>1</v>
      </c>
      <c r="F1480">
        <v>4</v>
      </c>
      <c r="G1480" t="s">
        <v>118</v>
      </c>
      <c r="H1480" t="str">
        <f>IFERROR(ROUND(COUNTIFS(Tasks!$A:$A,$A1480,Tasks!$B:$B,$B1480,Tasks!$C:$C,$G1480,Tasks!$I:$I,"&lt;="&amp;INDEX(Weeks!$D:$D,MATCH($C1480,Weeks!$A:$A,0)),Tasks!$I:$I,"&lt;&gt;")/COUNTIFS(Tasks!$A:$A,$A1480,Tasks!$B:$B,$B1480,Tasks!$C:$C,$G1480)*100,0),"")</f>
        <v/>
      </c>
    </row>
    <row r="1481" spans="1:8" ht="15" hidden="1" customHeight="1">
      <c r="A1481" t="s">
        <v>97</v>
      </c>
      <c r="B1481" t="s">
        <v>100</v>
      </c>
      <c r="C1481">
        <v>24</v>
      </c>
      <c r="D1481">
        <v>6</v>
      </c>
      <c r="E1481">
        <v>2</v>
      </c>
      <c r="F1481">
        <v>4</v>
      </c>
      <c r="G1481" t="s">
        <v>118</v>
      </c>
      <c r="H1481" t="str">
        <f>IFERROR(ROUND(COUNTIFS(Tasks!$A:$A,$A1481,Tasks!$B:$B,$B1481,Tasks!$C:$C,$G1481,Tasks!$I:$I,"&lt;="&amp;INDEX(Weeks!$D:$D,MATCH($C1481,Weeks!$A:$A,0)),Tasks!$I:$I,"&lt;&gt;")/COUNTIFS(Tasks!$A:$A,$A1481,Tasks!$B:$B,$B1481,Tasks!$C:$C,$G1481)*100,0),"")</f>
        <v/>
      </c>
    </row>
    <row r="1482" spans="1:8" ht="15" hidden="1" customHeight="1">
      <c r="A1482" t="s">
        <v>97</v>
      </c>
      <c r="B1482" t="s">
        <v>100</v>
      </c>
      <c r="C1482">
        <v>25</v>
      </c>
      <c r="D1482">
        <v>6</v>
      </c>
      <c r="E1482">
        <v>3</v>
      </c>
      <c r="F1482">
        <v>4</v>
      </c>
      <c r="G1482" t="s">
        <v>118</v>
      </c>
      <c r="H1482" t="str">
        <f>IFERROR(ROUND(COUNTIFS(Tasks!$A:$A,$A1482,Tasks!$B:$B,$B1482,Tasks!$C:$C,$G1482,Tasks!$I:$I,"&lt;="&amp;INDEX(Weeks!$D:$D,MATCH($C1482,Weeks!$A:$A,0)),Tasks!$I:$I,"&lt;&gt;")/COUNTIFS(Tasks!$A:$A,$A1482,Tasks!$B:$B,$B1482,Tasks!$C:$C,$G1482)*100,0),"")</f>
        <v/>
      </c>
    </row>
    <row r="1483" spans="1:8" ht="15" hidden="1" customHeight="1">
      <c r="A1483" t="s">
        <v>97</v>
      </c>
      <c r="B1483" t="s">
        <v>100</v>
      </c>
      <c r="C1483">
        <v>26</v>
      </c>
      <c r="D1483">
        <v>6</v>
      </c>
      <c r="E1483">
        <v>4</v>
      </c>
      <c r="F1483">
        <v>4</v>
      </c>
      <c r="G1483" t="s">
        <v>118</v>
      </c>
      <c r="H1483" t="str">
        <f>IFERROR(ROUND(COUNTIFS(Tasks!$A:$A,$A1483,Tasks!$B:$B,$B1483,Tasks!$C:$C,$G1483,Tasks!$I:$I,"&lt;="&amp;INDEX(Weeks!$D:$D,MATCH($C1483,Weeks!$A:$A,0)),Tasks!$I:$I,"&lt;&gt;")/COUNTIFS(Tasks!$A:$A,$A1483,Tasks!$B:$B,$B1483,Tasks!$C:$C,$G1483)*100,0),"")</f>
        <v/>
      </c>
    </row>
    <row r="1484" spans="1:8" ht="15" hidden="1" customHeight="1">
      <c r="A1484" t="s">
        <v>97</v>
      </c>
      <c r="B1484" t="s">
        <v>100</v>
      </c>
      <c r="C1484">
        <v>27</v>
      </c>
      <c r="D1484">
        <v>7</v>
      </c>
      <c r="E1484">
        <v>1</v>
      </c>
      <c r="F1484">
        <v>4</v>
      </c>
      <c r="G1484" t="s">
        <v>118</v>
      </c>
      <c r="H1484" t="str">
        <f>IFERROR(ROUND(COUNTIFS(Tasks!$A:$A,$A1484,Tasks!$B:$B,$B1484,Tasks!$C:$C,$G1484,Tasks!$I:$I,"&lt;="&amp;INDEX(Weeks!$D:$D,MATCH($C1484,Weeks!$A:$A,0)),Tasks!$I:$I,"&lt;&gt;")/COUNTIFS(Tasks!$A:$A,$A1484,Tasks!$B:$B,$B1484,Tasks!$C:$C,$G1484)*100,0),"")</f>
        <v/>
      </c>
    </row>
    <row r="1485" spans="1:8" ht="15" hidden="1" customHeight="1">
      <c r="A1485" t="s">
        <v>97</v>
      </c>
      <c r="B1485" t="s">
        <v>100</v>
      </c>
      <c r="C1485">
        <v>28</v>
      </c>
      <c r="D1485">
        <v>7</v>
      </c>
      <c r="E1485">
        <v>2</v>
      </c>
      <c r="F1485">
        <v>4</v>
      </c>
      <c r="G1485" t="s">
        <v>118</v>
      </c>
      <c r="H1485" t="str">
        <f>IFERROR(ROUND(COUNTIFS(Tasks!$A:$A,$A1485,Tasks!$B:$B,$B1485,Tasks!$C:$C,$G1485,Tasks!$I:$I,"&lt;="&amp;INDEX(Weeks!$D:$D,MATCH($C1485,Weeks!$A:$A,0)),Tasks!$I:$I,"&lt;&gt;")/COUNTIFS(Tasks!$A:$A,$A1485,Tasks!$B:$B,$B1485,Tasks!$C:$C,$G1485)*100,0),"")</f>
        <v/>
      </c>
    </row>
    <row r="1486" spans="1:8" ht="15" hidden="1" customHeight="1">
      <c r="A1486" t="s">
        <v>97</v>
      </c>
      <c r="B1486" t="s">
        <v>100</v>
      </c>
      <c r="C1486">
        <v>29</v>
      </c>
      <c r="D1486">
        <v>7</v>
      </c>
      <c r="E1486">
        <v>3</v>
      </c>
      <c r="F1486">
        <v>4</v>
      </c>
      <c r="G1486" t="s">
        <v>118</v>
      </c>
      <c r="H1486" t="str">
        <f>IFERROR(ROUND(COUNTIFS(Tasks!$A:$A,$A1486,Tasks!$B:$B,$B1486,Tasks!$C:$C,$G1486,Tasks!$I:$I,"&lt;="&amp;INDEX(Weeks!$D:$D,MATCH($C1486,Weeks!$A:$A,0)),Tasks!$I:$I,"&lt;&gt;")/COUNTIFS(Tasks!$A:$A,$A1486,Tasks!$B:$B,$B1486,Tasks!$C:$C,$G1486)*100,0),"")</f>
        <v/>
      </c>
    </row>
    <row r="1487" spans="1:8" ht="15" hidden="1" customHeight="1">
      <c r="A1487" t="s">
        <v>97</v>
      </c>
      <c r="B1487" t="s">
        <v>100</v>
      </c>
      <c r="C1487">
        <v>30</v>
      </c>
      <c r="D1487">
        <v>7</v>
      </c>
      <c r="E1487">
        <v>4</v>
      </c>
      <c r="F1487">
        <v>4</v>
      </c>
      <c r="G1487" t="s">
        <v>118</v>
      </c>
      <c r="H1487" t="str">
        <f>IFERROR(ROUND(COUNTIFS(Tasks!$A:$A,$A1487,Tasks!$B:$B,$B1487,Tasks!$C:$C,$G1487,Tasks!$I:$I,"&lt;="&amp;INDEX(Weeks!$D:$D,MATCH($C1487,Weeks!$A:$A,0)),Tasks!$I:$I,"&lt;&gt;")/COUNTIFS(Tasks!$A:$A,$A1487,Tasks!$B:$B,$B1487,Tasks!$C:$C,$G1487)*100,0),"")</f>
        <v/>
      </c>
    </row>
    <row r="1488" spans="1:8" ht="15" hidden="1" customHeight="1">
      <c r="A1488" t="s">
        <v>97</v>
      </c>
      <c r="B1488" t="s">
        <v>100</v>
      </c>
      <c r="C1488">
        <v>31</v>
      </c>
      <c r="D1488">
        <v>8</v>
      </c>
      <c r="E1488">
        <v>1</v>
      </c>
      <c r="F1488">
        <v>4</v>
      </c>
      <c r="G1488" t="s">
        <v>118</v>
      </c>
      <c r="H1488" t="str">
        <f>IFERROR(ROUND(COUNTIFS(Tasks!$A:$A,$A1488,Tasks!$B:$B,$B1488,Tasks!$C:$C,$G1488,Tasks!$I:$I,"&lt;="&amp;INDEX(Weeks!$D:$D,MATCH($C1488,Weeks!$A:$A,0)),Tasks!$I:$I,"&lt;&gt;")/COUNTIFS(Tasks!$A:$A,$A1488,Tasks!$B:$B,$B1488,Tasks!$C:$C,$G1488)*100,0),"")</f>
        <v/>
      </c>
    </row>
    <row r="1489" spans="1:8" ht="15" hidden="1" customHeight="1">
      <c r="A1489" t="s">
        <v>97</v>
      </c>
      <c r="B1489" t="s">
        <v>100</v>
      </c>
      <c r="C1489">
        <v>32</v>
      </c>
      <c r="D1489">
        <v>8</v>
      </c>
      <c r="E1489">
        <v>2</v>
      </c>
      <c r="F1489">
        <v>4</v>
      </c>
      <c r="G1489" t="s">
        <v>118</v>
      </c>
      <c r="H1489" t="str">
        <f>IFERROR(ROUND(COUNTIFS(Tasks!$A:$A,$A1489,Tasks!$B:$B,$B1489,Tasks!$C:$C,$G1489,Tasks!$I:$I,"&lt;="&amp;INDEX(Weeks!$D:$D,MATCH($C1489,Weeks!$A:$A,0)),Tasks!$I:$I,"&lt;&gt;")/COUNTIFS(Tasks!$A:$A,$A1489,Tasks!$B:$B,$B1489,Tasks!$C:$C,$G1489)*100,0),"")</f>
        <v/>
      </c>
    </row>
    <row r="1490" spans="1:8" ht="15" hidden="1" customHeight="1">
      <c r="A1490" t="s">
        <v>97</v>
      </c>
      <c r="B1490" t="s">
        <v>100</v>
      </c>
      <c r="C1490">
        <v>33</v>
      </c>
      <c r="D1490">
        <v>8</v>
      </c>
      <c r="E1490">
        <v>3</v>
      </c>
      <c r="F1490">
        <v>4</v>
      </c>
      <c r="G1490" t="s">
        <v>118</v>
      </c>
      <c r="H1490" t="str">
        <f>IFERROR(ROUND(COUNTIFS(Tasks!$A:$A,$A1490,Tasks!$B:$B,$B1490,Tasks!$C:$C,$G1490,Tasks!$I:$I,"&lt;="&amp;INDEX(Weeks!$D:$D,MATCH($C1490,Weeks!$A:$A,0)),Tasks!$I:$I,"&lt;&gt;")/COUNTIFS(Tasks!$A:$A,$A1490,Tasks!$B:$B,$B1490,Tasks!$C:$C,$G1490)*100,0),"")</f>
        <v/>
      </c>
    </row>
    <row r="1491" spans="1:8" ht="15" hidden="1" customHeight="1">
      <c r="A1491" t="s">
        <v>97</v>
      </c>
      <c r="B1491" t="s">
        <v>100</v>
      </c>
      <c r="C1491">
        <v>34</v>
      </c>
      <c r="D1491">
        <v>8</v>
      </c>
      <c r="E1491">
        <v>4</v>
      </c>
      <c r="F1491">
        <v>4</v>
      </c>
      <c r="G1491" t="s">
        <v>118</v>
      </c>
      <c r="H1491" t="str">
        <f>IFERROR(ROUND(COUNTIFS(Tasks!$A:$A,$A1491,Tasks!$B:$B,$B1491,Tasks!$C:$C,$G1491,Tasks!$I:$I,"&lt;="&amp;INDEX(Weeks!$D:$D,MATCH($C1491,Weeks!$A:$A,0)),Tasks!$I:$I,"&lt;&gt;")/COUNTIFS(Tasks!$A:$A,$A1491,Tasks!$B:$B,$B1491,Tasks!$C:$C,$G1491)*100,0),"")</f>
        <v/>
      </c>
    </row>
    <row r="1492" spans="1:8" ht="15" hidden="1" customHeight="1">
      <c r="A1492" t="s">
        <v>97</v>
      </c>
      <c r="B1492" t="s">
        <v>100</v>
      </c>
      <c r="C1492">
        <v>35</v>
      </c>
      <c r="D1492">
        <v>8</v>
      </c>
      <c r="E1492">
        <v>5</v>
      </c>
      <c r="F1492">
        <v>4</v>
      </c>
      <c r="G1492" t="s">
        <v>118</v>
      </c>
      <c r="H1492" t="str">
        <f>IFERROR(ROUND(COUNTIFS(Tasks!$A:$A,$A1492,Tasks!$B:$B,$B1492,Tasks!$C:$C,$G1492,Tasks!$I:$I,"&lt;="&amp;INDEX(Weeks!$D:$D,MATCH($C1492,Weeks!$A:$A,0)),Tasks!$I:$I,"&lt;&gt;")/COUNTIFS(Tasks!$A:$A,$A1492,Tasks!$B:$B,$B1492,Tasks!$C:$C,$G1492)*100,0),"")</f>
        <v/>
      </c>
    </row>
    <row r="1493" spans="1:8" ht="15" hidden="1" customHeight="1">
      <c r="A1493" t="s">
        <v>97</v>
      </c>
      <c r="B1493" t="s">
        <v>100</v>
      </c>
      <c r="C1493">
        <v>36</v>
      </c>
      <c r="D1493">
        <v>9</v>
      </c>
      <c r="E1493">
        <v>1</v>
      </c>
      <c r="F1493">
        <v>4</v>
      </c>
      <c r="G1493" t="s">
        <v>118</v>
      </c>
      <c r="H1493" t="str">
        <f>IFERROR(ROUND(COUNTIFS(Tasks!$A:$A,$A1493,Tasks!$B:$B,$B1493,Tasks!$C:$C,$G1493,Tasks!$I:$I,"&lt;="&amp;INDEX(Weeks!$D:$D,MATCH($C1493,Weeks!$A:$A,0)),Tasks!$I:$I,"&lt;&gt;")/COUNTIFS(Tasks!$A:$A,$A1493,Tasks!$B:$B,$B1493,Tasks!$C:$C,$G1493)*100,0),"")</f>
        <v/>
      </c>
    </row>
    <row r="1494" spans="1:8" ht="15" hidden="1" customHeight="1">
      <c r="A1494" t="s">
        <v>97</v>
      </c>
      <c r="B1494" t="s">
        <v>100</v>
      </c>
      <c r="C1494">
        <v>37</v>
      </c>
      <c r="D1494">
        <v>9</v>
      </c>
      <c r="E1494">
        <v>2</v>
      </c>
      <c r="F1494">
        <v>4</v>
      </c>
      <c r="G1494" t="s">
        <v>118</v>
      </c>
      <c r="H1494" t="str">
        <f>IFERROR(ROUND(COUNTIFS(Tasks!$A:$A,$A1494,Tasks!$B:$B,$B1494,Tasks!$C:$C,$G1494,Tasks!$I:$I,"&lt;="&amp;INDEX(Weeks!$D:$D,MATCH($C1494,Weeks!$A:$A,0)),Tasks!$I:$I,"&lt;&gt;")/COUNTIFS(Tasks!$A:$A,$A1494,Tasks!$B:$B,$B1494,Tasks!$C:$C,$G1494)*100,0),"")</f>
        <v/>
      </c>
    </row>
    <row r="1495" spans="1:8" ht="15" hidden="1" customHeight="1">
      <c r="A1495" t="s">
        <v>97</v>
      </c>
      <c r="B1495" t="s">
        <v>100</v>
      </c>
      <c r="C1495">
        <v>38</v>
      </c>
      <c r="D1495">
        <v>9</v>
      </c>
      <c r="E1495">
        <v>3</v>
      </c>
      <c r="F1495">
        <v>4</v>
      </c>
      <c r="G1495" t="s">
        <v>118</v>
      </c>
      <c r="H1495" t="str">
        <f>IFERROR(ROUND(COUNTIFS(Tasks!$A:$A,$A1495,Tasks!$B:$B,$B1495,Tasks!$C:$C,$G1495,Tasks!$I:$I,"&lt;="&amp;INDEX(Weeks!$D:$D,MATCH($C1495,Weeks!$A:$A,0)),Tasks!$I:$I,"&lt;&gt;")/COUNTIFS(Tasks!$A:$A,$A1495,Tasks!$B:$B,$B1495,Tasks!$C:$C,$G1495)*100,0),"")</f>
        <v/>
      </c>
    </row>
    <row r="1496" spans="1:8" ht="15" hidden="1" customHeight="1">
      <c r="A1496" t="s">
        <v>97</v>
      </c>
      <c r="B1496" t="s">
        <v>100</v>
      </c>
      <c r="C1496">
        <v>39</v>
      </c>
      <c r="D1496">
        <v>9</v>
      </c>
      <c r="E1496">
        <v>4</v>
      </c>
      <c r="F1496">
        <v>4</v>
      </c>
      <c r="G1496" t="s">
        <v>118</v>
      </c>
      <c r="H1496" t="str">
        <f>IFERROR(ROUND(COUNTIFS(Tasks!$A:$A,$A1496,Tasks!$B:$B,$B1496,Tasks!$C:$C,$G1496,Tasks!$I:$I,"&lt;="&amp;INDEX(Weeks!$D:$D,MATCH($C1496,Weeks!$A:$A,0)),Tasks!$I:$I,"&lt;&gt;")/COUNTIFS(Tasks!$A:$A,$A1496,Tasks!$B:$B,$B1496,Tasks!$C:$C,$G1496)*100,0),"")</f>
        <v/>
      </c>
    </row>
    <row r="1497" spans="1:8" ht="15" hidden="1" customHeight="1">
      <c r="A1497" t="s">
        <v>97</v>
      </c>
      <c r="B1497" t="s">
        <v>100</v>
      </c>
      <c r="C1497">
        <v>40</v>
      </c>
      <c r="D1497">
        <v>10</v>
      </c>
      <c r="E1497">
        <v>1</v>
      </c>
      <c r="F1497">
        <v>4</v>
      </c>
      <c r="G1497" t="s">
        <v>118</v>
      </c>
      <c r="H1497" t="str">
        <f>IFERROR(ROUND(COUNTIFS(Tasks!$A:$A,$A1497,Tasks!$B:$B,$B1497,Tasks!$C:$C,$G1497,Tasks!$I:$I,"&lt;="&amp;INDEX(Weeks!$D:$D,MATCH($C1497,Weeks!$A:$A,0)),Tasks!$I:$I,"&lt;&gt;")/COUNTIFS(Tasks!$A:$A,$A1497,Tasks!$B:$B,$B1497,Tasks!$C:$C,$G1497)*100,0),"")</f>
        <v/>
      </c>
    </row>
    <row r="1498" spans="1:8" ht="15" hidden="1" customHeight="1">
      <c r="A1498" t="s">
        <v>97</v>
      </c>
      <c r="B1498" t="s">
        <v>100</v>
      </c>
      <c r="C1498">
        <v>41</v>
      </c>
      <c r="D1498">
        <v>10</v>
      </c>
      <c r="E1498">
        <v>2</v>
      </c>
      <c r="F1498">
        <v>4</v>
      </c>
      <c r="G1498" t="s">
        <v>118</v>
      </c>
      <c r="H1498" t="str">
        <f>IFERROR(ROUND(COUNTIFS(Tasks!$A:$A,$A1498,Tasks!$B:$B,$B1498,Tasks!$C:$C,$G1498,Tasks!$I:$I,"&lt;="&amp;INDEX(Weeks!$D:$D,MATCH($C1498,Weeks!$A:$A,0)),Tasks!$I:$I,"&lt;&gt;")/COUNTIFS(Tasks!$A:$A,$A1498,Tasks!$B:$B,$B1498,Tasks!$C:$C,$G1498)*100,0),"")</f>
        <v/>
      </c>
    </row>
    <row r="1499" spans="1:8" ht="15" hidden="1" customHeight="1">
      <c r="A1499" t="s">
        <v>97</v>
      </c>
      <c r="B1499" t="s">
        <v>100</v>
      </c>
      <c r="C1499">
        <v>42</v>
      </c>
      <c r="D1499">
        <v>10</v>
      </c>
      <c r="E1499">
        <v>3</v>
      </c>
      <c r="F1499">
        <v>4</v>
      </c>
      <c r="G1499" t="s">
        <v>118</v>
      </c>
      <c r="H1499" t="str">
        <f>IFERROR(ROUND(COUNTIFS(Tasks!$A:$A,$A1499,Tasks!$B:$B,$B1499,Tasks!$C:$C,$G1499,Tasks!$I:$I,"&lt;="&amp;INDEX(Weeks!$D:$D,MATCH($C1499,Weeks!$A:$A,0)),Tasks!$I:$I,"&lt;&gt;")/COUNTIFS(Tasks!$A:$A,$A1499,Tasks!$B:$B,$B1499,Tasks!$C:$C,$G1499)*100,0),"")</f>
        <v/>
      </c>
    </row>
    <row r="1500" spans="1:8" ht="15" hidden="1" customHeight="1">
      <c r="A1500" t="s">
        <v>97</v>
      </c>
      <c r="B1500" t="s">
        <v>100</v>
      </c>
      <c r="C1500">
        <v>43</v>
      </c>
      <c r="D1500">
        <v>10</v>
      </c>
      <c r="E1500">
        <v>4</v>
      </c>
      <c r="F1500">
        <v>4</v>
      </c>
      <c r="G1500" t="s">
        <v>118</v>
      </c>
      <c r="H1500" t="str">
        <f>IFERROR(ROUND(COUNTIFS(Tasks!$A:$A,$A1500,Tasks!$B:$B,$B1500,Tasks!$C:$C,$G1500,Tasks!$I:$I,"&lt;="&amp;INDEX(Weeks!$D:$D,MATCH($C1500,Weeks!$A:$A,0)),Tasks!$I:$I,"&lt;&gt;")/COUNTIFS(Tasks!$A:$A,$A1500,Tasks!$B:$B,$B1500,Tasks!$C:$C,$G1500)*100,0),"")</f>
        <v/>
      </c>
    </row>
    <row r="1501" spans="1:8" ht="15" hidden="1" customHeight="1">
      <c r="A1501" t="s">
        <v>97</v>
      </c>
      <c r="B1501" t="s">
        <v>100</v>
      </c>
      <c r="C1501">
        <v>44</v>
      </c>
      <c r="D1501">
        <v>10</v>
      </c>
      <c r="E1501">
        <v>5</v>
      </c>
      <c r="F1501">
        <v>4</v>
      </c>
      <c r="G1501" t="s">
        <v>118</v>
      </c>
      <c r="H1501" t="str">
        <f>IFERROR(ROUND(COUNTIFS(Tasks!$A:$A,$A1501,Tasks!$B:$B,$B1501,Tasks!$C:$C,$G1501,Tasks!$I:$I,"&lt;="&amp;INDEX(Weeks!$D:$D,MATCH($C1501,Weeks!$A:$A,0)),Tasks!$I:$I,"&lt;&gt;")/COUNTIFS(Tasks!$A:$A,$A1501,Tasks!$B:$B,$B1501,Tasks!$C:$C,$G1501)*100,0),"")</f>
        <v/>
      </c>
    </row>
    <row r="1502" spans="1:8" ht="15" hidden="1" customHeight="1">
      <c r="A1502" t="s">
        <v>97</v>
      </c>
      <c r="B1502" t="s">
        <v>100</v>
      </c>
      <c r="C1502">
        <v>45</v>
      </c>
      <c r="D1502">
        <v>11</v>
      </c>
      <c r="E1502">
        <v>1</v>
      </c>
      <c r="F1502">
        <v>4</v>
      </c>
      <c r="G1502" t="s">
        <v>118</v>
      </c>
      <c r="H1502" t="str">
        <f>IFERROR(ROUND(COUNTIFS(Tasks!$A:$A,$A1502,Tasks!$B:$B,$B1502,Tasks!$C:$C,$G1502,Tasks!$I:$I,"&lt;="&amp;INDEX(Weeks!$D:$D,MATCH($C1502,Weeks!$A:$A,0)),Tasks!$I:$I,"&lt;&gt;")/COUNTIFS(Tasks!$A:$A,$A1502,Tasks!$B:$B,$B1502,Tasks!$C:$C,$G1502)*100,0),"")</f>
        <v/>
      </c>
    </row>
    <row r="1503" spans="1:8" ht="15" hidden="1" customHeight="1">
      <c r="A1503" t="s">
        <v>97</v>
      </c>
      <c r="B1503" t="s">
        <v>100</v>
      </c>
      <c r="C1503">
        <v>46</v>
      </c>
      <c r="D1503">
        <v>11</v>
      </c>
      <c r="E1503">
        <v>2</v>
      </c>
      <c r="F1503">
        <v>4</v>
      </c>
      <c r="G1503" t="s">
        <v>118</v>
      </c>
      <c r="H1503" t="str">
        <f>IFERROR(ROUND(COUNTIFS(Tasks!$A:$A,$A1503,Tasks!$B:$B,$B1503,Tasks!$C:$C,$G1503,Tasks!$I:$I,"&lt;="&amp;INDEX(Weeks!$D:$D,MATCH($C1503,Weeks!$A:$A,0)),Tasks!$I:$I,"&lt;&gt;")/COUNTIFS(Tasks!$A:$A,$A1503,Tasks!$B:$B,$B1503,Tasks!$C:$C,$G1503)*100,0),"")</f>
        <v/>
      </c>
    </row>
    <row r="1504" spans="1:8" ht="15" hidden="1" customHeight="1">
      <c r="A1504" t="s">
        <v>97</v>
      </c>
      <c r="B1504" t="s">
        <v>100</v>
      </c>
      <c r="C1504">
        <v>47</v>
      </c>
      <c r="D1504">
        <v>11</v>
      </c>
      <c r="E1504">
        <v>3</v>
      </c>
      <c r="F1504">
        <v>4</v>
      </c>
      <c r="G1504" t="s">
        <v>118</v>
      </c>
      <c r="H1504" t="str">
        <f>IFERROR(ROUND(COUNTIFS(Tasks!$A:$A,$A1504,Tasks!$B:$B,$B1504,Tasks!$C:$C,$G1504,Tasks!$I:$I,"&lt;="&amp;INDEX(Weeks!$D:$D,MATCH($C1504,Weeks!$A:$A,0)),Tasks!$I:$I,"&lt;&gt;")/COUNTIFS(Tasks!$A:$A,$A1504,Tasks!$B:$B,$B1504,Tasks!$C:$C,$G1504)*100,0),"")</f>
        <v/>
      </c>
    </row>
    <row r="1505" spans="1:8" ht="15" hidden="1" customHeight="1">
      <c r="A1505" t="s">
        <v>97</v>
      </c>
      <c r="B1505" t="s">
        <v>100</v>
      </c>
      <c r="C1505">
        <v>48</v>
      </c>
      <c r="D1505">
        <v>11</v>
      </c>
      <c r="E1505">
        <v>4</v>
      </c>
      <c r="F1505">
        <v>4</v>
      </c>
      <c r="G1505" t="s">
        <v>118</v>
      </c>
      <c r="H1505" t="str">
        <f>IFERROR(ROUND(COUNTIFS(Tasks!$A:$A,$A1505,Tasks!$B:$B,$B1505,Tasks!$C:$C,$G1505,Tasks!$I:$I,"&lt;="&amp;INDEX(Weeks!$D:$D,MATCH($C1505,Weeks!$A:$A,0)),Tasks!$I:$I,"&lt;&gt;")/COUNTIFS(Tasks!$A:$A,$A1505,Tasks!$B:$B,$B1505,Tasks!$C:$C,$G1505)*100,0),"")</f>
        <v/>
      </c>
    </row>
    <row r="1506" spans="1:8" ht="15" hidden="1" customHeight="1">
      <c r="A1506" t="s">
        <v>97</v>
      </c>
      <c r="B1506" t="s">
        <v>100</v>
      </c>
      <c r="C1506">
        <v>49</v>
      </c>
      <c r="D1506">
        <v>12</v>
      </c>
      <c r="E1506">
        <v>1</v>
      </c>
      <c r="F1506">
        <v>4</v>
      </c>
      <c r="G1506" t="s">
        <v>118</v>
      </c>
      <c r="H1506" t="str">
        <f>IFERROR(ROUND(COUNTIFS(Tasks!$A:$A,$A1506,Tasks!$B:$B,$B1506,Tasks!$C:$C,$G1506,Tasks!$I:$I,"&lt;="&amp;INDEX(Weeks!$D:$D,MATCH($C1506,Weeks!$A:$A,0)),Tasks!$I:$I,"&lt;&gt;")/COUNTIFS(Tasks!$A:$A,$A1506,Tasks!$B:$B,$B1506,Tasks!$C:$C,$G1506)*100,0),"")</f>
        <v/>
      </c>
    </row>
    <row r="1507" spans="1:8" ht="15" hidden="1" customHeight="1">
      <c r="A1507" t="s">
        <v>97</v>
      </c>
      <c r="B1507" t="s">
        <v>100</v>
      </c>
      <c r="C1507">
        <v>50</v>
      </c>
      <c r="D1507">
        <v>12</v>
      </c>
      <c r="E1507">
        <v>2</v>
      </c>
      <c r="F1507">
        <v>4</v>
      </c>
      <c r="G1507" t="s">
        <v>118</v>
      </c>
      <c r="H1507" t="str">
        <f>IFERROR(ROUND(COUNTIFS(Tasks!$A:$A,$A1507,Tasks!$B:$B,$B1507,Tasks!$C:$C,$G1507,Tasks!$I:$I,"&lt;="&amp;INDEX(Weeks!$D:$D,MATCH($C1507,Weeks!$A:$A,0)),Tasks!$I:$I,"&lt;&gt;")/COUNTIFS(Tasks!$A:$A,$A1507,Tasks!$B:$B,$B1507,Tasks!$C:$C,$G1507)*100,0),"")</f>
        <v/>
      </c>
    </row>
    <row r="1508" spans="1:8" ht="15" hidden="1" customHeight="1">
      <c r="A1508" t="s">
        <v>97</v>
      </c>
      <c r="B1508" t="s">
        <v>100</v>
      </c>
      <c r="C1508">
        <v>51</v>
      </c>
      <c r="D1508">
        <v>12</v>
      </c>
      <c r="E1508">
        <v>3</v>
      </c>
      <c r="F1508">
        <v>4</v>
      </c>
      <c r="G1508" t="s">
        <v>118</v>
      </c>
      <c r="H1508" t="str">
        <f>IFERROR(ROUND(COUNTIFS(Tasks!$A:$A,$A1508,Tasks!$B:$B,$B1508,Tasks!$C:$C,$G1508,Tasks!$I:$I,"&lt;="&amp;INDEX(Weeks!$D:$D,MATCH($C1508,Weeks!$A:$A,0)),Tasks!$I:$I,"&lt;&gt;")/COUNTIFS(Tasks!$A:$A,$A1508,Tasks!$B:$B,$B1508,Tasks!$C:$C,$G1508)*100,0),"")</f>
        <v/>
      </c>
    </row>
    <row r="1509" spans="1:8" ht="15" hidden="1" customHeight="1">
      <c r="A1509" t="s">
        <v>97</v>
      </c>
      <c r="B1509" t="s">
        <v>100</v>
      </c>
      <c r="C1509">
        <v>52</v>
      </c>
      <c r="D1509">
        <v>12</v>
      </c>
      <c r="E1509">
        <v>4</v>
      </c>
      <c r="F1509">
        <v>4</v>
      </c>
      <c r="G1509" t="s">
        <v>118</v>
      </c>
      <c r="H1509" t="str">
        <f>IFERROR(ROUND(COUNTIFS(Tasks!$A:$A,$A1509,Tasks!$B:$B,$B1509,Tasks!$C:$C,$G1509,Tasks!$I:$I,"&lt;="&amp;INDEX(Weeks!$D:$D,MATCH($C1509,Weeks!$A:$A,0)),Tasks!$I:$I,"&lt;&gt;")/COUNTIFS(Tasks!$A:$A,$A1509,Tasks!$B:$B,$B1509,Tasks!$C:$C,$G1509)*100,0),"")</f>
        <v/>
      </c>
    </row>
    <row r="1510" spans="1:8" ht="15" hidden="1" customHeight="1">
      <c r="A1510" t="s">
        <v>97</v>
      </c>
      <c r="B1510" t="s">
        <v>100</v>
      </c>
      <c r="C1510">
        <v>1</v>
      </c>
      <c r="D1510">
        <v>1</v>
      </c>
      <c r="E1510">
        <v>1</v>
      </c>
      <c r="F1510">
        <v>5</v>
      </c>
      <c r="G1510" t="s">
        <v>119</v>
      </c>
      <c r="H1510" t="str">
        <f>IFERROR(ROUND(COUNTIFS(Tasks!$A:$A,$A1510,Tasks!$B:$B,$B1510,Tasks!$C:$C,$G1510,Tasks!$I:$I,"&lt;="&amp;INDEX(Weeks!$D:$D,MATCH($C1510,Weeks!$A:$A,0)),Tasks!$I:$I,"&lt;&gt;")/COUNTIFS(Tasks!$A:$A,$A1510,Tasks!$B:$B,$B1510,Tasks!$C:$C,$G1510)*100,0),"")</f>
        <v/>
      </c>
    </row>
    <row r="1511" spans="1:8" ht="15" hidden="1" customHeight="1">
      <c r="A1511" t="s">
        <v>97</v>
      </c>
      <c r="B1511" t="s">
        <v>100</v>
      </c>
      <c r="C1511">
        <v>2</v>
      </c>
      <c r="D1511">
        <v>1</v>
      </c>
      <c r="E1511">
        <v>2</v>
      </c>
      <c r="F1511">
        <v>5</v>
      </c>
      <c r="G1511" t="s">
        <v>119</v>
      </c>
      <c r="H1511" t="str">
        <f>IFERROR(ROUND(COUNTIFS(Tasks!$A:$A,$A1511,Tasks!$B:$B,$B1511,Tasks!$C:$C,$G1511,Tasks!$I:$I,"&lt;="&amp;INDEX(Weeks!$D:$D,MATCH($C1511,Weeks!$A:$A,0)),Tasks!$I:$I,"&lt;&gt;")/COUNTIFS(Tasks!$A:$A,$A1511,Tasks!$B:$B,$B1511,Tasks!$C:$C,$G1511)*100,0),"")</f>
        <v/>
      </c>
    </row>
    <row r="1512" spans="1:8" ht="15" hidden="1" customHeight="1">
      <c r="A1512" t="s">
        <v>97</v>
      </c>
      <c r="B1512" t="s">
        <v>100</v>
      </c>
      <c r="C1512">
        <v>3</v>
      </c>
      <c r="D1512">
        <v>1</v>
      </c>
      <c r="E1512">
        <v>3</v>
      </c>
      <c r="F1512">
        <v>5</v>
      </c>
      <c r="G1512" t="s">
        <v>119</v>
      </c>
      <c r="H1512" t="str">
        <f>IFERROR(ROUND(COUNTIFS(Tasks!$A:$A,$A1512,Tasks!$B:$B,$B1512,Tasks!$C:$C,$G1512,Tasks!$I:$I,"&lt;="&amp;INDEX(Weeks!$D:$D,MATCH($C1512,Weeks!$A:$A,0)),Tasks!$I:$I,"&lt;&gt;")/COUNTIFS(Tasks!$A:$A,$A1512,Tasks!$B:$B,$B1512,Tasks!$C:$C,$G1512)*100,0),"")</f>
        <v/>
      </c>
    </row>
    <row r="1513" spans="1:8" ht="15" hidden="1" customHeight="1">
      <c r="A1513" t="s">
        <v>97</v>
      </c>
      <c r="B1513" t="s">
        <v>100</v>
      </c>
      <c r="C1513">
        <v>4</v>
      </c>
      <c r="D1513">
        <v>1</v>
      </c>
      <c r="E1513">
        <v>4</v>
      </c>
      <c r="F1513">
        <v>5</v>
      </c>
      <c r="G1513" t="s">
        <v>119</v>
      </c>
      <c r="H1513" t="str">
        <f>IFERROR(ROUND(COUNTIFS(Tasks!$A:$A,$A1513,Tasks!$B:$B,$B1513,Tasks!$C:$C,$G1513,Tasks!$I:$I,"&lt;="&amp;INDEX(Weeks!$D:$D,MATCH($C1513,Weeks!$A:$A,0)),Tasks!$I:$I,"&lt;&gt;")/COUNTIFS(Tasks!$A:$A,$A1513,Tasks!$B:$B,$B1513,Tasks!$C:$C,$G1513)*100,0),"")</f>
        <v/>
      </c>
    </row>
    <row r="1514" spans="1:8" ht="15" hidden="1" customHeight="1">
      <c r="A1514" t="s">
        <v>97</v>
      </c>
      <c r="B1514" t="s">
        <v>100</v>
      </c>
      <c r="C1514">
        <v>5</v>
      </c>
      <c r="D1514">
        <v>1</v>
      </c>
      <c r="E1514">
        <v>5</v>
      </c>
      <c r="F1514">
        <v>5</v>
      </c>
      <c r="G1514" t="s">
        <v>119</v>
      </c>
      <c r="H1514" t="str">
        <f>IFERROR(ROUND(COUNTIFS(Tasks!$A:$A,$A1514,Tasks!$B:$B,$B1514,Tasks!$C:$C,$G1514,Tasks!$I:$I,"&lt;="&amp;INDEX(Weeks!$D:$D,MATCH($C1514,Weeks!$A:$A,0)),Tasks!$I:$I,"&lt;&gt;")/COUNTIFS(Tasks!$A:$A,$A1514,Tasks!$B:$B,$B1514,Tasks!$C:$C,$G1514)*100,0),"")</f>
        <v/>
      </c>
    </row>
    <row r="1515" spans="1:8" ht="15" hidden="1" customHeight="1">
      <c r="A1515" t="s">
        <v>97</v>
      </c>
      <c r="B1515" t="s">
        <v>100</v>
      </c>
      <c r="C1515">
        <v>6</v>
      </c>
      <c r="D1515">
        <v>2</v>
      </c>
      <c r="E1515">
        <v>1</v>
      </c>
      <c r="F1515">
        <v>5</v>
      </c>
      <c r="G1515" t="s">
        <v>119</v>
      </c>
      <c r="H1515" t="str">
        <f>IFERROR(ROUND(COUNTIFS(Tasks!$A:$A,$A1515,Tasks!$B:$B,$B1515,Tasks!$C:$C,$G1515,Tasks!$I:$I,"&lt;="&amp;INDEX(Weeks!$D:$D,MATCH($C1515,Weeks!$A:$A,0)),Tasks!$I:$I,"&lt;&gt;")/COUNTIFS(Tasks!$A:$A,$A1515,Tasks!$B:$B,$B1515,Tasks!$C:$C,$G1515)*100,0),"")</f>
        <v/>
      </c>
    </row>
    <row r="1516" spans="1:8" ht="15" hidden="1" customHeight="1">
      <c r="A1516" t="s">
        <v>97</v>
      </c>
      <c r="B1516" t="s">
        <v>100</v>
      </c>
      <c r="C1516">
        <v>7</v>
      </c>
      <c r="D1516">
        <v>2</v>
      </c>
      <c r="E1516">
        <v>2</v>
      </c>
      <c r="F1516">
        <v>5</v>
      </c>
      <c r="G1516" t="s">
        <v>119</v>
      </c>
      <c r="H1516" t="str">
        <f>IFERROR(ROUND(COUNTIFS(Tasks!$A:$A,$A1516,Tasks!$B:$B,$B1516,Tasks!$C:$C,$G1516,Tasks!$I:$I,"&lt;="&amp;INDEX(Weeks!$D:$D,MATCH($C1516,Weeks!$A:$A,0)),Tasks!$I:$I,"&lt;&gt;")/COUNTIFS(Tasks!$A:$A,$A1516,Tasks!$B:$B,$B1516,Tasks!$C:$C,$G1516)*100,0),"")</f>
        <v/>
      </c>
    </row>
    <row r="1517" spans="1:8" ht="15" hidden="1" customHeight="1">
      <c r="A1517" t="s">
        <v>97</v>
      </c>
      <c r="B1517" t="s">
        <v>100</v>
      </c>
      <c r="C1517">
        <v>8</v>
      </c>
      <c r="D1517">
        <v>2</v>
      </c>
      <c r="E1517">
        <v>3</v>
      </c>
      <c r="F1517">
        <v>5</v>
      </c>
      <c r="G1517" t="s">
        <v>119</v>
      </c>
      <c r="H1517" t="str">
        <f>IFERROR(ROUND(COUNTIFS(Tasks!$A:$A,$A1517,Tasks!$B:$B,$B1517,Tasks!$C:$C,$G1517,Tasks!$I:$I,"&lt;="&amp;INDEX(Weeks!$D:$D,MATCH($C1517,Weeks!$A:$A,0)),Tasks!$I:$I,"&lt;&gt;")/COUNTIFS(Tasks!$A:$A,$A1517,Tasks!$B:$B,$B1517,Tasks!$C:$C,$G1517)*100,0),"")</f>
        <v/>
      </c>
    </row>
    <row r="1518" spans="1:8" ht="15" hidden="1" customHeight="1">
      <c r="A1518" t="s">
        <v>97</v>
      </c>
      <c r="B1518" t="s">
        <v>100</v>
      </c>
      <c r="C1518">
        <v>9</v>
      </c>
      <c r="D1518">
        <v>2</v>
      </c>
      <c r="E1518">
        <v>4</v>
      </c>
      <c r="F1518">
        <v>5</v>
      </c>
      <c r="G1518" t="s">
        <v>119</v>
      </c>
      <c r="H1518" t="str">
        <f>IFERROR(ROUND(COUNTIFS(Tasks!$A:$A,$A1518,Tasks!$B:$B,$B1518,Tasks!$C:$C,$G1518,Tasks!$I:$I,"&lt;="&amp;INDEX(Weeks!$D:$D,MATCH($C1518,Weeks!$A:$A,0)),Tasks!$I:$I,"&lt;&gt;")/COUNTIFS(Tasks!$A:$A,$A1518,Tasks!$B:$B,$B1518,Tasks!$C:$C,$G1518)*100,0),"")</f>
        <v/>
      </c>
    </row>
    <row r="1519" spans="1:8" ht="15" hidden="1" customHeight="1">
      <c r="A1519" t="s">
        <v>97</v>
      </c>
      <c r="B1519" t="s">
        <v>100</v>
      </c>
      <c r="C1519">
        <v>10</v>
      </c>
      <c r="D1519">
        <v>3</v>
      </c>
      <c r="E1519">
        <v>1</v>
      </c>
      <c r="F1519">
        <v>5</v>
      </c>
      <c r="G1519" t="s">
        <v>119</v>
      </c>
      <c r="H1519" t="str">
        <f>IFERROR(ROUND(COUNTIFS(Tasks!$A:$A,$A1519,Tasks!$B:$B,$B1519,Tasks!$C:$C,$G1519,Tasks!$I:$I,"&lt;="&amp;INDEX(Weeks!$D:$D,MATCH($C1519,Weeks!$A:$A,0)),Tasks!$I:$I,"&lt;&gt;")/COUNTIFS(Tasks!$A:$A,$A1519,Tasks!$B:$B,$B1519,Tasks!$C:$C,$G1519)*100,0),"")</f>
        <v/>
      </c>
    </row>
    <row r="1520" spans="1:8" ht="15" hidden="1" customHeight="1">
      <c r="A1520" t="s">
        <v>97</v>
      </c>
      <c r="B1520" t="s">
        <v>100</v>
      </c>
      <c r="C1520">
        <v>11</v>
      </c>
      <c r="D1520">
        <v>3</v>
      </c>
      <c r="E1520">
        <v>2</v>
      </c>
      <c r="F1520">
        <v>5</v>
      </c>
      <c r="G1520" t="s">
        <v>119</v>
      </c>
      <c r="H1520" t="str">
        <f>IFERROR(ROUND(COUNTIFS(Tasks!$A:$A,$A1520,Tasks!$B:$B,$B1520,Tasks!$C:$C,$G1520,Tasks!$I:$I,"&lt;="&amp;INDEX(Weeks!$D:$D,MATCH($C1520,Weeks!$A:$A,0)),Tasks!$I:$I,"&lt;&gt;")/COUNTIFS(Tasks!$A:$A,$A1520,Tasks!$B:$B,$B1520,Tasks!$C:$C,$G1520)*100,0),"")</f>
        <v/>
      </c>
    </row>
    <row r="1521" spans="1:8" ht="15" hidden="1" customHeight="1">
      <c r="A1521" t="s">
        <v>97</v>
      </c>
      <c r="B1521" t="s">
        <v>100</v>
      </c>
      <c r="C1521">
        <v>12</v>
      </c>
      <c r="D1521">
        <v>3</v>
      </c>
      <c r="E1521">
        <v>3</v>
      </c>
      <c r="F1521">
        <v>5</v>
      </c>
      <c r="G1521" t="s">
        <v>119</v>
      </c>
      <c r="H1521" t="str">
        <f>IFERROR(ROUND(COUNTIFS(Tasks!$A:$A,$A1521,Tasks!$B:$B,$B1521,Tasks!$C:$C,$G1521,Tasks!$I:$I,"&lt;="&amp;INDEX(Weeks!$D:$D,MATCH($C1521,Weeks!$A:$A,0)),Tasks!$I:$I,"&lt;&gt;")/COUNTIFS(Tasks!$A:$A,$A1521,Tasks!$B:$B,$B1521,Tasks!$C:$C,$G1521)*100,0),"")</f>
        <v/>
      </c>
    </row>
    <row r="1522" spans="1:8" ht="15" hidden="1" customHeight="1">
      <c r="A1522" t="s">
        <v>97</v>
      </c>
      <c r="B1522" t="s">
        <v>100</v>
      </c>
      <c r="C1522">
        <v>13</v>
      </c>
      <c r="D1522">
        <v>3</v>
      </c>
      <c r="E1522">
        <v>4</v>
      </c>
      <c r="F1522">
        <v>5</v>
      </c>
      <c r="G1522" t="s">
        <v>119</v>
      </c>
      <c r="H1522" t="str">
        <f>IFERROR(ROUND(COUNTIFS(Tasks!$A:$A,$A1522,Tasks!$B:$B,$B1522,Tasks!$C:$C,$G1522,Tasks!$I:$I,"&lt;="&amp;INDEX(Weeks!$D:$D,MATCH($C1522,Weeks!$A:$A,0)),Tasks!$I:$I,"&lt;&gt;")/COUNTIFS(Tasks!$A:$A,$A1522,Tasks!$B:$B,$B1522,Tasks!$C:$C,$G1522)*100,0),"")</f>
        <v/>
      </c>
    </row>
    <row r="1523" spans="1:8" ht="15" hidden="1" customHeight="1">
      <c r="A1523" t="s">
        <v>97</v>
      </c>
      <c r="B1523" t="s">
        <v>100</v>
      </c>
      <c r="C1523">
        <v>14</v>
      </c>
      <c r="D1523">
        <v>4</v>
      </c>
      <c r="E1523">
        <v>1</v>
      </c>
      <c r="F1523">
        <v>5</v>
      </c>
      <c r="G1523" t="s">
        <v>119</v>
      </c>
      <c r="H1523" t="str">
        <f>IFERROR(ROUND(COUNTIFS(Tasks!$A:$A,$A1523,Tasks!$B:$B,$B1523,Tasks!$C:$C,$G1523,Tasks!$I:$I,"&lt;="&amp;INDEX(Weeks!$D:$D,MATCH($C1523,Weeks!$A:$A,0)),Tasks!$I:$I,"&lt;&gt;")/COUNTIFS(Tasks!$A:$A,$A1523,Tasks!$B:$B,$B1523,Tasks!$C:$C,$G1523)*100,0),"")</f>
        <v/>
      </c>
    </row>
    <row r="1524" spans="1:8" ht="15" hidden="1" customHeight="1">
      <c r="A1524" t="s">
        <v>97</v>
      </c>
      <c r="B1524" t="s">
        <v>100</v>
      </c>
      <c r="C1524">
        <v>15</v>
      </c>
      <c r="D1524">
        <v>4</v>
      </c>
      <c r="E1524">
        <v>2</v>
      </c>
      <c r="F1524">
        <v>5</v>
      </c>
      <c r="G1524" t="s">
        <v>119</v>
      </c>
      <c r="H1524" t="str">
        <f>IFERROR(ROUND(COUNTIFS(Tasks!$A:$A,$A1524,Tasks!$B:$B,$B1524,Tasks!$C:$C,$G1524,Tasks!$I:$I,"&lt;="&amp;INDEX(Weeks!$D:$D,MATCH($C1524,Weeks!$A:$A,0)),Tasks!$I:$I,"&lt;&gt;")/COUNTIFS(Tasks!$A:$A,$A1524,Tasks!$B:$B,$B1524,Tasks!$C:$C,$G1524)*100,0),"")</f>
        <v/>
      </c>
    </row>
    <row r="1525" spans="1:8" ht="15" hidden="1" customHeight="1">
      <c r="A1525" t="s">
        <v>97</v>
      </c>
      <c r="B1525" t="s">
        <v>100</v>
      </c>
      <c r="C1525">
        <v>16</v>
      </c>
      <c r="D1525">
        <v>4</v>
      </c>
      <c r="E1525">
        <v>3</v>
      </c>
      <c r="F1525">
        <v>5</v>
      </c>
      <c r="G1525" t="s">
        <v>119</v>
      </c>
      <c r="H1525" t="str">
        <f>IFERROR(ROUND(COUNTIFS(Tasks!$A:$A,$A1525,Tasks!$B:$B,$B1525,Tasks!$C:$C,$G1525,Tasks!$I:$I,"&lt;="&amp;INDEX(Weeks!$D:$D,MATCH($C1525,Weeks!$A:$A,0)),Tasks!$I:$I,"&lt;&gt;")/COUNTIFS(Tasks!$A:$A,$A1525,Tasks!$B:$B,$B1525,Tasks!$C:$C,$G1525)*100,0),"")</f>
        <v/>
      </c>
    </row>
    <row r="1526" spans="1:8" ht="15" hidden="1" customHeight="1">
      <c r="A1526" t="s">
        <v>97</v>
      </c>
      <c r="B1526" t="s">
        <v>100</v>
      </c>
      <c r="C1526">
        <v>17</v>
      </c>
      <c r="D1526">
        <v>4</v>
      </c>
      <c r="E1526">
        <v>4</v>
      </c>
      <c r="F1526">
        <v>5</v>
      </c>
      <c r="G1526" t="s">
        <v>119</v>
      </c>
      <c r="H1526" t="str">
        <f>IFERROR(ROUND(COUNTIFS(Tasks!$A:$A,$A1526,Tasks!$B:$B,$B1526,Tasks!$C:$C,$G1526,Tasks!$I:$I,"&lt;="&amp;INDEX(Weeks!$D:$D,MATCH($C1526,Weeks!$A:$A,0)),Tasks!$I:$I,"&lt;&gt;")/COUNTIFS(Tasks!$A:$A,$A1526,Tasks!$B:$B,$B1526,Tasks!$C:$C,$G1526)*100,0),"")</f>
        <v/>
      </c>
    </row>
    <row r="1527" spans="1:8" ht="15" hidden="1" customHeight="1">
      <c r="A1527" t="s">
        <v>97</v>
      </c>
      <c r="B1527" t="s">
        <v>100</v>
      </c>
      <c r="C1527">
        <v>18</v>
      </c>
      <c r="D1527">
        <v>5</v>
      </c>
      <c r="E1527">
        <v>1</v>
      </c>
      <c r="F1527">
        <v>5</v>
      </c>
      <c r="G1527" t="s">
        <v>119</v>
      </c>
      <c r="H1527" t="str">
        <f>IFERROR(ROUND(COUNTIFS(Tasks!$A:$A,$A1527,Tasks!$B:$B,$B1527,Tasks!$C:$C,$G1527,Tasks!$I:$I,"&lt;="&amp;INDEX(Weeks!$D:$D,MATCH($C1527,Weeks!$A:$A,0)),Tasks!$I:$I,"&lt;&gt;")/COUNTIFS(Tasks!$A:$A,$A1527,Tasks!$B:$B,$B1527,Tasks!$C:$C,$G1527)*100,0),"")</f>
        <v/>
      </c>
    </row>
    <row r="1528" spans="1:8" ht="15" hidden="1" customHeight="1">
      <c r="A1528" t="s">
        <v>97</v>
      </c>
      <c r="B1528" t="s">
        <v>100</v>
      </c>
      <c r="C1528">
        <v>19</v>
      </c>
      <c r="D1528">
        <v>5</v>
      </c>
      <c r="E1528">
        <v>2</v>
      </c>
      <c r="F1528">
        <v>5</v>
      </c>
      <c r="G1528" t="s">
        <v>119</v>
      </c>
      <c r="H1528" t="str">
        <f>IFERROR(ROUND(COUNTIFS(Tasks!$A:$A,$A1528,Tasks!$B:$B,$B1528,Tasks!$C:$C,$G1528,Tasks!$I:$I,"&lt;="&amp;INDEX(Weeks!$D:$D,MATCH($C1528,Weeks!$A:$A,0)),Tasks!$I:$I,"&lt;&gt;")/COUNTIFS(Tasks!$A:$A,$A1528,Tasks!$B:$B,$B1528,Tasks!$C:$C,$G1528)*100,0),"")</f>
        <v/>
      </c>
    </row>
    <row r="1529" spans="1:8" ht="15" hidden="1" customHeight="1">
      <c r="A1529" t="s">
        <v>97</v>
      </c>
      <c r="B1529" t="s">
        <v>100</v>
      </c>
      <c r="C1529">
        <v>20</v>
      </c>
      <c r="D1529">
        <v>5</v>
      </c>
      <c r="E1529">
        <v>3</v>
      </c>
      <c r="F1529">
        <v>5</v>
      </c>
      <c r="G1529" t="s">
        <v>119</v>
      </c>
      <c r="H1529" t="str">
        <f>IFERROR(ROUND(COUNTIFS(Tasks!$A:$A,$A1529,Tasks!$B:$B,$B1529,Tasks!$C:$C,$G1529,Tasks!$I:$I,"&lt;="&amp;INDEX(Weeks!$D:$D,MATCH($C1529,Weeks!$A:$A,0)),Tasks!$I:$I,"&lt;&gt;")/COUNTIFS(Tasks!$A:$A,$A1529,Tasks!$B:$B,$B1529,Tasks!$C:$C,$G1529)*100,0),"")</f>
        <v/>
      </c>
    </row>
    <row r="1530" spans="1:8" ht="15" hidden="1" customHeight="1">
      <c r="A1530" t="s">
        <v>97</v>
      </c>
      <c r="B1530" t="s">
        <v>100</v>
      </c>
      <c r="C1530">
        <v>21</v>
      </c>
      <c r="D1530">
        <v>5</v>
      </c>
      <c r="E1530">
        <v>4</v>
      </c>
      <c r="F1530">
        <v>5</v>
      </c>
      <c r="G1530" t="s">
        <v>119</v>
      </c>
      <c r="H1530" t="str">
        <f>IFERROR(ROUND(COUNTIFS(Tasks!$A:$A,$A1530,Tasks!$B:$B,$B1530,Tasks!$C:$C,$G1530,Tasks!$I:$I,"&lt;="&amp;INDEX(Weeks!$D:$D,MATCH($C1530,Weeks!$A:$A,0)),Tasks!$I:$I,"&lt;&gt;")/COUNTIFS(Tasks!$A:$A,$A1530,Tasks!$B:$B,$B1530,Tasks!$C:$C,$G1530)*100,0),"")</f>
        <v/>
      </c>
    </row>
    <row r="1531" spans="1:8" ht="15" hidden="1" customHeight="1">
      <c r="A1531" t="s">
        <v>97</v>
      </c>
      <c r="B1531" t="s">
        <v>100</v>
      </c>
      <c r="C1531">
        <v>22</v>
      </c>
      <c r="D1531">
        <v>5</v>
      </c>
      <c r="E1531">
        <v>5</v>
      </c>
      <c r="F1531">
        <v>5</v>
      </c>
      <c r="G1531" t="s">
        <v>119</v>
      </c>
      <c r="H1531" t="str">
        <f>IFERROR(ROUND(COUNTIFS(Tasks!$A:$A,$A1531,Tasks!$B:$B,$B1531,Tasks!$C:$C,$G1531,Tasks!$I:$I,"&lt;="&amp;INDEX(Weeks!$D:$D,MATCH($C1531,Weeks!$A:$A,0)),Tasks!$I:$I,"&lt;&gt;")/COUNTIFS(Tasks!$A:$A,$A1531,Tasks!$B:$B,$B1531,Tasks!$C:$C,$G1531)*100,0),"")</f>
        <v/>
      </c>
    </row>
    <row r="1532" spans="1:8" ht="15" hidden="1" customHeight="1">
      <c r="A1532" t="s">
        <v>97</v>
      </c>
      <c r="B1532" t="s">
        <v>100</v>
      </c>
      <c r="C1532">
        <v>23</v>
      </c>
      <c r="D1532">
        <v>6</v>
      </c>
      <c r="E1532">
        <v>1</v>
      </c>
      <c r="F1532">
        <v>5</v>
      </c>
      <c r="G1532" t="s">
        <v>119</v>
      </c>
      <c r="H1532" t="str">
        <f>IFERROR(ROUND(COUNTIFS(Tasks!$A:$A,$A1532,Tasks!$B:$B,$B1532,Tasks!$C:$C,$G1532,Tasks!$I:$I,"&lt;="&amp;INDEX(Weeks!$D:$D,MATCH($C1532,Weeks!$A:$A,0)),Tasks!$I:$I,"&lt;&gt;")/COUNTIFS(Tasks!$A:$A,$A1532,Tasks!$B:$B,$B1532,Tasks!$C:$C,$G1532)*100,0),"")</f>
        <v/>
      </c>
    </row>
    <row r="1533" spans="1:8" ht="15" hidden="1" customHeight="1">
      <c r="A1533" t="s">
        <v>97</v>
      </c>
      <c r="B1533" t="s">
        <v>100</v>
      </c>
      <c r="C1533">
        <v>24</v>
      </c>
      <c r="D1533">
        <v>6</v>
      </c>
      <c r="E1533">
        <v>2</v>
      </c>
      <c r="F1533">
        <v>5</v>
      </c>
      <c r="G1533" t="s">
        <v>119</v>
      </c>
      <c r="H1533" t="str">
        <f>IFERROR(ROUND(COUNTIFS(Tasks!$A:$A,$A1533,Tasks!$B:$B,$B1533,Tasks!$C:$C,$G1533,Tasks!$I:$I,"&lt;="&amp;INDEX(Weeks!$D:$D,MATCH($C1533,Weeks!$A:$A,0)),Tasks!$I:$I,"&lt;&gt;")/COUNTIFS(Tasks!$A:$A,$A1533,Tasks!$B:$B,$B1533,Tasks!$C:$C,$G1533)*100,0),"")</f>
        <v/>
      </c>
    </row>
    <row r="1534" spans="1:8" ht="15" hidden="1" customHeight="1">
      <c r="A1534" t="s">
        <v>97</v>
      </c>
      <c r="B1534" t="s">
        <v>100</v>
      </c>
      <c r="C1534">
        <v>25</v>
      </c>
      <c r="D1534">
        <v>6</v>
      </c>
      <c r="E1534">
        <v>3</v>
      </c>
      <c r="F1534">
        <v>5</v>
      </c>
      <c r="G1534" t="s">
        <v>119</v>
      </c>
      <c r="H1534" t="str">
        <f>IFERROR(ROUND(COUNTIFS(Tasks!$A:$A,$A1534,Tasks!$B:$B,$B1534,Tasks!$C:$C,$G1534,Tasks!$I:$I,"&lt;="&amp;INDEX(Weeks!$D:$D,MATCH($C1534,Weeks!$A:$A,0)),Tasks!$I:$I,"&lt;&gt;")/COUNTIFS(Tasks!$A:$A,$A1534,Tasks!$B:$B,$B1534,Tasks!$C:$C,$G1534)*100,0),"")</f>
        <v/>
      </c>
    </row>
    <row r="1535" spans="1:8" ht="15" hidden="1" customHeight="1">
      <c r="A1535" t="s">
        <v>97</v>
      </c>
      <c r="B1535" t="s">
        <v>100</v>
      </c>
      <c r="C1535">
        <v>26</v>
      </c>
      <c r="D1535">
        <v>6</v>
      </c>
      <c r="E1535">
        <v>4</v>
      </c>
      <c r="F1535">
        <v>5</v>
      </c>
      <c r="G1535" t="s">
        <v>119</v>
      </c>
      <c r="H1535" t="str">
        <f>IFERROR(ROUND(COUNTIFS(Tasks!$A:$A,$A1535,Tasks!$B:$B,$B1535,Tasks!$C:$C,$G1535,Tasks!$I:$I,"&lt;="&amp;INDEX(Weeks!$D:$D,MATCH($C1535,Weeks!$A:$A,0)),Tasks!$I:$I,"&lt;&gt;")/COUNTIFS(Tasks!$A:$A,$A1535,Tasks!$B:$B,$B1535,Tasks!$C:$C,$G1535)*100,0),"")</f>
        <v/>
      </c>
    </row>
    <row r="1536" spans="1:8" ht="15" hidden="1" customHeight="1">
      <c r="A1536" t="s">
        <v>97</v>
      </c>
      <c r="B1536" t="s">
        <v>100</v>
      </c>
      <c r="C1536">
        <v>27</v>
      </c>
      <c r="D1536">
        <v>7</v>
      </c>
      <c r="E1536">
        <v>1</v>
      </c>
      <c r="F1536">
        <v>5</v>
      </c>
      <c r="G1536" t="s">
        <v>119</v>
      </c>
      <c r="H1536" t="str">
        <f>IFERROR(ROUND(COUNTIFS(Tasks!$A:$A,$A1536,Tasks!$B:$B,$B1536,Tasks!$C:$C,$G1536,Tasks!$I:$I,"&lt;="&amp;INDEX(Weeks!$D:$D,MATCH($C1536,Weeks!$A:$A,0)),Tasks!$I:$I,"&lt;&gt;")/COUNTIFS(Tasks!$A:$A,$A1536,Tasks!$B:$B,$B1536,Tasks!$C:$C,$G1536)*100,0),"")</f>
        <v/>
      </c>
    </row>
    <row r="1537" spans="1:8" ht="15" hidden="1" customHeight="1">
      <c r="A1537" t="s">
        <v>97</v>
      </c>
      <c r="B1537" t="s">
        <v>100</v>
      </c>
      <c r="C1537">
        <v>28</v>
      </c>
      <c r="D1537">
        <v>7</v>
      </c>
      <c r="E1537">
        <v>2</v>
      </c>
      <c r="F1537">
        <v>5</v>
      </c>
      <c r="G1537" t="s">
        <v>119</v>
      </c>
      <c r="H1537" t="str">
        <f>IFERROR(ROUND(COUNTIFS(Tasks!$A:$A,$A1537,Tasks!$B:$B,$B1537,Tasks!$C:$C,$G1537,Tasks!$I:$I,"&lt;="&amp;INDEX(Weeks!$D:$D,MATCH($C1537,Weeks!$A:$A,0)),Tasks!$I:$I,"&lt;&gt;")/COUNTIFS(Tasks!$A:$A,$A1537,Tasks!$B:$B,$B1537,Tasks!$C:$C,$G1537)*100,0),"")</f>
        <v/>
      </c>
    </row>
    <row r="1538" spans="1:8" ht="15" hidden="1" customHeight="1">
      <c r="A1538" t="s">
        <v>97</v>
      </c>
      <c r="B1538" t="s">
        <v>100</v>
      </c>
      <c r="C1538">
        <v>29</v>
      </c>
      <c r="D1538">
        <v>7</v>
      </c>
      <c r="E1538">
        <v>3</v>
      </c>
      <c r="F1538">
        <v>5</v>
      </c>
      <c r="G1538" t="s">
        <v>119</v>
      </c>
      <c r="H1538" t="str">
        <f>IFERROR(ROUND(COUNTIFS(Tasks!$A:$A,$A1538,Tasks!$B:$B,$B1538,Tasks!$C:$C,$G1538,Tasks!$I:$I,"&lt;="&amp;INDEX(Weeks!$D:$D,MATCH($C1538,Weeks!$A:$A,0)),Tasks!$I:$I,"&lt;&gt;")/COUNTIFS(Tasks!$A:$A,$A1538,Tasks!$B:$B,$B1538,Tasks!$C:$C,$G1538)*100,0),"")</f>
        <v/>
      </c>
    </row>
    <row r="1539" spans="1:8" ht="15" hidden="1" customHeight="1">
      <c r="A1539" t="s">
        <v>97</v>
      </c>
      <c r="B1539" t="s">
        <v>100</v>
      </c>
      <c r="C1539">
        <v>30</v>
      </c>
      <c r="D1539">
        <v>7</v>
      </c>
      <c r="E1539">
        <v>4</v>
      </c>
      <c r="F1539">
        <v>5</v>
      </c>
      <c r="G1539" t="s">
        <v>119</v>
      </c>
      <c r="H1539" t="str">
        <f>IFERROR(ROUND(COUNTIFS(Tasks!$A:$A,$A1539,Tasks!$B:$B,$B1539,Tasks!$C:$C,$G1539,Tasks!$I:$I,"&lt;="&amp;INDEX(Weeks!$D:$D,MATCH($C1539,Weeks!$A:$A,0)),Tasks!$I:$I,"&lt;&gt;")/COUNTIFS(Tasks!$A:$A,$A1539,Tasks!$B:$B,$B1539,Tasks!$C:$C,$G1539)*100,0),"")</f>
        <v/>
      </c>
    </row>
    <row r="1540" spans="1:8" ht="15" hidden="1" customHeight="1">
      <c r="A1540" t="s">
        <v>97</v>
      </c>
      <c r="B1540" t="s">
        <v>100</v>
      </c>
      <c r="C1540">
        <v>31</v>
      </c>
      <c r="D1540">
        <v>8</v>
      </c>
      <c r="E1540">
        <v>1</v>
      </c>
      <c r="F1540">
        <v>5</v>
      </c>
      <c r="G1540" t="s">
        <v>119</v>
      </c>
      <c r="H1540" t="str">
        <f>IFERROR(ROUND(COUNTIFS(Tasks!$A:$A,$A1540,Tasks!$B:$B,$B1540,Tasks!$C:$C,$G1540,Tasks!$I:$I,"&lt;="&amp;INDEX(Weeks!$D:$D,MATCH($C1540,Weeks!$A:$A,0)),Tasks!$I:$I,"&lt;&gt;")/COUNTIFS(Tasks!$A:$A,$A1540,Tasks!$B:$B,$B1540,Tasks!$C:$C,$G1540)*100,0),"")</f>
        <v/>
      </c>
    </row>
    <row r="1541" spans="1:8" ht="15" hidden="1" customHeight="1">
      <c r="A1541" t="s">
        <v>97</v>
      </c>
      <c r="B1541" t="s">
        <v>100</v>
      </c>
      <c r="C1541">
        <v>32</v>
      </c>
      <c r="D1541">
        <v>8</v>
      </c>
      <c r="E1541">
        <v>2</v>
      </c>
      <c r="F1541">
        <v>5</v>
      </c>
      <c r="G1541" t="s">
        <v>119</v>
      </c>
      <c r="H1541" t="str">
        <f>IFERROR(ROUND(COUNTIFS(Tasks!$A:$A,$A1541,Tasks!$B:$B,$B1541,Tasks!$C:$C,$G1541,Tasks!$I:$I,"&lt;="&amp;INDEX(Weeks!$D:$D,MATCH($C1541,Weeks!$A:$A,0)),Tasks!$I:$I,"&lt;&gt;")/COUNTIFS(Tasks!$A:$A,$A1541,Tasks!$B:$B,$B1541,Tasks!$C:$C,$G1541)*100,0),"")</f>
        <v/>
      </c>
    </row>
    <row r="1542" spans="1:8" ht="15" hidden="1" customHeight="1">
      <c r="A1542" t="s">
        <v>97</v>
      </c>
      <c r="B1542" t="s">
        <v>100</v>
      </c>
      <c r="C1542">
        <v>33</v>
      </c>
      <c r="D1542">
        <v>8</v>
      </c>
      <c r="E1542">
        <v>3</v>
      </c>
      <c r="F1542">
        <v>5</v>
      </c>
      <c r="G1542" t="s">
        <v>119</v>
      </c>
      <c r="H1542" t="str">
        <f>IFERROR(ROUND(COUNTIFS(Tasks!$A:$A,$A1542,Tasks!$B:$B,$B1542,Tasks!$C:$C,$G1542,Tasks!$I:$I,"&lt;="&amp;INDEX(Weeks!$D:$D,MATCH($C1542,Weeks!$A:$A,0)),Tasks!$I:$I,"&lt;&gt;")/COUNTIFS(Tasks!$A:$A,$A1542,Tasks!$B:$B,$B1542,Tasks!$C:$C,$G1542)*100,0),"")</f>
        <v/>
      </c>
    </row>
    <row r="1543" spans="1:8" ht="15" hidden="1" customHeight="1">
      <c r="A1543" t="s">
        <v>97</v>
      </c>
      <c r="B1543" t="s">
        <v>100</v>
      </c>
      <c r="C1543">
        <v>34</v>
      </c>
      <c r="D1543">
        <v>8</v>
      </c>
      <c r="E1543">
        <v>4</v>
      </c>
      <c r="F1543">
        <v>5</v>
      </c>
      <c r="G1543" t="s">
        <v>119</v>
      </c>
      <c r="H1543" t="str">
        <f>IFERROR(ROUND(COUNTIFS(Tasks!$A:$A,$A1543,Tasks!$B:$B,$B1543,Tasks!$C:$C,$G1543,Tasks!$I:$I,"&lt;="&amp;INDEX(Weeks!$D:$D,MATCH($C1543,Weeks!$A:$A,0)),Tasks!$I:$I,"&lt;&gt;")/COUNTIFS(Tasks!$A:$A,$A1543,Tasks!$B:$B,$B1543,Tasks!$C:$C,$G1543)*100,0),"")</f>
        <v/>
      </c>
    </row>
    <row r="1544" spans="1:8" ht="15" hidden="1" customHeight="1">
      <c r="A1544" t="s">
        <v>97</v>
      </c>
      <c r="B1544" t="s">
        <v>100</v>
      </c>
      <c r="C1544">
        <v>35</v>
      </c>
      <c r="D1544">
        <v>8</v>
      </c>
      <c r="E1544">
        <v>5</v>
      </c>
      <c r="F1544">
        <v>5</v>
      </c>
      <c r="G1544" t="s">
        <v>119</v>
      </c>
      <c r="H1544" t="str">
        <f>IFERROR(ROUND(COUNTIFS(Tasks!$A:$A,$A1544,Tasks!$B:$B,$B1544,Tasks!$C:$C,$G1544,Tasks!$I:$I,"&lt;="&amp;INDEX(Weeks!$D:$D,MATCH($C1544,Weeks!$A:$A,0)),Tasks!$I:$I,"&lt;&gt;")/COUNTIFS(Tasks!$A:$A,$A1544,Tasks!$B:$B,$B1544,Tasks!$C:$C,$G1544)*100,0),"")</f>
        <v/>
      </c>
    </row>
    <row r="1545" spans="1:8" ht="15" hidden="1" customHeight="1">
      <c r="A1545" t="s">
        <v>97</v>
      </c>
      <c r="B1545" t="s">
        <v>100</v>
      </c>
      <c r="C1545">
        <v>36</v>
      </c>
      <c r="D1545">
        <v>9</v>
      </c>
      <c r="E1545">
        <v>1</v>
      </c>
      <c r="F1545">
        <v>5</v>
      </c>
      <c r="G1545" t="s">
        <v>119</v>
      </c>
      <c r="H1545" t="str">
        <f>IFERROR(ROUND(COUNTIFS(Tasks!$A:$A,$A1545,Tasks!$B:$B,$B1545,Tasks!$C:$C,$G1545,Tasks!$I:$I,"&lt;="&amp;INDEX(Weeks!$D:$D,MATCH($C1545,Weeks!$A:$A,0)),Tasks!$I:$I,"&lt;&gt;")/COUNTIFS(Tasks!$A:$A,$A1545,Tasks!$B:$B,$B1545,Tasks!$C:$C,$G1545)*100,0),"")</f>
        <v/>
      </c>
    </row>
    <row r="1546" spans="1:8" ht="15" hidden="1" customHeight="1">
      <c r="A1546" t="s">
        <v>97</v>
      </c>
      <c r="B1546" t="s">
        <v>100</v>
      </c>
      <c r="C1546">
        <v>37</v>
      </c>
      <c r="D1546">
        <v>9</v>
      </c>
      <c r="E1546">
        <v>2</v>
      </c>
      <c r="F1546">
        <v>5</v>
      </c>
      <c r="G1546" t="s">
        <v>119</v>
      </c>
      <c r="H1546" t="str">
        <f>IFERROR(ROUND(COUNTIFS(Tasks!$A:$A,$A1546,Tasks!$B:$B,$B1546,Tasks!$C:$C,$G1546,Tasks!$I:$I,"&lt;="&amp;INDEX(Weeks!$D:$D,MATCH($C1546,Weeks!$A:$A,0)),Tasks!$I:$I,"&lt;&gt;")/COUNTIFS(Tasks!$A:$A,$A1546,Tasks!$B:$B,$B1546,Tasks!$C:$C,$G1546)*100,0),"")</f>
        <v/>
      </c>
    </row>
    <row r="1547" spans="1:8" ht="15" hidden="1" customHeight="1">
      <c r="A1547" t="s">
        <v>97</v>
      </c>
      <c r="B1547" t="s">
        <v>100</v>
      </c>
      <c r="C1547">
        <v>38</v>
      </c>
      <c r="D1547">
        <v>9</v>
      </c>
      <c r="E1547">
        <v>3</v>
      </c>
      <c r="F1547">
        <v>5</v>
      </c>
      <c r="G1547" t="s">
        <v>119</v>
      </c>
      <c r="H1547" t="str">
        <f>IFERROR(ROUND(COUNTIFS(Tasks!$A:$A,$A1547,Tasks!$B:$B,$B1547,Tasks!$C:$C,$G1547,Tasks!$I:$I,"&lt;="&amp;INDEX(Weeks!$D:$D,MATCH($C1547,Weeks!$A:$A,0)),Tasks!$I:$I,"&lt;&gt;")/COUNTIFS(Tasks!$A:$A,$A1547,Tasks!$B:$B,$B1547,Tasks!$C:$C,$G1547)*100,0),"")</f>
        <v/>
      </c>
    </row>
    <row r="1548" spans="1:8" ht="15" hidden="1" customHeight="1">
      <c r="A1548" t="s">
        <v>97</v>
      </c>
      <c r="B1548" t="s">
        <v>100</v>
      </c>
      <c r="C1548">
        <v>39</v>
      </c>
      <c r="D1548">
        <v>9</v>
      </c>
      <c r="E1548">
        <v>4</v>
      </c>
      <c r="F1548">
        <v>5</v>
      </c>
      <c r="G1548" t="s">
        <v>119</v>
      </c>
      <c r="H1548" t="str">
        <f>IFERROR(ROUND(COUNTIFS(Tasks!$A:$A,$A1548,Tasks!$B:$B,$B1548,Tasks!$C:$C,$G1548,Tasks!$I:$I,"&lt;="&amp;INDEX(Weeks!$D:$D,MATCH($C1548,Weeks!$A:$A,0)),Tasks!$I:$I,"&lt;&gt;")/COUNTIFS(Tasks!$A:$A,$A1548,Tasks!$B:$B,$B1548,Tasks!$C:$C,$G1548)*100,0),"")</f>
        <v/>
      </c>
    </row>
    <row r="1549" spans="1:8" ht="15" hidden="1" customHeight="1">
      <c r="A1549" t="s">
        <v>97</v>
      </c>
      <c r="B1549" t="s">
        <v>100</v>
      </c>
      <c r="C1549">
        <v>40</v>
      </c>
      <c r="D1549">
        <v>10</v>
      </c>
      <c r="E1549">
        <v>1</v>
      </c>
      <c r="F1549">
        <v>5</v>
      </c>
      <c r="G1549" t="s">
        <v>119</v>
      </c>
      <c r="H1549" t="str">
        <f>IFERROR(ROUND(COUNTIFS(Tasks!$A:$A,$A1549,Tasks!$B:$B,$B1549,Tasks!$C:$C,$G1549,Tasks!$I:$I,"&lt;="&amp;INDEX(Weeks!$D:$D,MATCH($C1549,Weeks!$A:$A,0)),Tasks!$I:$I,"&lt;&gt;")/COUNTIFS(Tasks!$A:$A,$A1549,Tasks!$B:$B,$B1549,Tasks!$C:$C,$G1549)*100,0),"")</f>
        <v/>
      </c>
    </row>
    <row r="1550" spans="1:8" ht="15" hidden="1" customHeight="1">
      <c r="A1550" t="s">
        <v>97</v>
      </c>
      <c r="B1550" t="s">
        <v>100</v>
      </c>
      <c r="C1550">
        <v>41</v>
      </c>
      <c r="D1550">
        <v>10</v>
      </c>
      <c r="E1550">
        <v>2</v>
      </c>
      <c r="F1550">
        <v>5</v>
      </c>
      <c r="G1550" t="s">
        <v>119</v>
      </c>
      <c r="H1550" t="str">
        <f>IFERROR(ROUND(COUNTIFS(Tasks!$A:$A,$A1550,Tasks!$B:$B,$B1550,Tasks!$C:$C,$G1550,Tasks!$I:$I,"&lt;="&amp;INDEX(Weeks!$D:$D,MATCH($C1550,Weeks!$A:$A,0)),Tasks!$I:$I,"&lt;&gt;")/COUNTIFS(Tasks!$A:$A,$A1550,Tasks!$B:$B,$B1550,Tasks!$C:$C,$G1550)*100,0),"")</f>
        <v/>
      </c>
    </row>
    <row r="1551" spans="1:8" ht="15" hidden="1" customHeight="1">
      <c r="A1551" t="s">
        <v>97</v>
      </c>
      <c r="B1551" t="s">
        <v>100</v>
      </c>
      <c r="C1551">
        <v>42</v>
      </c>
      <c r="D1551">
        <v>10</v>
      </c>
      <c r="E1551">
        <v>3</v>
      </c>
      <c r="F1551">
        <v>5</v>
      </c>
      <c r="G1551" t="s">
        <v>119</v>
      </c>
      <c r="H1551" t="str">
        <f>IFERROR(ROUND(COUNTIFS(Tasks!$A:$A,$A1551,Tasks!$B:$B,$B1551,Tasks!$C:$C,$G1551,Tasks!$I:$I,"&lt;="&amp;INDEX(Weeks!$D:$D,MATCH($C1551,Weeks!$A:$A,0)),Tasks!$I:$I,"&lt;&gt;")/COUNTIFS(Tasks!$A:$A,$A1551,Tasks!$B:$B,$B1551,Tasks!$C:$C,$G1551)*100,0),"")</f>
        <v/>
      </c>
    </row>
    <row r="1552" spans="1:8" ht="15" hidden="1" customHeight="1">
      <c r="A1552" t="s">
        <v>97</v>
      </c>
      <c r="B1552" t="s">
        <v>100</v>
      </c>
      <c r="C1552">
        <v>43</v>
      </c>
      <c r="D1552">
        <v>10</v>
      </c>
      <c r="E1552">
        <v>4</v>
      </c>
      <c r="F1552">
        <v>5</v>
      </c>
      <c r="G1552" t="s">
        <v>119</v>
      </c>
      <c r="H1552" t="str">
        <f>IFERROR(ROUND(COUNTIFS(Tasks!$A:$A,$A1552,Tasks!$B:$B,$B1552,Tasks!$C:$C,$G1552,Tasks!$I:$I,"&lt;="&amp;INDEX(Weeks!$D:$D,MATCH($C1552,Weeks!$A:$A,0)),Tasks!$I:$I,"&lt;&gt;")/COUNTIFS(Tasks!$A:$A,$A1552,Tasks!$B:$B,$B1552,Tasks!$C:$C,$G1552)*100,0),"")</f>
        <v/>
      </c>
    </row>
    <row r="1553" spans="1:8" ht="15" hidden="1" customHeight="1">
      <c r="A1553" t="s">
        <v>97</v>
      </c>
      <c r="B1553" t="s">
        <v>100</v>
      </c>
      <c r="C1553">
        <v>44</v>
      </c>
      <c r="D1553">
        <v>10</v>
      </c>
      <c r="E1553">
        <v>5</v>
      </c>
      <c r="F1553">
        <v>5</v>
      </c>
      <c r="G1553" t="s">
        <v>119</v>
      </c>
      <c r="H1553" t="str">
        <f>IFERROR(ROUND(COUNTIFS(Tasks!$A:$A,$A1553,Tasks!$B:$B,$B1553,Tasks!$C:$C,$G1553,Tasks!$I:$I,"&lt;="&amp;INDEX(Weeks!$D:$D,MATCH($C1553,Weeks!$A:$A,0)),Tasks!$I:$I,"&lt;&gt;")/COUNTIFS(Tasks!$A:$A,$A1553,Tasks!$B:$B,$B1553,Tasks!$C:$C,$G1553)*100,0),"")</f>
        <v/>
      </c>
    </row>
    <row r="1554" spans="1:8" ht="15" hidden="1" customHeight="1">
      <c r="A1554" t="s">
        <v>97</v>
      </c>
      <c r="B1554" t="s">
        <v>100</v>
      </c>
      <c r="C1554">
        <v>45</v>
      </c>
      <c r="D1554">
        <v>11</v>
      </c>
      <c r="E1554">
        <v>1</v>
      </c>
      <c r="F1554">
        <v>5</v>
      </c>
      <c r="G1554" t="s">
        <v>119</v>
      </c>
      <c r="H1554" t="str">
        <f>IFERROR(ROUND(COUNTIFS(Tasks!$A:$A,$A1554,Tasks!$B:$B,$B1554,Tasks!$C:$C,$G1554,Tasks!$I:$I,"&lt;="&amp;INDEX(Weeks!$D:$D,MATCH($C1554,Weeks!$A:$A,0)),Tasks!$I:$I,"&lt;&gt;")/COUNTIFS(Tasks!$A:$A,$A1554,Tasks!$B:$B,$B1554,Tasks!$C:$C,$G1554)*100,0),"")</f>
        <v/>
      </c>
    </row>
    <row r="1555" spans="1:8" ht="15" hidden="1" customHeight="1">
      <c r="A1555" t="s">
        <v>97</v>
      </c>
      <c r="B1555" t="s">
        <v>100</v>
      </c>
      <c r="C1555">
        <v>46</v>
      </c>
      <c r="D1555">
        <v>11</v>
      </c>
      <c r="E1555">
        <v>2</v>
      </c>
      <c r="F1555">
        <v>5</v>
      </c>
      <c r="G1555" t="s">
        <v>119</v>
      </c>
      <c r="H1555" t="str">
        <f>IFERROR(ROUND(COUNTIFS(Tasks!$A:$A,$A1555,Tasks!$B:$B,$B1555,Tasks!$C:$C,$G1555,Tasks!$I:$I,"&lt;="&amp;INDEX(Weeks!$D:$D,MATCH($C1555,Weeks!$A:$A,0)),Tasks!$I:$I,"&lt;&gt;")/COUNTIFS(Tasks!$A:$A,$A1555,Tasks!$B:$B,$B1555,Tasks!$C:$C,$G1555)*100,0),"")</f>
        <v/>
      </c>
    </row>
    <row r="1556" spans="1:8" ht="15" hidden="1" customHeight="1">
      <c r="A1556" t="s">
        <v>97</v>
      </c>
      <c r="B1556" t="s">
        <v>100</v>
      </c>
      <c r="C1556">
        <v>47</v>
      </c>
      <c r="D1556">
        <v>11</v>
      </c>
      <c r="E1556">
        <v>3</v>
      </c>
      <c r="F1556">
        <v>5</v>
      </c>
      <c r="G1556" t="s">
        <v>119</v>
      </c>
      <c r="H1556" t="str">
        <f>IFERROR(ROUND(COUNTIFS(Tasks!$A:$A,$A1556,Tasks!$B:$B,$B1556,Tasks!$C:$C,$G1556,Tasks!$I:$I,"&lt;="&amp;INDEX(Weeks!$D:$D,MATCH($C1556,Weeks!$A:$A,0)),Tasks!$I:$I,"&lt;&gt;")/COUNTIFS(Tasks!$A:$A,$A1556,Tasks!$B:$B,$B1556,Tasks!$C:$C,$G1556)*100,0),"")</f>
        <v/>
      </c>
    </row>
    <row r="1557" spans="1:8" ht="15" hidden="1" customHeight="1">
      <c r="A1557" t="s">
        <v>97</v>
      </c>
      <c r="B1557" t="s">
        <v>100</v>
      </c>
      <c r="C1557">
        <v>48</v>
      </c>
      <c r="D1557">
        <v>11</v>
      </c>
      <c r="E1557">
        <v>4</v>
      </c>
      <c r="F1557">
        <v>5</v>
      </c>
      <c r="G1557" t="s">
        <v>119</v>
      </c>
      <c r="H1557" t="str">
        <f>IFERROR(ROUND(COUNTIFS(Tasks!$A:$A,$A1557,Tasks!$B:$B,$B1557,Tasks!$C:$C,$G1557,Tasks!$I:$I,"&lt;="&amp;INDEX(Weeks!$D:$D,MATCH($C1557,Weeks!$A:$A,0)),Tasks!$I:$I,"&lt;&gt;")/COUNTIFS(Tasks!$A:$A,$A1557,Tasks!$B:$B,$B1557,Tasks!$C:$C,$G1557)*100,0),"")</f>
        <v/>
      </c>
    </row>
    <row r="1558" spans="1:8" ht="15" hidden="1" customHeight="1">
      <c r="A1558" t="s">
        <v>97</v>
      </c>
      <c r="B1558" t="s">
        <v>100</v>
      </c>
      <c r="C1558">
        <v>49</v>
      </c>
      <c r="D1558">
        <v>12</v>
      </c>
      <c r="E1558">
        <v>1</v>
      </c>
      <c r="F1558">
        <v>5</v>
      </c>
      <c r="G1558" t="s">
        <v>119</v>
      </c>
      <c r="H1558" t="str">
        <f>IFERROR(ROUND(COUNTIFS(Tasks!$A:$A,$A1558,Tasks!$B:$B,$B1558,Tasks!$C:$C,$G1558,Tasks!$I:$I,"&lt;="&amp;INDEX(Weeks!$D:$D,MATCH($C1558,Weeks!$A:$A,0)),Tasks!$I:$I,"&lt;&gt;")/COUNTIFS(Tasks!$A:$A,$A1558,Tasks!$B:$B,$B1558,Tasks!$C:$C,$G1558)*100,0),"")</f>
        <v/>
      </c>
    </row>
    <row r="1559" spans="1:8" ht="15" hidden="1" customHeight="1">
      <c r="A1559" t="s">
        <v>97</v>
      </c>
      <c r="B1559" t="s">
        <v>100</v>
      </c>
      <c r="C1559">
        <v>50</v>
      </c>
      <c r="D1559">
        <v>12</v>
      </c>
      <c r="E1559">
        <v>2</v>
      </c>
      <c r="F1559">
        <v>5</v>
      </c>
      <c r="G1559" t="s">
        <v>119</v>
      </c>
      <c r="H1559" t="str">
        <f>IFERROR(ROUND(COUNTIFS(Tasks!$A:$A,$A1559,Tasks!$B:$B,$B1559,Tasks!$C:$C,$G1559,Tasks!$I:$I,"&lt;="&amp;INDEX(Weeks!$D:$D,MATCH($C1559,Weeks!$A:$A,0)),Tasks!$I:$I,"&lt;&gt;")/COUNTIFS(Tasks!$A:$A,$A1559,Tasks!$B:$B,$B1559,Tasks!$C:$C,$G1559)*100,0),"")</f>
        <v/>
      </c>
    </row>
    <row r="1560" spans="1:8" ht="15" hidden="1" customHeight="1">
      <c r="A1560" t="s">
        <v>97</v>
      </c>
      <c r="B1560" t="s">
        <v>100</v>
      </c>
      <c r="C1560">
        <v>51</v>
      </c>
      <c r="D1560">
        <v>12</v>
      </c>
      <c r="E1560">
        <v>3</v>
      </c>
      <c r="F1560">
        <v>5</v>
      </c>
      <c r="G1560" t="s">
        <v>119</v>
      </c>
      <c r="H1560" t="str">
        <f>IFERROR(ROUND(COUNTIFS(Tasks!$A:$A,$A1560,Tasks!$B:$B,$B1560,Tasks!$C:$C,$G1560,Tasks!$I:$I,"&lt;="&amp;INDEX(Weeks!$D:$D,MATCH($C1560,Weeks!$A:$A,0)),Tasks!$I:$I,"&lt;&gt;")/COUNTIFS(Tasks!$A:$A,$A1560,Tasks!$B:$B,$B1560,Tasks!$C:$C,$G1560)*100,0),"")</f>
        <v/>
      </c>
    </row>
    <row r="1561" spans="1:8" ht="15" hidden="1" customHeight="1">
      <c r="A1561" t="s">
        <v>97</v>
      </c>
      <c r="B1561" t="s">
        <v>100</v>
      </c>
      <c r="C1561">
        <v>52</v>
      </c>
      <c r="D1561">
        <v>12</v>
      </c>
      <c r="E1561">
        <v>4</v>
      </c>
      <c r="F1561">
        <v>5</v>
      </c>
      <c r="G1561" t="s">
        <v>119</v>
      </c>
      <c r="H1561" t="str">
        <f>IFERROR(ROUND(COUNTIFS(Tasks!$A:$A,$A1561,Tasks!$B:$B,$B1561,Tasks!$C:$C,$G1561,Tasks!$I:$I,"&lt;="&amp;INDEX(Weeks!$D:$D,MATCH($C1561,Weeks!$A:$A,0)),Tasks!$I:$I,"&lt;&gt;")/COUNTIFS(Tasks!$A:$A,$A1561,Tasks!$B:$B,$B1561,Tasks!$C:$C,$G1561)*100,0),"")</f>
        <v/>
      </c>
    </row>
    <row r="1562" spans="1:8" ht="15" hidden="1" customHeight="1">
      <c r="A1562" t="s">
        <v>102</v>
      </c>
      <c r="B1562" t="s">
        <v>103</v>
      </c>
      <c r="C1562">
        <v>1</v>
      </c>
      <c r="D1562">
        <v>1</v>
      </c>
      <c r="E1562">
        <v>1</v>
      </c>
      <c r="F1562">
        <v>1</v>
      </c>
      <c r="G1562" t="s">
        <v>120</v>
      </c>
      <c r="H1562" t="str">
        <f>IFERROR(ROUND(COUNTIFS(Tasks!$A:$A,$A1562,Tasks!$B:$B,$B1562,Tasks!$C:$C,$G1562,Tasks!$I:$I,"&lt;="&amp;INDEX(Weeks!$D:$D,MATCH($C1562,Weeks!$A:$A,0)),Tasks!$I:$I,"&lt;&gt;")/COUNTIFS(Tasks!$A:$A,$A1562,Tasks!$B:$B,$B1562,Tasks!$C:$C,$G1562)*100,0),"")</f>
        <v/>
      </c>
    </row>
    <row r="1563" spans="1:8" ht="15" hidden="1" customHeight="1">
      <c r="A1563" t="s">
        <v>102</v>
      </c>
      <c r="B1563" t="s">
        <v>103</v>
      </c>
      <c r="C1563">
        <v>2</v>
      </c>
      <c r="D1563">
        <v>1</v>
      </c>
      <c r="E1563">
        <v>2</v>
      </c>
      <c r="F1563">
        <v>1</v>
      </c>
      <c r="G1563" t="s">
        <v>120</v>
      </c>
      <c r="H1563" t="str">
        <f>IFERROR(ROUND(COUNTIFS(Tasks!$A:$A,$A1563,Tasks!$B:$B,$B1563,Tasks!$C:$C,$G1563,Tasks!$I:$I,"&lt;="&amp;INDEX(Weeks!$D:$D,MATCH($C1563,Weeks!$A:$A,0)),Tasks!$I:$I,"&lt;&gt;")/COUNTIFS(Tasks!$A:$A,$A1563,Tasks!$B:$B,$B1563,Tasks!$C:$C,$G1563)*100,0),"")</f>
        <v/>
      </c>
    </row>
    <row r="1564" spans="1:8" ht="15" hidden="1" customHeight="1">
      <c r="A1564" t="s">
        <v>102</v>
      </c>
      <c r="B1564" t="s">
        <v>103</v>
      </c>
      <c r="C1564">
        <v>3</v>
      </c>
      <c r="D1564">
        <v>1</v>
      </c>
      <c r="E1564">
        <v>3</v>
      </c>
      <c r="F1564">
        <v>1</v>
      </c>
      <c r="G1564" t="s">
        <v>120</v>
      </c>
      <c r="H1564" t="str">
        <f>IFERROR(ROUND(COUNTIFS(Tasks!$A:$A,$A1564,Tasks!$B:$B,$B1564,Tasks!$C:$C,$G1564,Tasks!$I:$I,"&lt;="&amp;INDEX(Weeks!$D:$D,MATCH($C1564,Weeks!$A:$A,0)),Tasks!$I:$I,"&lt;&gt;")/COUNTIFS(Tasks!$A:$A,$A1564,Tasks!$B:$B,$B1564,Tasks!$C:$C,$G1564)*100,0),"")</f>
        <v/>
      </c>
    </row>
    <row r="1565" spans="1:8" ht="15" hidden="1" customHeight="1">
      <c r="A1565" t="s">
        <v>102</v>
      </c>
      <c r="B1565" t="s">
        <v>103</v>
      </c>
      <c r="C1565">
        <v>4</v>
      </c>
      <c r="D1565">
        <v>1</v>
      </c>
      <c r="E1565">
        <v>4</v>
      </c>
      <c r="F1565">
        <v>1</v>
      </c>
      <c r="G1565" t="s">
        <v>120</v>
      </c>
      <c r="H1565" t="str">
        <f>IFERROR(ROUND(COUNTIFS(Tasks!$A:$A,$A1565,Tasks!$B:$B,$B1565,Tasks!$C:$C,$G1565,Tasks!$I:$I,"&lt;="&amp;INDEX(Weeks!$D:$D,MATCH($C1565,Weeks!$A:$A,0)),Tasks!$I:$I,"&lt;&gt;")/COUNTIFS(Tasks!$A:$A,$A1565,Tasks!$B:$B,$B1565,Tasks!$C:$C,$G1565)*100,0),"")</f>
        <v/>
      </c>
    </row>
    <row r="1566" spans="1:8" ht="15" hidden="1" customHeight="1">
      <c r="A1566" t="s">
        <v>102</v>
      </c>
      <c r="B1566" t="s">
        <v>103</v>
      </c>
      <c r="C1566">
        <v>5</v>
      </c>
      <c r="D1566">
        <v>1</v>
      </c>
      <c r="E1566">
        <v>5</v>
      </c>
      <c r="F1566">
        <v>1</v>
      </c>
      <c r="G1566" t="s">
        <v>120</v>
      </c>
      <c r="H1566" t="str">
        <f>IFERROR(ROUND(COUNTIFS(Tasks!$A:$A,$A1566,Tasks!$B:$B,$B1566,Tasks!$C:$C,$G1566,Tasks!$I:$I,"&lt;="&amp;INDEX(Weeks!$D:$D,MATCH($C1566,Weeks!$A:$A,0)),Tasks!$I:$I,"&lt;&gt;")/COUNTIFS(Tasks!$A:$A,$A1566,Tasks!$B:$B,$B1566,Tasks!$C:$C,$G1566)*100,0),"")</f>
        <v/>
      </c>
    </row>
    <row r="1567" spans="1:8" ht="15" hidden="1" customHeight="1">
      <c r="A1567" t="s">
        <v>102</v>
      </c>
      <c r="B1567" t="s">
        <v>103</v>
      </c>
      <c r="C1567">
        <v>6</v>
      </c>
      <c r="D1567">
        <v>2</v>
      </c>
      <c r="E1567">
        <v>1</v>
      </c>
      <c r="F1567">
        <v>1</v>
      </c>
      <c r="G1567" t="s">
        <v>120</v>
      </c>
      <c r="H1567" t="str">
        <f>IFERROR(ROUND(COUNTIFS(Tasks!$A:$A,$A1567,Tasks!$B:$B,$B1567,Tasks!$C:$C,$G1567,Tasks!$I:$I,"&lt;="&amp;INDEX(Weeks!$D:$D,MATCH($C1567,Weeks!$A:$A,0)),Tasks!$I:$I,"&lt;&gt;")/COUNTIFS(Tasks!$A:$A,$A1567,Tasks!$B:$B,$B1567,Tasks!$C:$C,$G1567)*100,0),"")</f>
        <v/>
      </c>
    </row>
    <row r="1568" spans="1:8" ht="15" hidden="1" customHeight="1">
      <c r="A1568" t="s">
        <v>102</v>
      </c>
      <c r="B1568" t="s">
        <v>103</v>
      </c>
      <c r="C1568">
        <v>7</v>
      </c>
      <c r="D1568">
        <v>2</v>
      </c>
      <c r="E1568">
        <v>2</v>
      </c>
      <c r="F1568">
        <v>1</v>
      </c>
      <c r="G1568" t="s">
        <v>120</v>
      </c>
      <c r="H1568" t="str">
        <f>IFERROR(ROUND(COUNTIFS(Tasks!$A:$A,$A1568,Tasks!$B:$B,$B1568,Tasks!$C:$C,$G1568,Tasks!$I:$I,"&lt;="&amp;INDEX(Weeks!$D:$D,MATCH($C1568,Weeks!$A:$A,0)),Tasks!$I:$I,"&lt;&gt;")/COUNTIFS(Tasks!$A:$A,$A1568,Tasks!$B:$B,$B1568,Tasks!$C:$C,$G1568)*100,0),"")</f>
        <v/>
      </c>
    </row>
    <row r="1569" spans="1:8" ht="15" hidden="1" customHeight="1">
      <c r="A1569" t="s">
        <v>102</v>
      </c>
      <c r="B1569" t="s">
        <v>103</v>
      </c>
      <c r="C1569">
        <v>8</v>
      </c>
      <c r="D1569">
        <v>2</v>
      </c>
      <c r="E1569">
        <v>3</v>
      </c>
      <c r="F1569">
        <v>1</v>
      </c>
      <c r="G1569" t="s">
        <v>120</v>
      </c>
      <c r="H1569" t="str">
        <f>IFERROR(ROUND(COUNTIFS(Tasks!$A:$A,$A1569,Tasks!$B:$B,$B1569,Tasks!$C:$C,$G1569,Tasks!$I:$I,"&lt;="&amp;INDEX(Weeks!$D:$D,MATCH($C1569,Weeks!$A:$A,0)),Tasks!$I:$I,"&lt;&gt;")/COUNTIFS(Tasks!$A:$A,$A1569,Tasks!$B:$B,$B1569,Tasks!$C:$C,$G1569)*100,0),"")</f>
        <v/>
      </c>
    </row>
    <row r="1570" spans="1:8" ht="15" hidden="1" customHeight="1">
      <c r="A1570" t="s">
        <v>102</v>
      </c>
      <c r="B1570" t="s">
        <v>103</v>
      </c>
      <c r="C1570">
        <v>9</v>
      </c>
      <c r="D1570">
        <v>2</v>
      </c>
      <c r="E1570">
        <v>4</v>
      </c>
      <c r="F1570">
        <v>1</v>
      </c>
      <c r="G1570" t="s">
        <v>120</v>
      </c>
      <c r="H1570" t="str">
        <f>IFERROR(ROUND(COUNTIFS(Tasks!$A:$A,$A1570,Tasks!$B:$B,$B1570,Tasks!$C:$C,$G1570,Tasks!$I:$I,"&lt;="&amp;INDEX(Weeks!$D:$D,MATCH($C1570,Weeks!$A:$A,0)),Tasks!$I:$I,"&lt;&gt;")/COUNTIFS(Tasks!$A:$A,$A1570,Tasks!$B:$B,$B1570,Tasks!$C:$C,$G1570)*100,0),"")</f>
        <v/>
      </c>
    </row>
    <row r="1571" spans="1:8" ht="15" hidden="1" customHeight="1">
      <c r="A1571" t="s">
        <v>102</v>
      </c>
      <c r="B1571" t="s">
        <v>103</v>
      </c>
      <c r="C1571">
        <v>10</v>
      </c>
      <c r="D1571">
        <v>3</v>
      </c>
      <c r="E1571">
        <v>1</v>
      </c>
      <c r="F1571">
        <v>1</v>
      </c>
      <c r="G1571" t="s">
        <v>120</v>
      </c>
      <c r="H1571" t="str">
        <f>IFERROR(ROUND(COUNTIFS(Tasks!$A:$A,$A1571,Tasks!$B:$B,$B1571,Tasks!$C:$C,$G1571,Tasks!$I:$I,"&lt;="&amp;INDEX(Weeks!$D:$D,MATCH($C1571,Weeks!$A:$A,0)),Tasks!$I:$I,"&lt;&gt;")/COUNTIFS(Tasks!$A:$A,$A1571,Tasks!$B:$B,$B1571,Tasks!$C:$C,$G1571)*100,0),"")</f>
        <v/>
      </c>
    </row>
    <row r="1572" spans="1:8" ht="15" hidden="1" customHeight="1">
      <c r="A1572" t="s">
        <v>102</v>
      </c>
      <c r="B1572" t="s">
        <v>103</v>
      </c>
      <c r="C1572">
        <v>11</v>
      </c>
      <c r="D1572">
        <v>3</v>
      </c>
      <c r="E1572">
        <v>2</v>
      </c>
      <c r="F1572">
        <v>1</v>
      </c>
      <c r="G1572" t="s">
        <v>120</v>
      </c>
      <c r="H1572" t="str">
        <f>IFERROR(ROUND(COUNTIFS(Tasks!$A:$A,$A1572,Tasks!$B:$B,$B1572,Tasks!$C:$C,$G1572,Tasks!$I:$I,"&lt;="&amp;INDEX(Weeks!$D:$D,MATCH($C1572,Weeks!$A:$A,0)),Tasks!$I:$I,"&lt;&gt;")/COUNTIFS(Tasks!$A:$A,$A1572,Tasks!$B:$B,$B1572,Tasks!$C:$C,$G1572)*100,0),"")</f>
        <v/>
      </c>
    </row>
    <row r="1573" spans="1:8" ht="15" hidden="1" customHeight="1">
      <c r="A1573" t="s">
        <v>102</v>
      </c>
      <c r="B1573" t="s">
        <v>103</v>
      </c>
      <c r="C1573">
        <v>12</v>
      </c>
      <c r="D1573">
        <v>3</v>
      </c>
      <c r="E1573">
        <v>3</v>
      </c>
      <c r="F1573">
        <v>1</v>
      </c>
      <c r="G1573" t="s">
        <v>120</v>
      </c>
      <c r="H1573" t="str">
        <f>IFERROR(ROUND(COUNTIFS(Tasks!$A:$A,$A1573,Tasks!$B:$B,$B1573,Tasks!$C:$C,$G1573,Tasks!$I:$I,"&lt;="&amp;INDEX(Weeks!$D:$D,MATCH($C1573,Weeks!$A:$A,0)),Tasks!$I:$I,"&lt;&gt;")/COUNTIFS(Tasks!$A:$A,$A1573,Tasks!$B:$B,$B1573,Tasks!$C:$C,$G1573)*100,0),"")</f>
        <v/>
      </c>
    </row>
    <row r="1574" spans="1:8" ht="15" hidden="1" customHeight="1">
      <c r="A1574" t="s">
        <v>102</v>
      </c>
      <c r="B1574" t="s">
        <v>103</v>
      </c>
      <c r="C1574">
        <v>13</v>
      </c>
      <c r="D1574">
        <v>3</v>
      </c>
      <c r="E1574">
        <v>4</v>
      </c>
      <c r="F1574">
        <v>1</v>
      </c>
      <c r="G1574" t="s">
        <v>120</v>
      </c>
      <c r="H1574" t="str">
        <f>IFERROR(ROUND(COUNTIFS(Tasks!$A:$A,$A1574,Tasks!$B:$B,$B1574,Tasks!$C:$C,$G1574,Tasks!$I:$I,"&lt;="&amp;INDEX(Weeks!$D:$D,MATCH($C1574,Weeks!$A:$A,0)),Tasks!$I:$I,"&lt;&gt;")/COUNTIFS(Tasks!$A:$A,$A1574,Tasks!$B:$B,$B1574,Tasks!$C:$C,$G1574)*100,0),"")</f>
        <v/>
      </c>
    </row>
    <row r="1575" spans="1:8" ht="15" hidden="1" customHeight="1">
      <c r="A1575" t="s">
        <v>102</v>
      </c>
      <c r="B1575" t="s">
        <v>103</v>
      </c>
      <c r="C1575">
        <v>14</v>
      </c>
      <c r="D1575">
        <v>4</v>
      </c>
      <c r="E1575">
        <v>1</v>
      </c>
      <c r="F1575">
        <v>1</v>
      </c>
      <c r="G1575" t="s">
        <v>120</v>
      </c>
      <c r="H1575" t="str">
        <f>IFERROR(ROUND(COUNTIFS(Tasks!$A:$A,$A1575,Tasks!$B:$B,$B1575,Tasks!$C:$C,$G1575,Tasks!$I:$I,"&lt;="&amp;INDEX(Weeks!$D:$D,MATCH($C1575,Weeks!$A:$A,0)),Tasks!$I:$I,"&lt;&gt;")/COUNTIFS(Tasks!$A:$A,$A1575,Tasks!$B:$B,$B1575,Tasks!$C:$C,$G1575)*100,0),"")</f>
        <v/>
      </c>
    </row>
    <row r="1576" spans="1:8" ht="15" hidden="1" customHeight="1">
      <c r="A1576" t="s">
        <v>102</v>
      </c>
      <c r="B1576" t="s">
        <v>103</v>
      </c>
      <c r="C1576">
        <v>15</v>
      </c>
      <c r="D1576">
        <v>4</v>
      </c>
      <c r="E1576">
        <v>2</v>
      </c>
      <c r="F1576">
        <v>1</v>
      </c>
      <c r="G1576" t="s">
        <v>120</v>
      </c>
      <c r="H1576" t="str">
        <f>IFERROR(ROUND(COUNTIFS(Tasks!$A:$A,$A1576,Tasks!$B:$B,$B1576,Tasks!$C:$C,$G1576,Tasks!$I:$I,"&lt;="&amp;INDEX(Weeks!$D:$D,MATCH($C1576,Weeks!$A:$A,0)),Tasks!$I:$I,"&lt;&gt;")/COUNTIFS(Tasks!$A:$A,$A1576,Tasks!$B:$B,$B1576,Tasks!$C:$C,$G1576)*100,0),"")</f>
        <v/>
      </c>
    </row>
    <row r="1577" spans="1:8" ht="15" hidden="1" customHeight="1">
      <c r="A1577" t="s">
        <v>102</v>
      </c>
      <c r="B1577" t="s">
        <v>103</v>
      </c>
      <c r="C1577">
        <v>16</v>
      </c>
      <c r="D1577">
        <v>4</v>
      </c>
      <c r="E1577">
        <v>3</v>
      </c>
      <c r="F1577">
        <v>1</v>
      </c>
      <c r="G1577" t="s">
        <v>120</v>
      </c>
      <c r="H1577" t="str">
        <f>IFERROR(ROUND(COUNTIFS(Tasks!$A:$A,$A1577,Tasks!$B:$B,$B1577,Tasks!$C:$C,$G1577,Tasks!$I:$I,"&lt;="&amp;INDEX(Weeks!$D:$D,MATCH($C1577,Weeks!$A:$A,0)),Tasks!$I:$I,"&lt;&gt;")/COUNTIFS(Tasks!$A:$A,$A1577,Tasks!$B:$B,$B1577,Tasks!$C:$C,$G1577)*100,0),"")</f>
        <v/>
      </c>
    </row>
    <row r="1578" spans="1:8" ht="15" hidden="1" customHeight="1">
      <c r="A1578" t="s">
        <v>102</v>
      </c>
      <c r="B1578" t="s">
        <v>103</v>
      </c>
      <c r="C1578">
        <v>17</v>
      </c>
      <c r="D1578">
        <v>4</v>
      </c>
      <c r="E1578">
        <v>4</v>
      </c>
      <c r="F1578">
        <v>1</v>
      </c>
      <c r="G1578" t="s">
        <v>120</v>
      </c>
      <c r="H1578" t="str">
        <f>IFERROR(ROUND(COUNTIFS(Tasks!$A:$A,$A1578,Tasks!$B:$B,$B1578,Tasks!$C:$C,$G1578,Tasks!$I:$I,"&lt;="&amp;INDEX(Weeks!$D:$D,MATCH($C1578,Weeks!$A:$A,0)),Tasks!$I:$I,"&lt;&gt;")/COUNTIFS(Tasks!$A:$A,$A1578,Tasks!$B:$B,$B1578,Tasks!$C:$C,$G1578)*100,0),"")</f>
        <v/>
      </c>
    </row>
    <row r="1579" spans="1:8" ht="15" hidden="1" customHeight="1">
      <c r="A1579" t="s">
        <v>102</v>
      </c>
      <c r="B1579" t="s">
        <v>103</v>
      </c>
      <c r="C1579">
        <v>18</v>
      </c>
      <c r="D1579">
        <v>5</v>
      </c>
      <c r="E1579">
        <v>1</v>
      </c>
      <c r="F1579">
        <v>1</v>
      </c>
      <c r="G1579" t="s">
        <v>120</v>
      </c>
      <c r="H1579" t="str">
        <f>IFERROR(ROUND(COUNTIFS(Tasks!$A:$A,$A1579,Tasks!$B:$B,$B1579,Tasks!$C:$C,$G1579,Tasks!$I:$I,"&lt;="&amp;INDEX(Weeks!$D:$D,MATCH($C1579,Weeks!$A:$A,0)),Tasks!$I:$I,"&lt;&gt;")/COUNTIFS(Tasks!$A:$A,$A1579,Tasks!$B:$B,$B1579,Tasks!$C:$C,$G1579)*100,0),"")</f>
        <v/>
      </c>
    </row>
    <row r="1580" spans="1:8" ht="15" hidden="1" customHeight="1">
      <c r="A1580" t="s">
        <v>102</v>
      </c>
      <c r="B1580" t="s">
        <v>103</v>
      </c>
      <c r="C1580">
        <v>19</v>
      </c>
      <c r="D1580">
        <v>5</v>
      </c>
      <c r="E1580">
        <v>2</v>
      </c>
      <c r="F1580">
        <v>1</v>
      </c>
      <c r="G1580" t="s">
        <v>120</v>
      </c>
      <c r="H1580" t="str">
        <f>IFERROR(ROUND(COUNTIFS(Tasks!$A:$A,$A1580,Tasks!$B:$B,$B1580,Tasks!$C:$C,$G1580,Tasks!$I:$I,"&lt;="&amp;INDEX(Weeks!$D:$D,MATCH($C1580,Weeks!$A:$A,0)),Tasks!$I:$I,"&lt;&gt;")/COUNTIFS(Tasks!$A:$A,$A1580,Tasks!$B:$B,$B1580,Tasks!$C:$C,$G1580)*100,0),"")</f>
        <v/>
      </c>
    </row>
    <row r="1581" spans="1:8" ht="15" hidden="1" customHeight="1">
      <c r="A1581" t="s">
        <v>102</v>
      </c>
      <c r="B1581" t="s">
        <v>103</v>
      </c>
      <c r="C1581">
        <v>20</v>
      </c>
      <c r="D1581">
        <v>5</v>
      </c>
      <c r="E1581">
        <v>3</v>
      </c>
      <c r="F1581">
        <v>1</v>
      </c>
      <c r="G1581" t="s">
        <v>120</v>
      </c>
      <c r="H1581" t="str">
        <f>IFERROR(ROUND(COUNTIFS(Tasks!$A:$A,$A1581,Tasks!$B:$B,$B1581,Tasks!$C:$C,$G1581,Tasks!$I:$I,"&lt;="&amp;INDEX(Weeks!$D:$D,MATCH($C1581,Weeks!$A:$A,0)),Tasks!$I:$I,"&lt;&gt;")/COUNTIFS(Tasks!$A:$A,$A1581,Tasks!$B:$B,$B1581,Tasks!$C:$C,$G1581)*100,0),"")</f>
        <v/>
      </c>
    </row>
    <row r="1582" spans="1:8" ht="15" hidden="1" customHeight="1">
      <c r="A1582" t="s">
        <v>102</v>
      </c>
      <c r="B1582" t="s">
        <v>103</v>
      </c>
      <c r="C1582">
        <v>21</v>
      </c>
      <c r="D1582">
        <v>5</v>
      </c>
      <c r="E1582">
        <v>4</v>
      </c>
      <c r="F1582">
        <v>1</v>
      </c>
      <c r="G1582" t="s">
        <v>120</v>
      </c>
      <c r="H1582" t="str">
        <f>IFERROR(ROUND(COUNTIFS(Tasks!$A:$A,$A1582,Tasks!$B:$B,$B1582,Tasks!$C:$C,$G1582,Tasks!$I:$I,"&lt;="&amp;INDEX(Weeks!$D:$D,MATCH($C1582,Weeks!$A:$A,0)),Tasks!$I:$I,"&lt;&gt;")/COUNTIFS(Tasks!$A:$A,$A1582,Tasks!$B:$B,$B1582,Tasks!$C:$C,$G1582)*100,0),"")</f>
        <v/>
      </c>
    </row>
    <row r="1583" spans="1:8" ht="15" hidden="1" customHeight="1">
      <c r="A1583" t="s">
        <v>102</v>
      </c>
      <c r="B1583" t="s">
        <v>103</v>
      </c>
      <c r="C1583">
        <v>22</v>
      </c>
      <c r="D1583">
        <v>5</v>
      </c>
      <c r="E1583">
        <v>5</v>
      </c>
      <c r="F1583">
        <v>1</v>
      </c>
      <c r="G1583" t="s">
        <v>120</v>
      </c>
      <c r="H1583" t="str">
        <f>IFERROR(ROUND(COUNTIFS(Tasks!$A:$A,$A1583,Tasks!$B:$B,$B1583,Tasks!$C:$C,$G1583,Tasks!$I:$I,"&lt;="&amp;INDEX(Weeks!$D:$D,MATCH($C1583,Weeks!$A:$A,0)),Tasks!$I:$I,"&lt;&gt;")/COUNTIFS(Tasks!$A:$A,$A1583,Tasks!$B:$B,$B1583,Tasks!$C:$C,$G1583)*100,0),"")</f>
        <v/>
      </c>
    </row>
    <row r="1584" spans="1:8" ht="15" hidden="1" customHeight="1">
      <c r="A1584" t="s">
        <v>102</v>
      </c>
      <c r="B1584" t="s">
        <v>103</v>
      </c>
      <c r="C1584">
        <v>23</v>
      </c>
      <c r="D1584">
        <v>6</v>
      </c>
      <c r="E1584">
        <v>1</v>
      </c>
      <c r="F1584">
        <v>1</v>
      </c>
      <c r="G1584" t="s">
        <v>120</v>
      </c>
      <c r="H1584" t="str">
        <f>IFERROR(ROUND(COUNTIFS(Tasks!$A:$A,$A1584,Tasks!$B:$B,$B1584,Tasks!$C:$C,$G1584,Tasks!$I:$I,"&lt;="&amp;INDEX(Weeks!$D:$D,MATCH($C1584,Weeks!$A:$A,0)),Tasks!$I:$I,"&lt;&gt;")/COUNTIFS(Tasks!$A:$A,$A1584,Tasks!$B:$B,$B1584,Tasks!$C:$C,$G1584)*100,0),"")</f>
        <v/>
      </c>
    </row>
    <row r="1585" spans="1:8" ht="15" hidden="1" customHeight="1">
      <c r="A1585" t="s">
        <v>102</v>
      </c>
      <c r="B1585" t="s">
        <v>103</v>
      </c>
      <c r="C1585">
        <v>24</v>
      </c>
      <c r="D1585">
        <v>6</v>
      </c>
      <c r="E1585">
        <v>2</v>
      </c>
      <c r="F1585">
        <v>1</v>
      </c>
      <c r="G1585" t="s">
        <v>120</v>
      </c>
      <c r="H1585" t="str">
        <f>IFERROR(ROUND(COUNTIFS(Tasks!$A:$A,$A1585,Tasks!$B:$B,$B1585,Tasks!$C:$C,$G1585,Tasks!$I:$I,"&lt;="&amp;INDEX(Weeks!$D:$D,MATCH($C1585,Weeks!$A:$A,0)),Tasks!$I:$I,"&lt;&gt;")/COUNTIFS(Tasks!$A:$A,$A1585,Tasks!$B:$B,$B1585,Tasks!$C:$C,$G1585)*100,0),"")</f>
        <v/>
      </c>
    </row>
    <row r="1586" spans="1:8" ht="15" hidden="1" customHeight="1">
      <c r="A1586" t="s">
        <v>102</v>
      </c>
      <c r="B1586" t="s">
        <v>103</v>
      </c>
      <c r="C1586">
        <v>25</v>
      </c>
      <c r="D1586">
        <v>6</v>
      </c>
      <c r="E1586">
        <v>3</v>
      </c>
      <c r="F1586">
        <v>1</v>
      </c>
      <c r="G1586" t="s">
        <v>120</v>
      </c>
      <c r="H1586" t="str">
        <f>IFERROR(ROUND(COUNTIFS(Tasks!$A:$A,$A1586,Tasks!$B:$B,$B1586,Tasks!$C:$C,$G1586,Tasks!$I:$I,"&lt;="&amp;INDEX(Weeks!$D:$D,MATCH($C1586,Weeks!$A:$A,0)),Tasks!$I:$I,"&lt;&gt;")/COUNTIFS(Tasks!$A:$A,$A1586,Tasks!$B:$B,$B1586,Tasks!$C:$C,$G1586)*100,0),"")</f>
        <v/>
      </c>
    </row>
    <row r="1587" spans="1:8" ht="15" hidden="1" customHeight="1">
      <c r="A1587" t="s">
        <v>102</v>
      </c>
      <c r="B1587" t="s">
        <v>103</v>
      </c>
      <c r="C1587">
        <v>26</v>
      </c>
      <c r="D1587">
        <v>6</v>
      </c>
      <c r="E1587">
        <v>4</v>
      </c>
      <c r="F1587">
        <v>1</v>
      </c>
      <c r="G1587" t="s">
        <v>120</v>
      </c>
      <c r="H1587" t="str">
        <f>IFERROR(ROUND(COUNTIFS(Tasks!$A:$A,$A1587,Tasks!$B:$B,$B1587,Tasks!$C:$C,$G1587,Tasks!$I:$I,"&lt;="&amp;INDEX(Weeks!$D:$D,MATCH($C1587,Weeks!$A:$A,0)),Tasks!$I:$I,"&lt;&gt;")/COUNTIFS(Tasks!$A:$A,$A1587,Tasks!$B:$B,$B1587,Tasks!$C:$C,$G1587)*100,0),"")</f>
        <v/>
      </c>
    </row>
    <row r="1588" spans="1:8" ht="15" hidden="1" customHeight="1">
      <c r="A1588" t="s">
        <v>102</v>
      </c>
      <c r="B1588" t="s">
        <v>103</v>
      </c>
      <c r="C1588">
        <v>27</v>
      </c>
      <c r="D1588">
        <v>7</v>
      </c>
      <c r="E1588">
        <v>1</v>
      </c>
      <c r="F1588">
        <v>1</v>
      </c>
      <c r="G1588" t="s">
        <v>120</v>
      </c>
      <c r="H1588" t="str">
        <f>IFERROR(ROUND(COUNTIFS(Tasks!$A:$A,$A1588,Tasks!$B:$B,$B1588,Tasks!$C:$C,$G1588,Tasks!$I:$I,"&lt;="&amp;INDEX(Weeks!$D:$D,MATCH($C1588,Weeks!$A:$A,0)),Tasks!$I:$I,"&lt;&gt;")/COUNTIFS(Tasks!$A:$A,$A1588,Tasks!$B:$B,$B1588,Tasks!$C:$C,$G1588)*100,0),"")</f>
        <v/>
      </c>
    </row>
    <row r="1589" spans="1:8" ht="15" hidden="1" customHeight="1">
      <c r="A1589" t="s">
        <v>102</v>
      </c>
      <c r="B1589" t="s">
        <v>103</v>
      </c>
      <c r="C1589">
        <v>28</v>
      </c>
      <c r="D1589">
        <v>7</v>
      </c>
      <c r="E1589">
        <v>2</v>
      </c>
      <c r="F1589">
        <v>1</v>
      </c>
      <c r="G1589" t="s">
        <v>120</v>
      </c>
      <c r="H1589" t="str">
        <f>IFERROR(ROUND(COUNTIFS(Tasks!$A:$A,$A1589,Tasks!$B:$B,$B1589,Tasks!$C:$C,$G1589,Tasks!$I:$I,"&lt;="&amp;INDEX(Weeks!$D:$D,MATCH($C1589,Weeks!$A:$A,0)),Tasks!$I:$I,"&lt;&gt;")/COUNTIFS(Tasks!$A:$A,$A1589,Tasks!$B:$B,$B1589,Tasks!$C:$C,$G1589)*100,0),"")</f>
        <v/>
      </c>
    </row>
    <row r="1590" spans="1:8" ht="15" hidden="1" customHeight="1">
      <c r="A1590" t="s">
        <v>102</v>
      </c>
      <c r="B1590" t="s">
        <v>103</v>
      </c>
      <c r="C1590">
        <v>29</v>
      </c>
      <c r="D1590">
        <v>7</v>
      </c>
      <c r="E1590">
        <v>3</v>
      </c>
      <c r="F1590">
        <v>1</v>
      </c>
      <c r="G1590" t="s">
        <v>120</v>
      </c>
      <c r="H1590" t="str">
        <f>IFERROR(ROUND(COUNTIFS(Tasks!$A:$A,$A1590,Tasks!$B:$B,$B1590,Tasks!$C:$C,$G1590,Tasks!$I:$I,"&lt;="&amp;INDEX(Weeks!$D:$D,MATCH($C1590,Weeks!$A:$A,0)),Tasks!$I:$I,"&lt;&gt;")/COUNTIFS(Tasks!$A:$A,$A1590,Tasks!$B:$B,$B1590,Tasks!$C:$C,$G1590)*100,0),"")</f>
        <v/>
      </c>
    </row>
    <row r="1591" spans="1:8" ht="15" hidden="1" customHeight="1">
      <c r="A1591" t="s">
        <v>102</v>
      </c>
      <c r="B1591" t="s">
        <v>103</v>
      </c>
      <c r="C1591">
        <v>30</v>
      </c>
      <c r="D1591">
        <v>7</v>
      </c>
      <c r="E1591">
        <v>4</v>
      </c>
      <c r="F1591">
        <v>1</v>
      </c>
      <c r="G1591" t="s">
        <v>120</v>
      </c>
      <c r="H1591" t="str">
        <f>IFERROR(ROUND(COUNTIFS(Tasks!$A:$A,$A1591,Tasks!$B:$B,$B1591,Tasks!$C:$C,$G1591,Tasks!$I:$I,"&lt;="&amp;INDEX(Weeks!$D:$D,MATCH($C1591,Weeks!$A:$A,0)),Tasks!$I:$I,"&lt;&gt;")/COUNTIFS(Tasks!$A:$A,$A1591,Tasks!$B:$B,$B1591,Tasks!$C:$C,$G1591)*100,0),"")</f>
        <v/>
      </c>
    </row>
    <row r="1592" spans="1:8" ht="15" hidden="1" customHeight="1">
      <c r="A1592" t="s">
        <v>102</v>
      </c>
      <c r="B1592" t="s">
        <v>103</v>
      </c>
      <c r="C1592">
        <v>31</v>
      </c>
      <c r="D1592">
        <v>8</v>
      </c>
      <c r="E1592">
        <v>1</v>
      </c>
      <c r="F1592">
        <v>1</v>
      </c>
      <c r="G1592" t="s">
        <v>120</v>
      </c>
      <c r="H1592" t="str">
        <f>IFERROR(ROUND(COUNTIFS(Tasks!$A:$A,$A1592,Tasks!$B:$B,$B1592,Tasks!$C:$C,$G1592,Tasks!$I:$I,"&lt;="&amp;INDEX(Weeks!$D:$D,MATCH($C1592,Weeks!$A:$A,0)),Tasks!$I:$I,"&lt;&gt;")/COUNTIFS(Tasks!$A:$A,$A1592,Tasks!$B:$B,$B1592,Tasks!$C:$C,$G1592)*100,0),"")</f>
        <v/>
      </c>
    </row>
    <row r="1593" spans="1:8" ht="15" hidden="1" customHeight="1">
      <c r="A1593" t="s">
        <v>102</v>
      </c>
      <c r="B1593" t="s">
        <v>103</v>
      </c>
      <c r="C1593">
        <v>32</v>
      </c>
      <c r="D1593">
        <v>8</v>
      </c>
      <c r="E1593">
        <v>2</v>
      </c>
      <c r="F1593">
        <v>1</v>
      </c>
      <c r="G1593" t="s">
        <v>120</v>
      </c>
      <c r="H1593" t="str">
        <f>IFERROR(ROUND(COUNTIFS(Tasks!$A:$A,$A1593,Tasks!$B:$B,$B1593,Tasks!$C:$C,$G1593,Tasks!$I:$I,"&lt;="&amp;INDEX(Weeks!$D:$D,MATCH($C1593,Weeks!$A:$A,0)),Tasks!$I:$I,"&lt;&gt;")/COUNTIFS(Tasks!$A:$A,$A1593,Tasks!$B:$B,$B1593,Tasks!$C:$C,$G1593)*100,0),"")</f>
        <v/>
      </c>
    </row>
    <row r="1594" spans="1:8" ht="15" hidden="1" customHeight="1">
      <c r="A1594" t="s">
        <v>102</v>
      </c>
      <c r="B1594" t="s">
        <v>103</v>
      </c>
      <c r="C1594">
        <v>33</v>
      </c>
      <c r="D1594">
        <v>8</v>
      </c>
      <c r="E1594">
        <v>3</v>
      </c>
      <c r="F1594">
        <v>1</v>
      </c>
      <c r="G1594" t="s">
        <v>120</v>
      </c>
      <c r="H1594" t="str">
        <f>IFERROR(ROUND(COUNTIFS(Tasks!$A:$A,$A1594,Tasks!$B:$B,$B1594,Tasks!$C:$C,$G1594,Tasks!$I:$I,"&lt;="&amp;INDEX(Weeks!$D:$D,MATCH($C1594,Weeks!$A:$A,0)),Tasks!$I:$I,"&lt;&gt;")/COUNTIFS(Tasks!$A:$A,$A1594,Tasks!$B:$B,$B1594,Tasks!$C:$C,$G1594)*100,0),"")</f>
        <v/>
      </c>
    </row>
    <row r="1595" spans="1:8" ht="15" hidden="1" customHeight="1">
      <c r="A1595" t="s">
        <v>102</v>
      </c>
      <c r="B1595" t="s">
        <v>103</v>
      </c>
      <c r="C1595">
        <v>34</v>
      </c>
      <c r="D1595">
        <v>8</v>
      </c>
      <c r="E1595">
        <v>4</v>
      </c>
      <c r="F1595">
        <v>1</v>
      </c>
      <c r="G1595" t="s">
        <v>120</v>
      </c>
      <c r="H1595" t="str">
        <f>IFERROR(ROUND(COUNTIFS(Tasks!$A:$A,$A1595,Tasks!$B:$B,$B1595,Tasks!$C:$C,$G1595,Tasks!$I:$I,"&lt;="&amp;INDEX(Weeks!$D:$D,MATCH($C1595,Weeks!$A:$A,0)),Tasks!$I:$I,"&lt;&gt;")/COUNTIFS(Tasks!$A:$A,$A1595,Tasks!$B:$B,$B1595,Tasks!$C:$C,$G1595)*100,0),"")</f>
        <v/>
      </c>
    </row>
    <row r="1596" spans="1:8" ht="15" hidden="1" customHeight="1">
      <c r="A1596" t="s">
        <v>102</v>
      </c>
      <c r="B1596" t="s">
        <v>103</v>
      </c>
      <c r="C1596">
        <v>35</v>
      </c>
      <c r="D1596">
        <v>8</v>
      </c>
      <c r="E1596">
        <v>5</v>
      </c>
      <c r="F1596">
        <v>1</v>
      </c>
      <c r="G1596" t="s">
        <v>120</v>
      </c>
      <c r="H1596" t="str">
        <f>IFERROR(ROUND(COUNTIFS(Tasks!$A:$A,$A1596,Tasks!$B:$B,$B1596,Tasks!$C:$C,$G1596,Tasks!$I:$I,"&lt;="&amp;INDEX(Weeks!$D:$D,MATCH($C1596,Weeks!$A:$A,0)),Tasks!$I:$I,"&lt;&gt;")/COUNTIFS(Tasks!$A:$A,$A1596,Tasks!$B:$B,$B1596,Tasks!$C:$C,$G1596)*100,0),"")</f>
        <v/>
      </c>
    </row>
    <row r="1597" spans="1:8" ht="15" hidden="1" customHeight="1">
      <c r="A1597" t="s">
        <v>102</v>
      </c>
      <c r="B1597" t="s">
        <v>103</v>
      </c>
      <c r="C1597">
        <v>36</v>
      </c>
      <c r="D1597">
        <v>9</v>
      </c>
      <c r="E1597">
        <v>1</v>
      </c>
      <c r="F1597">
        <v>1</v>
      </c>
      <c r="G1597" t="s">
        <v>120</v>
      </c>
      <c r="H1597" t="str">
        <f>IFERROR(ROUND(COUNTIFS(Tasks!$A:$A,$A1597,Tasks!$B:$B,$B1597,Tasks!$C:$C,$G1597,Tasks!$I:$I,"&lt;="&amp;INDEX(Weeks!$D:$D,MATCH($C1597,Weeks!$A:$A,0)),Tasks!$I:$I,"&lt;&gt;")/COUNTIFS(Tasks!$A:$A,$A1597,Tasks!$B:$B,$B1597,Tasks!$C:$C,$G1597)*100,0),"")</f>
        <v/>
      </c>
    </row>
    <row r="1598" spans="1:8" ht="15" hidden="1" customHeight="1">
      <c r="A1598" t="s">
        <v>102</v>
      </c>
      <c r="B1598" t="s">
        <v>103</v>
      </c>
      <c r="C1598">
        <v>37</v>
      </c>
      <c r="D1598">
        <v>9</v>
      </c>
      <c r="E1598">
        <v>2</v>
      </c>
      <c r="F1598">
        <v>1</v>
      </c>
      <c r="G1598" t="s">
        <v>120</v>
      </c>
      <c r="H1598" t="str">
        <f>IFERROR(ROUND(COUNTIFS(Tasks!$A:$A,$A1598,Tasks!$B:$B,$B1598,Tasks!$C:$C,$G1598,Tasks!$I:$I,"&lt;="&amp;INDEX(Weeks!$D:$D,MATCH($C1598,Weeks!$A:$A,0)),Tasks!$I:$I,"&lt;&gt;")/COUNTIFS(Tasks!$A:$A,$A1598,Tasks!$B:$B,$B1598,Tasks!$C:$C,$G1598)*100,0),"")</f>
        <v/>
      </c>
    </row>
    <row r="1599" spans="1:8" ht="15" hidden="1" customHeight="1">
      <c r="A1599" t="s">
        <v>102</v>
      </c>
      <c r="B1599" t="s">
        <v>103</v>
      </c>
      <c r="C1599">
        <v>38</v>
      </c>
      <c r="D1599">
        <v>9</v>
      </c>
      <c r="E1599">
        <v>3</v>
      </c>
      <c r="F1599">
        <v>1</v>
      </c>
      <c r="G1599" t="s">
        <v>120</v>
      </c>
      <c r="H1599" t="str">
        <f>IFERROR(ROUND(COUNTIFS(Tasks!$A:$A,$A1599,Tasks!$B:$B,$B1599,Tasks!$C:$C,$G1599,Tasks!$I:$I,"&lt;="&amp;INDEX(Weeks!$D:$D,MATCH($C1599,Weeks!$A:$A,0)),Tasks!$I:$I,"&lt;&gt;")/COUNTIFS(Tasks!$A:$A,$A1599,Tasks!$B:$B,$B1599,Tasks!$C:$C,$G1599)*100,0),"")</f>
        <v/>
      </c>
    </row>
    <row r="1600" spans="1:8" ht="15" hidden="1" customHeight="1">
      <c r="A1600" t="s">
        <v>102</v>
      </c>
      <c r="B1600" t="s">
        <v>103</v>
      </c>
      <c r="C1600">
        <v>39</v>
      </c>
      <c r="D1600">
        <v>9</v>
      </c>
      <c r="E1600">
        <v>4</v>
      </c>
      <c r="F1600">
        <v>1</v>
      </c>
      <c r="G1600" t="s">
        <v>120</v>
      </c>
      <c r="H1600" t="str">
        <f>IFERROR(ROUND(COUNTIFS(Tasks!$A:$A,$A1600,Tasks!$B:$B,$B1600,Tasks!$C:$C,$G1600,Tasks!$I:$I,"&lt;="&amp;INDEX(Weeks!$D:$D,MATCH($C1600,Weeks!$A:$A,0)),Tasks!$I:$I,"&lt;&gt;")/COUNTIFS(Tasks!$A:$A,$A1600,Tasks!$B:$B,$B1600,Tasks!$C:$C,$G1600)*100,0),"")</f>
        <v/>
      </c>
    </row>
    <row r="1601" spans="1:8" ht="15" hidden="1" customHeight="1">
      <c r="A1601" t="s">
        <v>102</v>
      </c>
      <c r="B1601" t="s">
        <v>103</v>
      </c>
      <c r="C1601">
        <v>40</v>
      </c>
      <c r="D1601">
        <v>10</v>
      </c>
      <c r="E1601">
        <v>1</v>
      </c>
      <c r="F1601">
        <v>1</v>
      </c>
      <c r="G1601" t="s">
        <v>120</v>
      </c>
      <c r="H1601" t="str">
        <f>IFERROR(ROUND(COUNTIFS(Tasks!$A:$A,$A1601,Tasks!$B:$B,$B1601,Tasks!$C:$C,$G1601,Tasks!$I:$I,"&lt;="&amp;INDEX(Weeks!$D:$D,MATCH($C1601,Weeks!$A:$A,0)),Tasks!$I:$I,"&lt;&gt;")/COUNTIFS(Tasks!$A:$A,$A1601,Tasks!$B:$B,$B1601,Tasks!$C:$C,$G1601)*100,0),"")</f>
        <v/>
      </c>
    </row>
    <row r="1602" spans="1:8" ht="15" hidden="1" customHeight="1">
      <c r="A1602" t="s">
        <v>102</v>
      </c>
      <c r="B1602" t="s">
        <v>103</v>
      </c>
      <c r="C1602">
        <v>41</v>
      </c>
      <c r="D1602">
        <v>10</v>
      </c>
      <c r="E1602">
        <v>2</v>
      </c>
      <c r="F1602">
        <v>1</v>
      </c>
      <c r="G1602" t="s">
        <v>120</v>
      </c>
      <c r="H1602" t="str">
        <f>IFERROR(ROUND(COUNTIFS(Tasks!$A:$A,$A1602,Tasks!$B:$B,$B1602,Tasks!$C:$C,$G1602,Tasks!$I:$I,"&lt;="&amp;INDEX(Weeks!$D:$D,MATCH($C1602,Weeks!$A:$A,0)),Tasks!$I:$I,"&lt;&gt;")/COUNTIFS(Tasks!$A:$A,$A1602,Tasks!$B:$B,$B1602,Tasks!$C:$C,$G1602)*100,0),"")</f>
        <v/>
      </c>
    </row>
    <row r="1603" spans="1:8" ht="15" hidden="1" customHeight="1">
      <c r="A1603" t="s">
        <v>102</v>
      </c>
      <c r="B1603" t="s">
        <v>103</v>
      </c>
      <c r="C1603">
        <v>42</v>
      </c>
      <c r="D1603">
        <v>10</v>
      </c>
      <c r="E1603">
        <v>3</v>
      </c>
      <c r="F1603">
        <v>1</v>
      </c>
      <c r="G1603" t="s">
        <v>120</v>
      </c>
      <c r="H1603" t="str">
        <f>IFERROR(ROUND(COUNTIFS(Tasks!$A:$A,$A1603,Tasks!$B:$B,$B1603,Tasks!$C:$C,$G1603,Tasks!$I:$I,"&lt;="&amp;INDEX(Weeks!$D:$D,MATCH($C1603,Weeks!$A:$A,0)),Tasks!$I:$I,"&lt;&gt;")/COUNTIFS(Tasks!$A:$A,$A1603,Tasks!$B:$B,$B1603,Tasks!$C:$C,$G1603)*100,0),"")</f>
        <v/>
      </c>
    </row>
    <row r="1604" spans="1:8" ht="15" hidden="1" customHeight="1">
      <c r="A1604" t="s">
        <v>102</v>
      </c>
      <c r="B1604" t="s">
        <v>103</v>
      </c>
      <c r="C1604">
        <v>43</v>
      </c>
      <c r="D1604">
        <v>10</v>
      </c>
      <c r="E1604">
        <v>4</v>
      </c>
      <c r="F1604">
        <v>1</v>
      </c>
      <c r="G1604" t="s">
        <v>120</v>
      </c>
      <c r="H1604" t="str">
        <f>IFERROR(ROUND(COUNTIFS(Tasks!$A:$A,$A1604,Tasks!$B:$B,$B1604,Tasks!$C:$C,$G1604,Tasks!$I:$I,"&lt;="&amp;INDEX(Weeks!$D:$D,MATCH($C1604,Weeks!$A:$A,0)),Tasks!$I:$I,"&lt;&gt;")/COUNTIFS(Tasks!$A:$A,$A1604,Tasks!$B:$B,$B1604,Tasks!$C:$C,$G1604)*100,0),"")</f>
        <v/>
      </c>
    </row>
    <row r="1605" spans="1:8" ht="15" hidden="1" customHeight="1">
      <c r="A1605" t="s">
        <v>102</v>
      </c>
      <c r="B1605" t="s">
        <v>103</v>
      </c>
      <c r="C1605">
        <v>44</v>
      </c>
      <c r="D1605">
        <v>10</v>
      </c>
      <c r="E1605">
        <v>5</v>
      </c>
      <c r="F1605">
        <v>1</v>
      </c>
      <c r="G1605" t="s">
        <v>120</v>
      </c>
      <c r="H1605" t="str">
        <f>IFERROR(ROUND(COUNTIFS(Tasks!$A:$A,$A1605,Tasks!$B:$B,$B1605,Tasks!$C:$C,$G1605,Tasks!$I:$I,"&lt;="&amp;INDEX(Weeks!$D:$D,MATCH($C1605,Weeks!$A:$A,0)),Tasks!$I:$I,"&lt;&gt;")/COUNTIFS(Tasks!$A:$A,$A1605,Tasks!$B:$B,$B1605,Tasks!$C:$C,$G1605)*100,0),"")</f>
        <v/>
      </c>
    </row>
    <row r="1606" spans="1:8" ht="15" hidden="1" customHeight="1">
      <c r="A1606" t="s">
        <v>102</v>
      </c>
      <c r="B1606" t="s">
        <v>103</v>
      </c>
      <c r="C1606">
        <v>45</v>
      </c>
      <c r="D1606">
        <v>11</v>
      </c>
      <c r="E1606">
        <v>1</v>
      </c>
      <c r="F1606">
        <v>1</v>
      </c>
      <c r="G1606" t="s">
        <v>120</v>
      </c>
      <c r="H1606" t="str">
        <f>IFERROR(ROUND(COUNTIFS(Tasks!$A:$A,$A1606,Tasks!$B:$B,$B1606,Tasks!$C:$C,$G1606,Tasks!$I:$I,"&lt;="&amp;INDEX(Weeks!$D:$D,MATCH($C1606,Weeks!$A:$A,0)),Tasks!$I:$I,"&lt;&gt;")/COUNTIFS(Tasks!$A:$A,$A1606,Tasks!$B:$B,$B1606,Tasks!$C:$C,$G1606)*100,0),"")</f>
        <v/>
      </c>
    </row>
    <row r="1607" spans="1:8" ht="15" hidden="1" customHeight="1">
      <c r="A1607" t="s">
        <v>102</v>
      </c>
      <c r="B1607" t="s">
        <v>103</v>
      </c>
      <c r="C1607">
        <v>46</v>
      </c>
      <c r="D1607">
        <v>11</v>
      </c>
      <c r="E1607">
        <v>2</v>
      </c>
      <c r="F1607">
        <v>1</v>
      </c>
      <c r="G1607" t="s">
        <v>120</v>
      </c>
      <c r="H1607" t="str">
        <f>IFERROR(ROUND(COUNTIFS(Tasks!$A:$A,$A1607,Tasks!$B:$B,$B1607,Tasks!$C:$C,$G1607,Tasks!$I:$I,"&lt;="&amp;INDEX(Weeks!$D:$D,MATCH($C1607,Weeks!$A:$A,0)),Tasks!$I:$I,"&lt;&gt;")/COUNTIFS(Tasks!$A:$A,$A1607,Tasks!$B:$B,$B1607,Tasks!$C:$C,$G1607)*100,0),"")</f>
        <v/>
      </c>
    </row>
    <row r="1608" spans="1:8" ht="15" hidden="1" customHeight="1">
      <c r="A1608" t="s">
        <v>102</v>
      </c>
      <c r="B1608" t="s">
        <v>103</v>
      </c>
      <c r="C1608">
        <v>47</v>
      </c>
      <c r="D1608">
        <v>11</v>
      </c>
      <c r="E1608">
        <v>3</v>
      </c>
      <c r="F1608">
        <v>1</v>
      </c>
      <c r="G1608" t="s">
        <v>120</v>
      </c>
      <c r="H1608" t="str">
        <f>IFERROR(ROUND(COUNTIFS(Tasks!$A:$A,$A1608,Tasks!$B:$B,$B1608,Tasks!$C:$C,$G1608,Tasks!$I:$I,"&lt;="&amp;INDEX(Weeks!$D:$D,MATCH($C1608,Weeks!$A:$A,0)),Tasks!$I:$I,"&lt;&gt;")/COUNTIFS(Tasks!$A:$A,$A1608,Tasks!$B:$B,$B1608,Tasks!$C:$C,$G1608)*100,0),"")</f>
        <v/>
      </c>
    </row>
    <row r="1609" spans="1:8" ht="15" hidden="1" customHeight="1">
      <c r="A1609" t="s">
        <v>102</v>
      </c>
      <c r="B1609" t="s">
        <v>103</v>
      </c>
      <c r="C1609">
        <v>48</v>
      </c>
      <c r="D1609">
        <v>11</v>
      </c>
      <c r="E1609">
        <v>4</v>
      </c>
      <c r="F1609">
        <v>1</v>
      </c>
      <c r="G1609" t="s">
        <v>120</v>
      </c>
      <c r="H1609" t="str">
        <f>IFERROR(ROUND(COUNTIFS(Tasks!$A:$A,$A1609,Tasks!$B:$B,$B1609,Tasks!$C:$C,$G1609,Tasks!$I:$I,"&lt;="&amp;INDEX(Weeks!$D:$D,MATCH($C1609,Weeks!$A:$A,0)),Tasks!$I:$I,"&lt;&gt;")/COUNTIFS(Tasks!$A:$A,$A1609,Tasks!$B:$B,$B1609,Tasks!$C:$C,$G1609)*100,0),"")</f>
        <v/>
      </c>
    </row>
    <row r="1610" spans="1:8" ht="15" hidden="1" customHeight="1">
      <c r="A1610" t="s">
        <v>102</v>
      </c>
      <c r="B1610" t="s">
        <v>103</v>
      </c>
      <c r="C1610">
        <v>49</v>
      </c>
      <c r="D1610">
        <v>12</v>
      </c>
      <c r="E1610">
        <v>1</v>
      </c>
      <c r="F1610">
        <v>1</v>
      </c>
      <c r="G1610" t="s">
        <v>120</v>
      </c>
      <c r="H1610" t="str">
        <f>IFERROR(ROUND(COUNTIFS(Tasks!$A:$A,$A1610,Tasks!$B:$B,$B1610,Tasks!$C:$C,$G1610,Tasks!$I:$I,"&lt;="&amp;INDEX(Weeks!$D:$D,MATCH($C1610,Weeks!$A:$A,0)),Tasks!$I:$I,"&lt;&gt;")/COUNTIFS(Tasks!$A:$A,$A1610,Tasks!$B:$B,$B1610,Tasks!$C:$C,$G1610)*100,0),"")</f>
        <v/>
      </c>
    </row>
    <row r="1611" spans="1:8" ht="15" hidden="1" customHeight="1">
      <c r="A1611" t="s">
        <v>102</v>
      </c>
      <c r="B1611" t="s">
        <v>103</v>
      </c>
      <c r="C1611">
        <v>50</v>
      </c>
      <c r="D1611">
        <v>12</v>
      </c>
      <c r="E1611">
        <v>2</v>
      </c>
      <c r="F1611">
        <v>1</v>
      </c>
      <c r="G1611" t="s">
        <v>120</v>
      </c>
      <c r="H1611" t="str">
        <f>IFERROR(ROUND(COUNTIFS(Tasks!$A:$A,$A1611,Tasks!$B:$B,$B1611,Tasks!$C:$C,$G1611,Tasks!$I:$I,"&lt;="&amp;INDEX(Weeks!$D:$D,MATCH($C1611,Weeks!$A:$A,0)),Tasks!$I:$I,"&lt;&gt;")/COUNTIFS(Tasks!$A:$A,$A1611,Tasks!$B:$B,$B1611,Tasks!$C:$C,$G1611)*100,0),"")</f>
        <v/>
      </c>
    </row>
    <row r="1612" spans="1:8" ht="15" hidden="1" customHeight="1">
      <c r="A1612" t="s">
        <v>102</v>
      </c>
      <c r="B1612" t="s">
        <v>103</v>
      </c>
      <c r="C1612">
        <v>51</v>
      </c>
      <c r="D1612">
        <v>12</v>
      </c>
      <c r="E1612">
        <v>3</v>
      </c>
      <c r="F1612">
        <v>1</v>
      </c>
      <c r="G1612" t="s">
        <v>120</v>
      </c>
      <c r="H1612" t="str">
        <f>IFERROR(ROUND(COUNTIFS(Tasks!$A:$A,$A1612,Tasks!$B:$B,$B1612,Tasks!$C:$C,$G1612,Tasks!$I:$I,"&lt;="&amp;INDEX(Weeks!$D:$D,MATCH($C1612,Weeks!$A:$A,0)),Tasks!$I:$I,"&lt;&gt;")/COUNTIFS(Tasks!$A:$A,$A1612,Tasks!$B:$B,$B1612,Tasks!$C:$C,$G1612)*100,0),"")</f>
        <v/>
      </c>
    </row>
    <row r="1613" spans="1:8" ht="15" hidden="1" customHeight="1">
      <c r="A1613" t="s">
        <v>102</v>
      </c>
      <c r="B1613" t="s">
        <v>103</v>
      </c>
      <c r="C1613">
        <v>52</v>
      </c>
      <c r="D1613">
        <v>12</v>
      </c>
      <c r="E1613">
        <v>4</v>
      </c>
      <c r="F1613">
        <v>1</v>
      </c>
      <c r="G1613" t="s">
        <v>120</v>
      </c>
      <c r="H1613" t="str">
        <f>IFERROR(ROUND(COUNTIFS(Tasks!$A:$A,$A1613,Tasks!$B:$B,$B1613,Tasks!$C:$C,$G1613,Tasks!$I:$I,"&lt;="&amp;INDEX(Weeks!$D:$D,MATCH($C1613,Weeks!$A:$A,0)),Tasks!$I:$I,"&lt;&gt;")/COUNTIFS(Tasks!$A:$A,$A1613,Tasks!$B:$B,$B1613,Tasks!$C:$C,$G1613)*100,0),"")</f>
        <v/>
      </c>
    </row>
    <row r="1614" spans="1:8" ht="15" hidden="1" customHeight="1">
      <c r="A1614" t="s">
        <v>102</v>
      </c>
      <c r="B1614" t="s">
        <v>103</v>
      </c>
      <c r="C1614">
        <v>1</v>
      </c>
      <c r="D1614">
        <v>1</v>
      </c>
      <c r="E1614">
        <v>1</v>
      </c>
      <c r="F1614">
        <v>2</v>
      </c>
      <c r="G1614" t="s">
        <v>121</v>
      </c>
      <c r="H1614" t="str">
        <f>IFERROR(ROUND(COUNTIFS(Tasks!$A:$A,$A1614,Tasks!$B:$B,$B1614,Tasks!$C:$C,$G1614,Tasks!$I:$I,"&lt;="&amp;INDEX(Weeks!$D:$D,MATCH($C1614,Weeks!$A:$A,0)),Tasks!$I:$I,"&lt;&gt;")/COUNTIFS(Tasks!$A:$A,$A1614,Tasks!$B:$B,$B1614,Tasks!$C:$C,$G1614)*100,0),"")</f>
        <v/>
      </c>
    </row>
    <row r="1615" spans="1:8" ht="15" hidden="1" customHeight="1">
      <c r="A1615" t="s">
        <v>102</v>
      </c>
      <c r="B1615" t="s">
        <v>103</v>
      </c>
      <c r="C1615">
        <v>2</v>
      </c>
      <c r="D1615">
        <v>1</v>
      </c>
      <c r="E1615">
        <v>2</v>
      </c>
      <c r="F1615">
        <v>2</v>
      </c>
      <c r="G1615" t="s">
        <v>121</v>
      </c>
      <c r="H1615" t="str">
        <f>IFERROR(ROUND(COUNTIFS(Tasks!$A:$A,$A1615,Tasks!$B:$B,$B1615,Tasks!$C:$C,$G1615,Tasks!$I:$I,"&lt;="&amp;INDEX(Weeks!$D:$D,MATCH($C1615,Weeks!$A:$A,0)),Tasks!$I:$I,"&lt;&gt;")/COUNTIFS(Tasks!$A:$A,$A1615,Tasks!$B:$B,$B1615,Tasks!$C:$C,$G1615)*100,0),"")</f>
        <v/>
      </c>
    </row>
    <row r="1616" spans="1:8" ht="15" hidden="1" customHeight="1">
      <c r="A1616" t="s">
        <v>102</v>
      </c>
      <c r="B1616" t="s">
        <v>103</v>
      </c>
      <c r="C1616">
        <v>3</v>
      </c>
      <c r="D1616">
        <v>1</v>
      </c>
      <c r="E1616">
        <v>3</v>
      </c>
      <c r="F1616">
        <v>2</v>
      </c>
      <c r="G1616" t="s">
        <v>121</v>
      </c>
      <c r="H1616" t="str">
        <f>IFERROR(ROUND(COUNTIFS(Tasks!$A:$A,$A1616,Tasks!$B:$B,$B1616,Tasks!$C:$C,$G1616,Tasks!$I:$I,"&lt;="&amp;INDEX(Weeks!$D:$D,MATCH($C1616,Weeks!$A:$A,0)),Tasks!$I:$I,"&lt;&gt;")/COUNTIFS(Tasks!$A:$A,$A1616,Tasks!$B:$B,$B1616,Tasks!$C:$C,$G1616)*100,0),"")</f>
        <v/>
      </c>
    </row>
    <row r="1617" spans="1:8" ht="15" hidden="1" customHeight="1">
      <c r="A1617" t="s">
        <v>102</v>
      </c>
      <c r="B1617" t="s">
        <v>103</v>
      </c>
      <c r="C1617">
        <v>4</v>
      </c>
      <c r="D1617">
        <v>1</v>
      </c>
      <c r="E1617">
        <v>4</v>
      </c>
      <c r="F1617">
        <v>2</v>
      </c>
      <c r="G1617" t="s">
        <v>121</v>
      </c>
      <c r="H1617" t="str">
        <f>IFERROR(ROUND(COUNTIFS(Tasks!$A:$A,$A1617,Tasks!$B:$B,$B1617,Tasks!$C:$C,$G1617,Tasks!$I:$I,"&lt;="&amp;INDEX(Weeks!$D:$D,MATCH($C1617,Weeks!$A:$A,0)),Tasks!$I:$I,"&lt;&gt;")/COUNTIFS(Tasks!$A:$A,$A1617,Tasks!$B:$B,$B1617,Tasks!$C:$C,$G1617)*100,0),"")</f>
        <v/>
      </c>
    </row>
    <row r="1618" spans="1:8" ht="15" hidden="1" customHeight="1">
      <c r="A1618" t="s">
        <v>102</v>
      </c>
      <c r="B1618" t="s">
        <v>103</v>
      </c>
      <c r="C1618">
        <v>5</v>
      </c>
      <c r="D1618">
        <v>1</v>
      </c>
      <c r="E1618">
        <v>5</v>
      </c>
      <c r="F1618">
        <v>2</v>
      </c>
      <c r="G1618" t="s">
        <v>121</v>
      </c>
      <c r="H1618" t="str">
        <f>IFERROR(ROUND(COUNTIFS(Tasks!$A:$A,$A1618,Tasks!$B:$B,$B1618,Tasks!$C:$C,$G1618,Tasks!$I:$I,"&lt;="&amp;INDEX(Weeks!$D:$D,MATCH($C1618,Weeks!$A:$A,0)),Tasks!$I:$I,"&lt;&gt;")/COUNTIFS(Tasks!$A:$A,$A1618,Tasks!$B:$B,$B1618,Tasks!$C:$C,$G1618)*100,0),"")</f>
        <v/>
      </c>
    </row>
    <row r="1619" spans="1:8" ht="15" hidden="1" customHeight="1">
      <c r="A1619" t="s">
        <v>102</v>
      </c>
      <c r="B1619" t="s">
        <v>103</v>
      </c>
      <c r="C1619">
        <v>6</v>
      </c>
      <c r="D1619">
        <v>2</v>
      </c>
      <c r="E1619">
        <v>1</v>
      </c>
      <c r="F1619">
        <v>2</v>
      </c>
      <c r="G1619" t="s">
        <v>121</v>
      </c>
      <c r="H1619" t="str">
        <f>IFERROR(ROUND(COUNTIFS(Tasks!$A:$A,$A1619,Tasks!$B:$B,$B1619,Tasks!$C:$C,$G1619,Tasks!$I:$I,"&lt;="&amp;INDEX(Weeks!$D:$D,MATCH($C1619,Weeks!$A:$A,0)),Tasks!$I:$I,"&lt;&gt;")/COUNTIFS(Tasks!$A:$A,$A1619,Tasks!$B:$B,$B1619,Tasks!$C:$C,$G1619)*100,0),"")</f>
        <v/>
      </c>
    </row>
    <row r="1620" spans="1:8" ht="15" hidden="1" customHeight="1">
      <c r="A1620" t="s">
        <v>102</v>
      </c>
      <c r="B1620" t="s">
        <v>103</v>
      </c>
      <c r="C1620">
        <v>7</v>
      </c>
      <c r="D1620">
        <v>2</v>
      </c>
      <c r="E1620">
        <v>2</v>
      </c>
      <c r="F1620">
        <v>2</v>
      </c>
      <c r="G1620" t="s">
        <v>121</v>
      </c>
      <c r="H1620" t="str">
        <f>IFERROR(ROUND(COUNTIFS(Tasks!$A:$A,$A1620,Tasks!$B:$B,$B1620,Tasks!$C:$C,$G1620,Tasks!$I:$I,"&lt;="&amp;INDEX(Weeks!$D:$D,MATCH($C1620,Weeks!$A:$A,0)),Tasks!$I:$I,"&lt;&gt;")/COUNTIFS(Tasks!$A:$A,$A1620,Tasks!$B:$B,$B1620,Tasks!$C:$C,$G1620)*100,0),"")</f>
        <v/>
      </c>
    </row>
    <row r="1621" spans="1:8" ht="15" hidden="1" customHeight="1">
      <c r="A1621" t="s">
        <v>102</v>
      </c>
      <c r="B1621" t="s">
        <v>103</v>
      </c>
      <c r="C1621">
        <v>8</v>
      </c>
      <c r="D1621">
        <v>2</v>
      </c>
      <c r="E1621">
        <v>3</v>
      </c>
      <c r="F1621">
        <v>2</v>
      </c>
      <c r="G1621" t="s">
        <v>121</v>
      </c>
      <c r="H1621" t="str">
        <f>IFERROR(ROUND(COUNTIFS(Tasks!$A:$A,$A1621,Tasks!$B:$B,$B1621,Tasks!$C:$C,$G1621,Tasks!$I:$I,"&lt;="&amp;INDEX(Weeks!$D:$D,MATCH($C1621,Weeks!$A:$A,0)),Tasks!$I:$I,"&lt;&gt;")/COUNTIFS(Tasks!$A:$A,$A1621,Tasks!$B:$B,$B1621,Tasks!$C:$C,$G1621)*100,0),"")</f>
        <v/>
      </c>
    </row>
    <row r="1622" spans="1:8" ht="15" hidden="1" customHeight="1">
      <c r="A1622" t="s">
        <v>102</v>
      </c>
      <c r="B1622" t="s">
        <v>103</v>
      </c>
      <c r="C1622">
        <v>9</v>
      </c>
      <c r="D1622">
        <v>2</v>
      </c>
      <c r="E1622">
        <v>4</v>
      </c>
      <c r="F1622">
        <v>2</v>
      </c>
      <c r="G1622" t="s">
        <v>121</v>
      </c>
      <c r="H1622" t="str">
        <f>IFERROR(ROUND(COUNTIFS(Tasks!$A:$A,$A1622,Tasks!$B:$B,$B1622,Tasks!$C:$C,$G1622,Tasks!$I:$I,"&lt;="&amp;INDEX(Weeks!$D:$D,MATCH($C1622,Weeks!$A:$A,0)),Tasks!$I:$I,"&lt;&gt;")/COUNTIFS(Tasks!$A:$A,$A1622,Tasks!$B:$B,$B1622,Tasks!$C:$C,$G1622)*100,0),"")</f>
        <v/>
      </c>
    </row>
    <row r="1623" spans="1:8" ht="15" hidden="1" customHeight="1">
      <c r="A1623" t="s">
        <v>102</v>
      </c>
      <c r="B1623" t="s">
        <v>103</v>
      </c>
      <c r="C1623">
        <v>10</v>
      </c>
      <c r="D1623">
        <v>3</v>
      </c>
      <c r="E1623">
        <v>1</v>
      </c>
      <c r="F1623">
        <v>2</v>
      </c>
      <c r="G1623" t="s">
        <v>121</v>
      </c>
      <c r="H1623" t="str">
        <f>IFERROR(ROUND(COUNTIFS(Tasks!$A:$A,$A1623,Tasks!$B:$B,$B1623,Tasks!$C:$C,$G1623,Tasks!$I:$I,"&lt;="&amp;INDEX(Weeks!$D:$D,MATCH($C1623,Weeks!$A:$A,0)),Tasks!$I:$I,"&lt;&gt;")/COUNTIFS(Tasks!$A:$A,$A1623,Tasks!$B:$B,$B1623,Tasks!$C:$C,$G1623)*100,0),"")</f>
        <v/>
      </c>
    </row>
    <row r="1624" spans="1:8" ht="15" hidden="1" customHeight="1">
      <c r="A1624" t="s">
        <v>102</v>
      </c>
      <c r="B1624" t="s">
        <v>103</v>
      </c>
      <c r="C1624">
        <v>11</v>
      </c>
      <c r="D1624">
        <v>3</v>
      </c>
      <c r="E1624">
        <v>2</v>
      </c>
      <c r="F1624">
        <v>2</v>
      </c>
      <c r="G1624" t="s">
        <v>121</v>
      </c>
      <c r="H1624" t="str">
        <f>IFERROR(ROUND(COUNTIFS(Tasks!$A:$A,$A1624,Tasks!$B:$B,$B1624,Tasks!$C:$C,$G1624,Tasks!$I:$I,"&lt;="&amp;INDEX(Weeks!$D:$D,MATCH($C1624,Weeks!$A:$A,0)),Tasks!$I:$I,"&lt;&gt;")/COUNTIFS(Tasks!$A:$A,$A1624,Tasks!$B:$B,$B1624,Tasks!$C:$C,$G1624)*100,0),"")</f>
        <v/>
      </c>
    </row>
    <row r="1625" spans="1:8" ht="15" hidden="1" customHeight="1">
      <c r="A1625" t="s">
        <v>102</v>
      </c>
      <c r="B1625" t="s">
        <v>103</v>
      </c>
      <c r="C1625">
        <v>12</v>
      </c>
      <c r="D1625">
        <v>3</v>
      </c>
      <c r="E1625">
        <v>3</v>
      </c>
      <c r="F1625">
        <v>2</v>
      </c>
      <c r="G1625" t="s">
        <v>121</v>
      </c>
      <c r="H1625" t="str">
        <f>IFERROR(ROUND(COUNTIFS(Tasks!$A:$A,$A1625,Tasks!$B:$B,$B1625,Tasks!$C:$C,$G1625,Tasks!$I:$I,"&lt;="&amp;INDEX(Weeks!$D:$D,MATCH($C1625,Weeks!$A:$A,0)),Tasks!$I:$I,"&lt;&gt;")/COUNTIFS(Tasks!$A:$A,$A1625,Tasks!$B:$B,$B1625,Tasks!$C:$C,$G1625)*100,0),"")</f>
        <v/>
      </c>
    </row>
    <row r="1626" spans="1:8" ht="15" hidden="1" customHeight="1">
      <c r="A1626" t="s">
        <v>102</v>
      </c>
      <c r="B1626" t="s">
        <v>103</v>
      </c>
      <c r="C1626">
        <v>13</v>
      </c>
      <c r="D1626">
        <v>3</v>
      </c>
      <c r="E1626">
        <v>4</v>
      </c>
      <c r="F1626">
        <v>2</v>
      </c>
      <c r="G1626" t="s">
        <v>121</v>
      </c>
      <c r="H1626" t="str">
        <f>IFERROR(ROUND(COUNTIFS(Tasks!$A:$A,$A1626,Tasks!$B:$B,$B1626,Tasks!$C:$C,$G1626,Tasks!$I:$I,"&lt;="&amp;INDEX(Weeks!$D:$D,MATCH($C1626,Weeks!$A:$A,0)),Tasks!$I:$I,"&lt;&gt;")/COUNTIFS(Tasks!$A:$A,$A1626,Tasks!$B:$B,$B1626,Tasks!$C:$C,$G1626)*100,0),"")</f>
        <v/>
      </c>
    </row>
    <row r="1627" spans="1:8" ht="15" hidden="1" customHeight="1">
      <c r="A1627" t="s">
        <v>102</v>
      </c>
      <c r="B1627" t="s">
        <v>103</v>
      </c>
      <c r="C1627">
        <v>14</v>
      </c>
      <c r="D1627">
        <v>4</v>
      </c>
      <c r="E1627">
        <v>1</v>
      </c>
      <c r="F1627">
        <v>2</v>
      </c>
      <c r="G1627" t="s">
        <v>121</v>
      </c>
      <c r="H1627" t="str">
        <f>IFERROR(ROUND(COUNTIFS(Tasks!$A:$A,$A1627,Tasks!$B:$B,$B1627,Tasks!$C:$C,$G1627,Tasks!$I:$I,"&lt;="&amp;INDEX(Weeks!$D:$D,MATCH($C1627,Weeks!$A:$A,0)),Tasks!$I:$I,"&lt;&gt;")/COUNTIFS(Tasks!$A:$A,$A1627,Tasks!$B:$B,$B1627,Tasks!$C:$C,$G1627)*100,0),"")</f>
        <v/>
      </c>
    </row>
    <row r="1628" spans="1:8" ht="15" hidden="1" customHeight="1">
      <c r="A1628" t="s">
        <v>102</v>
      </c>
      <c r="B1628" t="s">
        <v>103</v>
      </c>
      <c r="C1628">
        <v>15</v>
      </c>
      <c r="D1628">
        <v>4</v>
      </c>
      <c r="E1628">
        <v>2</v>
      </c>
      <c r="F1628">
        <v>2</v>
      </c>
      <c r="G1628" t="s">
        <v>121</v>
      </c>
      <c r="H1628" t="str">
        <f>IFERROR(ROUND(COUNTIFS(Tasks!$A:$A,$A1628,Tasks!$B:$B,$B1628,Tasks!$C:$C,$G1628,Tasks!$I:$I,"&lt;="&amp;INDEX(Weeks!$D:$D,MATCH($C1628,Weeks!$A:$A,0)),Tasks!$I:$I,"&lt;&gt;")/COUNTIFS(Tasks!$A:$A,$A1628,Tasks!$B:$B,$B1628,Tasks!$C:$C,$G1628)*100,0),"")</f>
        <v/>
      </c>
    </row>
    <row r="1629" spans="1:8" ht="15" hidden="1" customHeight="1">
      <c r="A1629" t="s">
        <v>102</v>
      </c>
      <c r="B1629" t="s">
        <v>103</v>
      </c>
      <c r="C1629">
        <v>16</v>
      </c>
      <c r="D1629">
        <v>4</v>
      </c>
      <c r="E1629">
        <v>3</v>
      </c>
      <c r="F1629">
        <v>2</v>
      </c>
      <c r="G1629" t="s">
        <v>121</v>
      </c>
      <c r="H1629" t="str">
        <f>IFERROR(ROUND(COUNTIFS(Tasks!$A:$A,$A1629,Tasks!$B:$B,$B1629,Tasks!$C:$C,$G1629,Tasks!$I:$I,"&lt;="&amp;INDEX(Weeks!$D:$D,MATCH($C1629,Weeks!$A:$A,0)),Tasks!$I:$I,"&lt;&gt;")/COUNTIFS(Tasks!$A:$A,$A1629,Tasks!$B:$B,$B1629,Tasks!$C:$C,$G1629)*100,0),"")</f>
        <v/>
      </c>
    </row>
    <row r="1630" spans="1:8" ht="15" hidden="1" customHeight="1">
      <c r="A1630" t="s">
        <v>102</v>
      </c>
      <c r="B1630" t="s">
        <v>103</v>
      </c>
      <c r="C1630">
        <v>17</v>
      </c>
      <c r="D1630">
        <v>4</v>
      </c>
      <c r="E1630">
        <v>4</v>
      </c>
      <c r="F1630">
        <v>2</v>
      </c>
      <c r="G1630" t="s">
        <v>121</v>
      </c>
      <c r="H1630" t="str">
        <f>IFERROR(ROUND(COUNTIFS(Tasks!$A:$A,$A1630,Tasks!$B:$B,$B1630,Tasks!$C:$C,$G1630,Tasks!$I:$I,"&lt;="&amp;INDEX(Weeks!$D:$D,MATCH($C1630,Weeks!$A:$A,0)),Tasks!$I:$I,"&lt;&gt;")/COUNTIFS(Tasks!$A:$A,$A1630,Tasks!$B:$B,$B1630,Tasks!$C:$C,$G1630)*100,0),"")</f>
        <v/>
      </c>
    </row>
    <row r="1631" spans="1:8" ht="15" hidden="1" customHeight="1">
      <c r="A1631" t="s">
        <v>102</v>
      </c>
      <c r="B1631" t="s">
        <v>103</v>
      </c>
      <c r="C1631">
        <v>18</v>
      </c>
      <c r="D1631">
        <v>5</v>
      </c>
      <c r="E1631">
        <v>1</v>
      </c>
      <c r="F1631">
        <v>2</v>
      </c>
      <c r="G1631" t="s">
        <v>121</v>
      </c>
      <c r="H1631" t="str">
        <f>IFERROR(ROUND(COUNTIFS(Tasks!$A:$A,$A1631,Tasks!$B:$B,$B1631,Tasks!$C:$C,$G1631,Tasks!$I:$I,"&lt;="&amp;INDEX(Weeks!$D:$D,MATCH($C1631,Weeks!$A:$A,0)),Tasks!$I:$I,"&lt;&gt;")/COUNTIFS(Tasks!$A:$A,$A1631,Tasks!$B:$B,$B1631,Tasks!$C:$C,$G1631)*100,0),"")</f>
        <v/>
      </c>
    </row>
    <row r="1632" spans="1:8" ht="15" hidden="1" customHeight="1">
      <c r="A1632" t="s">
        <v>102</v>
      </c>
      <c r="B1632" t="s">
        <v>103</v>
      </c>
      <c r="C1632">
        <v>19</v>
      </c>
      <c r="D1632">
        <v>5</v>
      </c>
      <c r="E1632">
        <v>2</v>
      </c>
      <c r="F1632">
        <v>2</v>
      </c>
      <c r="G1632" t="s">
        <v>121</v>
      </c>
      <c r="H1632" t="str">
        <f>IFERROR(ROUND(COUNTIFS(Tasks!$A:$A,$A1632,Tasks!$B:$B,$B1632,Tasks!$C:$C,$G1632,Tasks!$I:$I,"&lt;="&amp;INDEX(Weeks!$D:$D,MATCH($C1632,Weeks!$A:$A,0)),Tasks!$I:$I,"&lt;&gt;")/COUNTIFS(Tasks!$A:$A,$A1632,Tasks!$B:$B,$B1632,Tasks!$C:$C,$G1632)*100,0),"")</f>
        <v/>
      </c>
    </row>
    <row r="1633" spans="1:8" ht="15" hidden="1" customHeight="1">
      <c r="A1633" t="s">
        <v>102</v>
      </c>
      <c r="B1633" t="s">
        <v>103</v>
      </c>
      <c r="C1633">
        <v>20</v>
      </c>
      <c r="D1633">
        <v>5</v>
      </c>
      <c r="E1633">
        <v>3</v>
      </c>
      <c r="F1633">
        <v>2</v>
      </c>
      <c r="G1633" t="s">
        <v>121</v>
      </c>
      <c r="H1633" t="str">
        <f>IFERROR(ROUND(COUNTIFS(Tasks!$A:$A,$A1633,Tasks!$B:$B,$B1633,Tasks!$C:$C,$G1633,Tasks!$I:$I,"&lt;="&amp;INDEX(Weeks!$D:$D,MATCH($C1633,Weeks!$A:$A,0)),Tasks!$I:$I,"&lt;&gt;")/COUNTIFS(Tasks!$A:$A,$A1633,Tasks!$B:$B,$B1633,Tasks!$C:$C,$G1633)*100,0),"")</f>
        <v/>
      </c>
    </row>
    <row r="1634" spans="1:8" ht="15" hidden="1" customHeight="1">
      <c r="A1634" t="s">
        <v>102</v>
      </c>
      <c r="B1634" t="s">
        <v>103</v>
      </c>
      <c r="C1634">
        <v>21</v>
      </c>
      <c r="D1634">
        <v>5</v>
      </c>
      <c r="E1634">
        <v>4</v>
      </c>
      <c r="F1634">
        <v>2</v>
      </c>
      <c r="G1634" t="s">
        <v>121</v>
      </c>
      <c r="H1634" t="str">
        <f>IFERROR(ROUND(COUNTIFS(Tasks!$A:$A,$A1634,Tasks!$B:$B,$B1634,Tasks!$C:$C,$G1634,Tasks!$I:$I,"&lt;="&amp;INDEX(Weeks!$D:$D,MATCH($C1634,Weeks!$A:$A,0)),Tasks!$I:$I,"&lt;&gt;")/COUNTIFS(Tasks!$A:$A,$A1634,Tasks!$B:$B,$B1634,Tasks!$C:$C,$G1634)*100,0),"")</f>
        <v/>
      </c>
    </row>
    <row r="1635" spans="1:8" ht="15" hidden="1" customHeight="1">
      <c r="A1635" t="s">
        <v>102</v>
      </c>
      <c r="B1635" t="s">
        <v>103</v>
      </c>
      <c r="C1635">
        <v>22</v>
      </c>
      <c r="D1635">
        <v>5</v>
      </c>
      <c r="E1635">
        <v>5</v>
      </c>
      <c r="F1635">
        <v>2</v>
      </c>
      <c r="G1635" t="s">
        <v>121</v>
      </c>
      <c r="H1635" t="str">
        <f>IFERROR(ROUND(COUNTIFS(Tasks!$A:$A,$A1635,Tasks!$B:$B,$B1635,Tasks!$C:$C,$G1635,Tasks!$I:$I,"&lt;="&amp;INDEX(Weeks!$D:$D,MATCH($C1635,Weeks!$A:$A,0)),Tasks!$I:$I,"&lt;&gt;")/COUNTIFS(Tasks!$A:$A,$A1635,Tasks!$B:$B,$B1635,Tasks!$C:$C,$G1635)*100,0),"")</f>
        <v/>
      </c>
    </row>
    <row r="1636" spans="1:8" ht="15" hidden="1" customHeight="1">
      <c r="A1636" t="s">
        <v>102</v>
      </c>
      <c r="B1636" t="s">
        <v>103</v>
      </c>
      <c r="C1636">
        <v>23</v>
      </c>
      <c r="D1636">
        <v>6</v>
      </c>
      <c r="E1636">
        <v>1</v>
      </c>
      <c r="F1636">
        <v>2</v>
      </c>
      <c r="G1636" t="s">
        <v>121</v>
      </c>
      <c r="H1636" t="str">
        <f>IFERROR(ROUND(COUNTIFS(Tasks!$A:$A,$A1636,Tasks!$B:$B,$B1636,Tasks!$C:$C,$G1636,Tasks!$I:$I,"&lt;="&amp;INDEX(Weeks!$D:$D,MATCH($C1636,Weeks!$A:$A,0)),Tasks!$I:$I,"&lt;&gt;")/COUNTIFS(Tasks!$A:$A,$A1636,Tasks!$B:$B,$B1636,Tasks!$C:$C,$G1636)*100,0),"")</f>
        <v/>
      </c>
    </row>
    <row r="1637" spans="1:8" ht="15" hidden="1" customHeight="1">
      <c r="A1637" t="s">
        <v>102</v>
      </c>
      <c r="B1637" t="s">
        <v>103</v>
      </c>
      <c r="C1637">
        <v>24</v>
      </c>
      <c r="D1637">
        <v>6</v>
      </c>
      <c r="E1637">
        <v>2</v>
      </c>
      <c r="F1637">
        <v>2</v>
      </c>
      <c r="G1637" t="s">
        <v>121</v>
      </c>
      <c r="H1637" t="str">
        <f>IFERROR(ROUND(COUNTIFS(Tasks!$A:$A,$A1637,Tasks!$B:$B,$B1637,Tasks!$C:$C,$G1637,Tasks!$I:$I,"&lt;="&amp;INDEX(Weeks!$D:$D,MATCH($C1637,Weeks!$A:$A,0)),Tasks!$I:$I,"&lt;&gt;")/COUNTIFS(Tasks!$A:$A,$A1637,Tasks!$B:$B,$B1637,Tasks!$C:$C,$G1637)*100,0),"")</f>
        <v/>
      </c>
    </row>
    <row r="1638" spans="1:8" ht="15" hidden="1" customHeight="1">
      <c r="A1638" t="s">
        <v>102</v>
      </c>
      <c r="B1638" t="s">
        <v>103</v>
      </c>
      <c r="C1638">
        <v>25</v>
      </c>
      <c r="D1638">
        <v>6</v>
      </c>
      <c r="E1638">
        <v>3</v>
      </c>
      <c r="F1638">
        <v>2</v>
      </c>
      <c r="G1638" t="s">
        <v>121</v>
      </c>
      <c r="H1638" t="str">
        <f>IFERROR(ROUND(COUNTIFS(Tasks!$A:$A,$A1638,Tasks!$B:$B,$B1638,Tasks!$C:$C,$G1638,Tasks!$I:$I,"&lt;="&amp;INDEX(Weeks!$D:$D,MATCH($C1638,Weeks!$A:$A,0)),Tasks!$I:$I,"&lt;&gt;")/COUNTIFS(Tasks!$A:$A,$A1638,Tasks!$B:$B,$B1638,Tasks!$C:$C,$G1638)*100,0),"")</f>
        <v/>
      </c>
    </row>
    <row r="1639" spans="1:8" ht="15" hidden="1" customHeight="1">
      <c r="A1639" t="s">
        <v>102</v>
      </c>
      <c r="B1639" t="s">
        <v>103</v>
      </c>
      <c r="C1639">
        <v>26</v>
      </c>
      <c r="D1639">
        <v>6</v>
      </c>
      <c r="E1639">
        <v>4</v>
      </c>
      <c r="F1639">
        <v>2</v>
      </c>
      <c r="G1639" t="s">
        <v>121</v>
      </c>
      <c r="H1639" t="str">
        <f>IFERROR(ROUND(COUNTIFS(Tasks!$A:$A,$A1639,Tasks!$B:$B,$B1639,Tasks!$C:$C,$G1639,Tasks!$I:$I,"&lt;="&amp;INDEX(Weeks!$D:$D,MATCH($C1639,Weeks!$A:$A,0)),Tasks!$I:$I,"&lt;&gt;")/COUNTIFS(Tasks!$A:$A,$A1639,Tasks!$B:$B,$B1639,Tasks!$C:$C,$G1639)*100,0),"")</f>
        <v/>
      </c>
    </row>
    <row r="1640" spans="1:8" ht="15" hidden="1" customHeight="1">
      <c r="A1640" t="s">
        <v>102</v>
      </c>
      <c r="B1640" t="s">
        <v>103</v>
      </c>
      <c r="C1640">
        <v>27</v>
      </c>
      <c r="D1640">
        <v>7</v>
      </c>
      <c r="E1640">
        <v>1</v>
      </c>
      <c r="F1640">
        <v>2</v>
      </c>
      <c r="G1640" t="s">
        <v>121</v>
      </c>
      <c r="H1640" t="str">
        <f>IFERROR(ROUND(COUNTIFS(Tasks!$A:$A,$A1640,Tasks!$B:$B,$B1640,Tasks!$C:$C,$G1640,Tasks!$I:$I,"&lt;="&amp;INDEX(Weeks!$D:$D,MATCH($C1640,Weeks!$A:$A,0)),Tasks!$I:$I,"&lt;&gt;")/COUNTIFS(Tasks!$A:$A,$A1640,Tasks!$B:$B,$B1640,Tasks!$C:$C,$G1640)*100,0),"")</f>
        <v/>
      </c>
    </row>
    <row r="1641" spans="1:8" ht="15" hidden="1" customHeight="1">
      <c r="A1641" t="s">
        <v>102</v>
      </c>
      <c r="B1641" t="s">
        <v>103</v>
      </c>
      <c r="C1641">
        <v>28</v>
      </c>
      <c r="D1641">
        <v>7</v>
      </c>
      <c r="E1641">
        <v>2</v>
      </c>
      <c r="F1641">
        <v>2</v>
      </c>
      <c r="G1641" t="s">
        <v>121</v>
      </c>
      <c r="H1641" t="str">
        <f>IFERROR(ROUND(COUNTIFS(Tasks!$A:$A,$A1641,Tasks!$B:$B,$B1641,Tasks!$C:$C,$G1641,Tasks!$I:$I,"&lt;="&amp;INDEX(Weeks!$D:$D,MATCH($C1641,Weeks!$A:$A,0)),Tasks!$I:$I,"&lt;&gt;")/COUNTIFS(Tasks!$A:$A,$A1641,Tasks!$B:$B,$B1641,Tasks!$C:$C,$G1641)*100,0),"")</f>
        <v/>
      </c>
    </row>
    <row r="1642" spans="1:8" ht="15" hidden="1" customHeight="1">
      <c r="A1642" t="s">
        <v>102</v>
      </c>
      <c r="B1642" t="s">
        <v>103</v>
      </c>
      <c r="C1642">
        <v>29</v>
      </c>
      <c r="D1642">
        <v>7</v>
      </c>
      <c r="E1642">
        <v>3</v>
      </c>
      <c r="F1642">
        <v>2</v>
      </c>
      <c r="G1642" t="s">
        <v>121</v>
      </c>
      <c r="H1642" t="str">
        <f>IFERROR(ROUND(COUNTIFS(Tasks!$A:$A,$A1642,Tasks!$B:$B,$B1642,Tasks!$C:$C,$G1642,Tasks!$I:$I,"&lt;="&amp;INDEX(Weeks!$D:$D,MATCH($C1642,Weeks!$A:$A,0)),Tasks!$I:$I,"&lt;&gt;")/COUNTIFS(Tasks!$A:$A,$A1642,Tasks!$B:$B,$B1642,Tasks!$C:$C,$G1642)*100,0),"")</f>
        <v/>
      </c>
    </row>
    <row r="1643" spans="1:8" ht="15" hidden="1" customHeight="1">
      <c r="A1643" t="s">
        <v>102</v>
      </c>
      <c r="B1643" t="s">
        <v>103</v>
      </c>
      <c r="C1643">
        <v>30</v>
      </c>
      <c r="D1643">
        <v>7</v>
      </c>
      <c r="E1643">
        <v>4</v>
      </c>
      <c r="F1643">
        <v>2</v>
      </c>
      <c r="G1643" t="s">
        <v>121</v>
      </c>
      <c r="H1643" t="str">
        <f>IFERROR(ROUND(COUNTIFS(Tasks!$A:$A,$A1643,Tasks!$B:$B,$B1643,Tasks!$C:$C,$G1643,Tasks!$I:$I,"&lt;="&amp;INDEX(Weeks!$D:$D,MATCH($C1643,Weeks!$A:$A,0)),Tasks!$I:$I,"&lt;&gt;")/COUNTIFS(Tasks!$A:$A,$A1643,Tasks!$B:$B,$B1643,Tasks!$C:$C,$G1643)*100,0),"")</f>
        <v/>
      </c>
    </row>
    <row r="1644" spans="1:8" ht="15" hidden="1" customHeight="1">
      <c r="A1644" t="s">
        <v>102</v>
      </c>
      <c r="B1644" t="s">
        <v>103</v>
      </c>
      <c r="C1644">
        <v>31</v>
      </c>
      <c r="D1644">
        <v>8</v>
      </c>
      <c r="E1644">
        <v>1</v>
      </c>
      <c r="F1644">
        <v>2</v>
      </c>
      <c r="G1644" t="s">
        <v>121</v>
      </c>
      <c r="H1644" t="str">
        <f>IFERROR(ROUND(COUNTIFS(Tasks!$A:$A,$A1644,Tasks!$B:$B,$B1644,Tasks!$C:$C,$G1644,Tasks!$I:$I,"&lt;="&amp;INDEX(Weeks!$D:$D,MATCH($C1644,Weeks!$A:$A,0)),Tasks!$I:$I,"&lt;&gt;")/COUNTIFS(Tasks!$A:$A,$A1644,Tasks!$B:$B,$B1644,Tasks!$C:$C,$G1644)*100,0),"")</f>
        <v/>
      </c>
    </row>
    <row r="1645" spans="1:8" ht="15" hidden="1" customHeight="1">
      <c r="A1645" t="s">
        <v>102</v>
      </c>
      <c r="B1645" t="s">
        <v>103</v>
      </c>
      <c r="C1645">
        <v>32</v>
      </c>
      <c r="D1645">
        <v>8</v>
      </c>
      <c r="E1645">
        <v>2</v>
      </c>
      <c r="F1645">
        <v>2</v>
      </c>
      <c r="G1645" t="s">
        <v>121</v>
      </c>
      <c r="H1645" t="str">
        <f>IFERROR(ROUND(COUNTIFS(Tasks!$A:$A,$A1645,Tasks!$B:$B,$B1645,Tasks!$C:$C,$G1645,Tasks!$I:$I,"&lt;="&amp;INDEX(Weeks!$D:$D,MATCH($C1645,Weeks!$A:$A,0)),Tasks!$I:$I,"&lt;&gt;")/COUNTIFS(Tasks!$A:$A,$A1645,Tasks!$B:$B,$B1645,Tasks!$C:$C,$G1645)*100,0),"")</f>
        <v/>
      </c>
    </row>
    <row r="1646" spans="1:8" ht="15" hidden="1" customHeight="1">
      <c r="A1646" t="s">
        <v>102</v>
      </c>
      <c r="B1646" t="s">
        <v>103</v>
      </c>
      <c r="C1646">
        <v>33</v>
      </c>
      <c r="D1646">
        <v>8</v>
      </c>
      <c r="E1646">
        <v>3</v>
      </c>
      <c r="F1646">
        <v>2</v>
      </c>
      <c r="G1646" t="s">
        <v>121</v>
      </c>
      <c r="H1646" t="str">
        <f>IFERROR(ROUND(COUNTIFS(Tasks!$A:$A,$A1646,Tasks!$B:$B,$B1646,Tasks!$C:$C,$G1646,Tasks!$I:$I,"&lt;="&amp;INDEX(Weeks!$D:$D,MATCH($C1646,Weeks!$A:$A,0)),Tasks!$I:$I,"&lt;&gt;")/COUNTIFS(Tasks!$A:$A,$A1646,Tasks!$B:$B,$B1646,Tasks!$C:$C,$G1646)*100,0),"")</f>
        <v/>
      </c>
    </row>
    <row r="1647" spans="1:8" ht="15" hidden="1" customHeight="1">
      <c r="A1647" t="s">
        <v>102</v>
      </c>
      <c r="B1647" t="s">
        <v>103</v>
      </c>
      <c r="C1647">
        <v>34</v>
      </c>
      <c r="D1647">
        <v>8</v>
      </c>
      <c r="E1647">
        <v>4</v>
      </c>
      <c r="F1647">
        <v>2</v>
      </c>
      <c r="G1647" t="s">
        <v>121</v>
      </c>
      <c r="H1647" t="str">
        <f>IFERROR(ROUND(COUNTIFS(Tasks!$A:$A,$A1647,Tasks!$B:$B,$B1647,Tasks!$C:$C,$G1647,Tasks!$I:$I,"&lt;="&amp;INDEX(Weeks!$D:$D,MATCH($C1647,Weeks!$A:$A,0)),Tasks!$I:$I,"&lt;&gt;")/COUNTIFS(Tasks!$A:$A,$A1647,Tasks!$B:$B,$B1647,Tasks!$C:$C,$G1647)*100,0),"")</f>
        <v/>
      </c>
    </row>
    <row r="1648" spans="1:8" ht="15" hidden="1" customHeight="1">
      <c r="A1648" t="s">
        <v>102</v>
      </c>
      <c r="B1648" t="s">
        <v>103</v>
      </c>
      <c r="C1648">
        <v>35</v>
      </c>
      <c r="D1648">
        <v>8</v>
      </c>
      <c r="E1648">
        <v>5</v>
      </c>
      <c r="F1648">
        <v>2</v>
      </c>
      <c r="G1648" t="s">
        <v>121</v>
      </c>
      <c r="H1648" t="str">
        <f>IFERROR(ROUND(COUNTIFS(Tasks!$A:$A,$A1648,Tasks!$B:$B,$B1648,Tasks!$C:$C,$G1648,Tasks!$I:$I,"&lt;="&amp;INDEX(Weeks!$D:$D,MATCH($C1648,Weeks!$A:$A,0)),Tasks!$I:$I,"&lt;&gt;")/COUNTIFS(Tasks!$A:$A,$A1648,Tasks!$B:$B,$B1648,Tasks!$C:$C,$G1648)*100,0),"")</f>
        <v/>
      </c>
    </row>
    <row r="1649" spans="1:8" ht="15" hidden="1" customHeight="1">
      <c r="A1649" t="s">
        <v>102</v>
      </c>
      <c r="B1649" t="s">
        <v>103</v>
      </c>
      <c r="C1649">
        <v>36</v>
      </c>
      <c r="D1649">
        <v>9</v>
      </c>
      <c r="E1649">
        <v>1</v>
      </c>
      <c r="F1649">
        <v>2</v>
      </c>
      <c r="G1649" t="s">
        <v>121</v>
      </c>
      <c r="H1649" t="str">
        <f>IFERROR(ROUND(COUNTIFS(Tasks!$A:$A,$A1649,Tasks!$B:$B,$B1649,Tasks!$C:$C,$G1649,Tasks!$I:$I,"&lt;="&amp;INDEX(Weeks!$D:$D,MATCH($C1649,Weeks!$A:$A,0)),Tasks!$I:$I,"&lt;&gt;")/COUNTIFS(Tasks!$A:$A,$A1649,Tasks!$B:$B,$B1649,Tasks!$C:$C,$G1649)*100,0),"")</f>
        <v/>
      </c>
    </row>
    <row r="1650" spans="1:8" ht="15" hidden="1" customHeight="1">
      <c r="A1650" t="s">
        <v>102</v>
      </c>
      <c r="B1650" t="s">
        <v>103</v>
      </c>
      <c r="C1650">
        <v>37</v>
      </c>
      <c r="D1650">
        <v>9</v>
      </c>
      <c r="E1650">
        <v>2</v>
      </c>
      <c r="F1650">
        <v>2</v>
      </c>
      <c r="G1650" t="s">
        <v>121</v>
      </c>
      <c r="H1650" t="str">
        <f>IFERROR(ROUND(COUNTIFS(Tasks!$A:$A,$A1650,Tasks!$B:$B,$B1650,Tasks!$C:$C,$G1650,Tasks!$I:$I,"&lt;="&amp;INDEX(Weeks!$D:$D,MATCH($C1650,Weeks!$A:$A,0)),Tasks!$I:$I,"&lt;&gt;")/COUNTIFS(Tasks!$A:$A,$A1650,Tasks!$B:$B,$B1650,Tasks!$C:$C,$G1650)*100,0),"")</f>
        <v/>
      </c>
    </row>
    <row r="1651" spans="1:8" ht="15" hidden="1" customHeight="1">
      <c r="A1651" t="s">
        <v>102</v>
      </c>
      <c r="B1651" t="s">
        <v>103</v>
      </c>
      <c r="C1651">
        <v>38</v>
      </c>
      <c r="D1651">
        <v>9</v>
      </c>
      <c r="E1651">
        <v>3</v>
      </c>
      <c r="F1651">
        <v>2</v>
      </c>
      <c r="G1651" t="s">
        <v>121</v>
      </c>
      <c r="H1651" t="str">
        <f>IFERROR(ROUND(COUNTIFS(Tasks!$A:$A,$A1651,Tasks!$B:$B,$B1651,Tasks!$C:$C,$G1651,Tasks!$I:$I,"&lt;="&amp;INDEX(Weeks!$D:$D,MATCH($C1651,Weeks!$A:$A,0)),Tasks!$I:$I,"&lt;&gt;")/COUNTIFS(Tasks!$A:$A,$A1651,Tasks!$B:$B,$B1651,Tasks!$C:$C,$G1651)*100,0),"")</f>
        <v/>
      </c>
    </row>
    <row r="1652" spans="1:8" ht="15" hidden="1" customHeight="1">
      <c r="A1652" t="s">
        <v>102</v>
      </c>
      <c r="B1652" t="s">
        <v>103</v>
      </c>
      <c r="C1652">
        <v>39</v>
      </c>
      <c r="D1652">
        <v>9</v>
      </c>
      <c r="E1652">
        <v>4</v>
      </c>
      <c r="F1652">
        <v>2</v>
      </c>
      <c r="G1652" t="s">
        <v>121</v>
      </c>
      <c r="H1652" t="str">
        <f>IFERROR(ROUND(COUNTIFS(Tasks!$A:$A,$A1652,Tasks!$B:$B,$B1652,Tasks!$C:$C,$G1652,Tasks!$I:$I,"&lt;="&amp;INDEX(Weeks!$D:$D,MATCH($C1652,Weeks!$A:$A,0)),Tasks!$I:$I,"&lt;&gt;")/COUNTIFS(Tasks!$A:$A,$A1652,Tasks!$B:$B,$B1652,Tasks!$C:$C,$G1652)*100,0),"")</f>
        <v/>
      </c>
    </row>
    <row r="1653" spans="1:8" ht="15" hidden="1" customHeight="1">
      <c r="A1653" t="s">
        <v>102</v>
      </c>
      <c r="B1653" t="s">
        <v>103</v>
      </c>
      <c r="C1653">
        <v>40</v>
      </c>
      <c r="D1653">
        <v>10</v>
      </c>
      <c r="E1653">
        <v>1</v>
      </c>
      <c r="F1653">
        <v>2</v>
      </c>
      <c r="G1653" t="s">
        <v>121</v>
      </c>
      <c r="H1653" t="str">
        <f>IFERROR(ROUND(COUNTIFS(Tasks!$A:$A,$A1653,Tasks!$B:$B,$B1653,Tasks!$C:$C,$G1653,Tasks!$I:$I,"&lt;="&amp;INDEX(Weeks!$D:$D,MATCH($C1653,Weeks!$A:$A,0)),Tasks!$I:$I,"&lt;&gt;")/COUNTIFS(Tasks!$A:$A,$A1653,Tasks!$B:$B,$B1653,Tasks!$C:$C,$G1653)*100,0),"")</f>
        <v/>
      </c>
    </row>
    <row r="1654" spans="1:8" ht="15" hidden="1" customHeight="1">
      <c r="A1654" t="s">
        <v>102</v>
      </c>
      <c r="B1654" t="s">
        <v>103</v>
      </c>
      <c r="C1654">
        <v>41</v>
      </c>
      <c r="D1654">
        <v>10</v>
      </c>
      <c r="E1654">
        <v>2</v>
      </c>
      <c r="F1654">
        <v>2</v>
      </c>
      <c r="G1654" t="s">
        <v>121</v>
      </c>
      <c r="H1654" t="str">
        <f>IFERROR(ROUND(COUNTIFS(Tasks!$A:$A,$A1654,Tasks!$B:$B,$B1654,Tasks!$C:$C,$G1654,Tasks!$I:$I,"&lt;="&amp;INDEX(Weeks!$D:$D,MATCH($C1654,Weeks!$A:$A,0)),Tasks!$I:$I,"&lt;&gt;")/COUNTIFS(Tasks!$A:$A,$A1654,Tasks!$B:$B,$B1654,Tasks!$C:$C,$G1654)*100,0),"")</f>
        <v/>
      </c>
    </row>
    <row r="1655" spans="1:8" ht="15" hidden="1" customHeight="1">
      <c r="A1655" t="s">
        <v>102</v>
      </c>
      <c r="B1655" t="s">
        <v>103</v>
      </c>
      <c r="C1655">
        <v>42</v>
      </c>
      <c r="D1655">
        <v>10</v>
      </c>
      <c r="E1655">
        <v>3</v>
      </c>
      <c r="F1655">
        <v>2</v>
      </c>
      <c r="G1655" t="s">
        <v>121</v>
      </c>
      <c r="H1655" t="str">
        <f>IFERROR(ROUND(COUNTIFS(Tasks!$A:$A,$A1655,Tasks!$B:$B,$B1655,Tasks!$C:$C,$G1655,Tasks!$I:$I,"&lt;="&amp;INDEX(Weeks!$D:$D,MATCH($C1655,Weeks!$A:$A,0)),Tasks!$I:$I,"&lt;&gt;")/COUNTIFS(Tasks!$A:$A,$A1655,Tasks!$B:$B,$B1655,Tasks!$C:$C,$G1655)*100,0),"")</f>
        <v/>
      </c>
    </row>
    <row r="1656" spans="1:8" ht="15" hidden="1" customHeight="1">
      <c r="A1656" t="s">
        <v>102</v>
      </c>
      <c r="B1656" t="s">
        <v>103</v>
      </c>
      <c r="C1656">
        <v>43</v>
      </c>
      <c r="D1656">
        <v>10</v>
      </c>
      <c r="E1656">
        <v>4</v>
      </c>
      <c r="F1656">
        <v>2</v>
      </c>
      <c r="G1656" t="s">
        <v>121</v>
      </c>
      <c r="H1656" t="str">
        <f>IFERROR(ROUND(COUNTIFS(Tasks!$A:$A,$A1656,Tasks!$B:$B,$B1656,Tasks!$C:$C,$G1656,Tasks!$I:$I,"&lt;="&amp;INDEX(Weeks!$D:$D,MATCH($C1656,Weeks!$A:$A,0)),Tasks!$I:$I,"&lt;&gt;")/COUNTIFS(Tasks!$A:$A,$A1656,Tasks!$B:$B,$B1656,Tasks!$C:$C,$G1656)*100,0),"")</f>
        <v/>
      </c>
    </row>
    <row r="1657" spans="1:8" ht="15" hidden="1" customHeight="1">
      <c r="A1657" t="s">
        <v>102</v>
      </c>
      <c r="B1657" t="s">
        <v>103</v>
      </c>
      <c r="C1657">
        <v>44</v>
      </c>
      <c r="D1657">
        <v>10</v>
      </c>
      <c r="E1657">
        <v>5</v>
      </c>
      <c r="F1657">
        <v>2</v>
      </c>
      <c r="G1657" t="s">
        <v>121</v>
      </c>
      <c r="H1657" t="str">
        <f>IFERROR(ROUND(COUNTIFS(Tasks!$A:$A,$A1657,Tasks!$B:$B,$B1657,Tasks!$C:$C,$G1657,Tasks!$I:$I,"&lt;="&amp;INDEX(Weeks!$D:$D,MATCH($C1657,Weeks!$A:$A,0)),Tasks!$I:$I,"&lt;&gt;")/COUNTIFS(Tasks!$A:$A,$A1657,Tasks!$B:$B,$B1657,Tasks!$C:$C,$G1657)*100,0),"")</f>
        <v/>
      </c>
    </row>
    <row r="1658" spans="1:8" ht="15" hidden="1" customHeight="1">
      <c r="A1658" t="s">
        <v>102</v>
      </c>
      <c r="B1658" t="s">
        <v>103</v>
      </c>
      <c r="C1658">
        <v>45</v>
      </c>
      <c r="D1658">
        <v>11</v>
      </c>
      <c r="E1658">
        <v>1</v>
      </c>
      <c r="F1658">
        <v>2</v>
      </c>
      <c r="G1658" t="s">
        <v>121</v>
      </c>
      <c r="H1658" t="str">
        <f>IFERROR(ROUND(COUNTIFS(Tasks!$A:$A,$A1658,Tasks!$B:$B,$B1658,Tasks!$C:$C,$G1658,Tasks!$I:$I,"&lt;="&amp;INDEX(Weeks!$D:$D,MATCH($C1658,Weeks!$A:$A,0)),Tasks!$I:$I,"&lt;&gt;")/COUNTIFS(Tasks!$A:$A,$A1658,Tasks!$B:$B,$B1658,Tasks!$C:$C,$G1658)*100,0),"")</f>
        <v/>
      </c>
    </row>
    <row r="1659" spans="1:8" ht="15" hidden="1" customHeight="1">
      <c r="A1659" t="s">
        <v>102</v>
      </c>
      <c r="B1659" t="s">
        <v>103</v>
      </c>
      <c r="C1659">
        <v>46</v>
      </c>
      <c r="D1659">
        <v>11</v>
      </c>
      <c r="E1659">
        <v>2</v>
      </c>
      <c r="F1659">
        <v>2</v>
      </c>
      <c r="G1659" t="s">
        <v>121</v>
      </c>
      <c r="H1659" t="str">
        <f>IFERROR(ROUND(COUNTIFS(Tasks!$A:$A,$A1659,Tasks!$B:$B,$B1659,Tasks!$C:$C,$G1659,Tasks!$I:$I,"&lt;="&amp;INDEX(Weeks!$D:$D,MATCH($C1659,Weeks!$A:$A,0)),Tasks!$I:$I,"&lt;&gt;")/COUNTIFS(Tasks!$A:$A,$A1659,Tasks!$B:$B,$B1659,Tasks!$C:$C,$G1659)*100,0),"")</f>
        <v/>
      </c>
    </row>
    <row r="1660" spans="1:8" ht="15" hidden="1" customHeight="1">
      <c r="A1660" t="s">
        <v>102</v>
      </c>
      <c r="B1660" t="s">
        <v>103</v>
      </c>
      <c r="C1660">
        <v>47</v>
      </c>
      <c r="D1660">
        <v>11</v>
      </c>
      <c r="E1660">
        <v>3</v>
      </c>
      <c r="F1660">
        <v>2</v>
      </c>
      <c r="G1660" t="s">
        <v>121</v>
      </c>
      <c r="H1660" t="str">
        <f>IFERROR(ROUND(COUNTIFS(Tasks!$A:$A,$A1660,Tasks!$B:$B,$B1660,Tasks!$C:$C,$G1660,Tasks!$I:$I,"&lt;="&amp;INDEX(Weeks!$D:$D,MATCH($C1660,Weeks!$A:$A,0)),Tasks!$I:$I,"&lt;&gt;")/COUNTIFS(Tasks!$A:$A,$A1660,Tasks!$B:$B,$B1660,Tasks!$C:$C,$G1660)*100,0),"")</f>
        <v/>
      </c>
    </row>
    <row r="1661" spans="1:8" ht="15" hidden="1" customHeight="1">
      <c r="A1661" t="s">
        <v>102</v>
      </c>
      <c r="B1661" t="s">
        <v>103</v>
      </c>
      <c r="C1661">
        <v>48</v>
      </c>
      <c r="D1661">
        <v>11</v>
      </c>
      <c r="E1661">
        <v>4</v>
      </c>
      <c r="F1661">
        <v>2</v>
      </c>
      <c r="G1661" t="s">
        <v>121</v>
      </c>
      <c r="H1661" t="str">
        <f>IFERROR(ROUND(COUNTIFS(Tasks!$A:$A,$A1661,Tasks!$B:$B,$B1661,Tasks!$C:$C,$G1661,Tasks!$I:$I,"&lt;="&amp;INDEX(Weeks!$D:$D,MATCH($C1661,Weeks!$A:$A,0)),Tasks!$I:$I,"&lt;&gt;")/COUNTIFS(Tasks!$A:$A,$A1661,Tasks!$B:$B,$B1661,Tasks!$C:$C,$G1661)*100,0),"")</f>
        <v/>
      </c>
    </row>
    <row r="1662" spans="1:8" ht="15" hidden="1" customHeight="1">
      <c r="A1662" t="s">
        <v>102</v>
      </c>
      <c r="B1662" t="s">
        <v>103</v>
      </c>
      <c r="C1662">
        <v>49</v>
      </c>
      <c r="D1662">
        <v>12</v>
      </c>
      <c r="E1662">
        <v>1</v>
      </c>
      <c r="F1662">
        <v>2</v>
      </c>
      <c r="G1662" t="s">
        <v>121</v>
      </c>
      <c r="H1662" t="str">
        <f>IFERROR(ROUND(COUNTIFS(Tasks!$A:$A,$A1662,Tasks!$B:$B,$B1662,Tasks!$C:$C,$G1662,Tasks!$I:$I,"&lt;="&amp;INDEX(Weeks!$D:$D,MATCH($C1662,Weeks!$A:$A,0)),Tasks!$I:$I,"&lt;&gt;")/COUNTIFS(Tasks!$A:$A,$A1662,Tasks!$B:$B,$B1662,Tasks!$C:$C,$G1662)*100,0),"")</f>
        <v/>
      </c>
    </row>
    <row r="1663" spans="1:8" ht="15" hidden="1" customHeight="1">
      <c r="A1663" t="s">
        <v>102</v>
      </c>
      <c r="B1663" t="s">
        <v>103</v>
      </c>
      <c r="C1663">
        <v>50</v>
      </c>
      <c r="D1663">
        <v>12</v>
      </c>
      <c r="E1663">
        <v>2</v>
      </c>
      <c r="F1663">
        <v>2</v>
      </c>
      <c r="G1663" t="s">
        <v>121</v>
      </c>
      <c r="H1663" t="str">
        <f>IFERROR(ROUND(COUNTIFS(Tasks!$A:$A,$A1663,Tasks!$B:$B,$B1663,Tasks!$C:$C,$G1663,Tasks!$I:$I,"&lt;="&amp;INDEX(Weeks!$D:$D,MATCH($C1663,Weeks!$A:$A,0)),Tasks!$I:$I,"&lt;&gt;")/COUNTIFS(Tasks!$A:$A,$A1663,Tasks!$B:$B,$B1663,Tasks!$C:$C,$G1663)*100,0),"")</f>
        <v/>
      </c>
    </row>
    <row r="1664" spans="1:8" ht="15" hidden="1" customHeight="1">
      <c r="A1664" t="s">
        <v>102</v>
      </c>
      <c r="B1664" t="s">
        <v>103</v>
      </c>
      <c r="C1664">
        <v>51</v>
      </c>
      <c r="D1664">
        <v>12</v>
      </c>
      <c r="E1664">
        <v>3</v>
      </c>
      <c r="F1664">
        <v>2</v>
      </c>
      <c r="G1664" t="s">
        <v>121</v>
      </c>
      <c r="H1664" t="str">
        <f>IFERROR(ROUND(COUNTIFS(Tasks!$A:$A,$A1664,Tasks!$B:$B,$B1664,Tasks!$C:$C,$G1664,Tasks!$I:$I,"&lt;="&amp;INDEX(Weeks!$D:$D,MATCH($C1664,Weeks!$A:$A,0)),Tasks!$I:$I,"&lt;&gt;")/COUNTIFS(Tasks!$A:$A,$A1664,Tasks!$B:$B,$B1664,Tasks!$C:$C,$G1664)*100,0),"")</f>
        <v/>
      </c>
    </row>
    <row r="1665" spans="1:8" ht="15" hidden="1" customHeight="1">
      <c r="A1665" t="s">
        <v>102</v>
      </c>
      <c r="B1665" t="s">
        <v>103</v>
      </c>
      <c r="C1665">
        <v>52</v>
      </c>
      <c r="D1665">
        <v>12</v>
      </c>
      <c r="E1665">
        <v>4</v>
      </c>
      <c r="F1665">
        <v>2</v>
      </c>
      <c r="G1665" t="s">
        <v>121</v>
      </c>
      <c r="H1665" t="str">
        <f>IFERROR(ROUND(COUNTIFS(Tasks!$A:$A,$A1665,Tasks!$B:$B,$B1665,Tasks!$C:$C,$G1665,Tasks!$I:$I,"&lt;="&amp;INDEX(Weeks!$D:$D,MATCH($C1665,Weeks!$A:$A,0)),Tasks!$I:$I,"&lt;&gt;")/COUNTIFS(Tasks!$A:$A,$A1665,Tasks!$B:$B,$B1665,Tasks!$C:$C,$G1665)*100,0),"")</f>
        <v/>
      </c>
    </row>
    <row r="1666" spans="1:8" ht="15" hidden="1" customHeight="1">
      <c r="A1666" t="s">
        <v>102</v>
      </c>
      <c r="B1666" t="s">
        <v>103</v>
      </c>
      <c r="C1666">
        <v>1</v>
      </c>
      <c r="D1666">
        <v>1</v>
      </c>
      <c r="E1666">
        <v>1</v>
      </c>
      <c r="F1666">
        <v>3</v>
      </c>
      <c r="G1666" t="s">
        <v>122</v>
      </c>
      <c r="H1666" t="str">
        <f>IFERROR(ROUND(COUNTIFS(Tasks!$A:$A,$A1666,Tasks!$B:$B,$B1666,Tasks!$C:$C,$G1666,Tasks!$I:$I,"&lt;="&amp;INDEX(Weeks!$D:$D,MATCH($C1666,Weeks!$A:$A,0)),Tasks!$I:$I,"&lt;&gt;")/COUNTIFS(Tasks!$A:$A,$A1666,Tasks!$B:$B,$B1666,Tasks!$C:$C,$G1666)*100,0),"")</f>
        <v/>
      </c>
    </row>
    <row r="1667" spans="1:8" ht="15" hidden="1" customHeight="1">
      <c r="A1667" t="s">
        <v>102</v>
      </c>
      <c r="B1667" t="s">
        <v>103</v>
      </c>
      <c r="C1667">
        <v>2</v>
      </c>
      <c r="D1667">
        <v>1</v>
      </c>
      <c r="E1667">
        <v>2</v>
      </c>
      <c r="F1667">
        <v>3</v>
      </c>
      <c r="G1667" t="s">
        <v>122</v>
      </c>
      <c r="H1667" t="str">
        <f>IFERROR(ROUND(COUNTIFS(Tasks!$A:$A,$A1667,Tasks!$B:$B,$B1667,Tasks!$C:$C,$G1667,Tasks!$I:$I,"&lt;="&amp;INDEX(Weeks!$D:$D,MATCH($C1667,Weeks!$A:$A,0)),Tasks!$I:$I,"&lt;&gt;")/COUNTIFS(Tasks!$A:$A,$A1667,Tasks!$B:$B,$B1667,Tasks!$C:$C,$G1667)*100,0),"")</f>
        <v/>
      </c>
    </row>
    <row r="1668" spans="1:8" ht="15" hidden="1" customHeight="1">
      <c r="A1668" t="s">
        <v>102</v>
      </c>
      <c r="B1668" t="s">
        <v>103</v>
      </c>
      <c r="C1668">
        <v>3</v>
      </c>
      <c r="D1668">
        <v>1</v>
      </c>
      <c r="E1668">
        <v>3</v>
      </c>
      <c r="F1668">
        <v>3</v>
      </c>
      <c r="G1668" t="s">
        <v>122</v>
      </c>
      <c r="H1668" t="str">
        <f>IFERROR(ROUND(COUNTIFS(Tasks!$A:$A,$A1668,Tasks!$B:$B,$B1668,Tasks!$C:$C,$G1668,Tasks!$I:$I,"&lt;="&amp;INDEX(Weeks!$D:$D,MATCH($C1668,Weeks!$A:$A,0)),Tasks!$I:$I,"&lt;&gt;")/COUNTIFS(Tasks!$A:$A,$A1668,Tasks!$B:$B,$B1668,Tasks!$C:$C,$G1668)*100,0),"")</f>
        <v/>
      </c>
    </row>
    <row r="1669" spans="1:8" ht="15" hidden="1" customHeight="1">
      <c r="A1669" t="s">
        <v>102</v>
      </c>
      <c r="B1669" t="s">
        <v>103</v>
      </c>
      <c r="C1669">
        <v>4</v>
      </c>
      <c r="D1669">
        <v>1</v>
      </c>
      <c r="E1669">
        <v>4</v>
      </c>
      <c r="F1669">
        <v>3</v>
      </c>
      <c r="G1669" t="s">
        <v>122</v>
      </c>
      <c r="H1669" t="str">
        <f>IFERROR(ROUND(COUNTIFS(Tasks!$A:$A,$A1669,Tasks!$B:$B,$B1669,Tasks!$C:$C,$G1669,Tasks!$I:$I,"&lt;="&amp;INDEX(Weeks!$D:$D,MATCH($C1669,Weeks!$A:$A,0)),Tasks!$I:$I,"&lt;&gt;")/COUNTIFS(Tasks!$A:$A,$A1669,Tasks!$B:$B,$B1669,Tasks!$C:$C,$G1669)*100,0),"")</f>
        <v/>
      </c>
    </row>
    <row r="1670" spans="1:8" ht="15" hidden="1" customHeight="1">
      <c r="A1670" t="s">
        <v>102</v>
      </c>
      <c r="B1670" t="s">
        <v>103</v>
      </c>
      <c r="C1670">
        <v>5</v>
      </c>
      <c r="D1670">
        <v>1</v>
      </c>
      <c r="E1670">
        <v>5</v>
      </c>
      <c r="F1670">
        <v>3</v>
      </c>
      <c r="G1670" t="s">
        <v>122</v>
      </c>
      <c r="H1670" t="str">
        <f>IFERROR(ROUND(COUNTIFS(Tasks!$A:$A,$A1670,Tasks!$B:$B,$B1670,Tasks!$C:$C,$G1670,Tasks!$I:$I,"&lt;="&amp;INDEX(Weeks!$D:$D,MATCH($C1670,Weeks!$A:$A,0)),Tasks!$I:$I,"&lt;&gt;")/COUNTIFS(Tasks!$A:$A,$A1670,Tasks!$B:$B,$B1670,Tasks!$C:$C,$G1670)*100,0),"")</f>
        <v/>
      </c>
    </row>
    <row r="1671" spans="1:8" ht="15" hidden="1" customHeight="1">
      <c r="A1671" t="s">
        <v>102</v>
      </c>
      <c r="B1671" t="s">
        <v>103</v>
      </c>
      <c r="C1671">
        <v>6</v>
      </c>
      <c r="D1671">
        <v>2</v>
      </c>
      <c r="E1671">
        <v>1</v>
      </c>
      <c r="F1671">
        <v>3</v>
      </c>
      <c r="G1671" t="s">
        <v>122</v>
      </c>
      <c r="H1671" t="str">
        <f>IFERROR(ROUND(COUNTIFS(Tasks!$A:$A,$A1671,Tasks!$B:$B,$B1671,Tasks!$C:$C,$G1671,Tasks!$I:$I,"&lt;="&amp;INDEX(Weeks!$D:$D,MATCH($C1671,Weeks!$A:$A,0)),Tasks!$I:$I,"&lt;&gt;")/COUNTIFS(Tasks!$A:$A,$A1671,Tasks!$B:$B,$B1671,Tasks!$C:$C,$G1671)*100,0),"")</f>
        <v/>
      </c>
    </row>
    <row r="1672" spans="1:8" ht="15" hidden="1" customHeight="1">
      <c r="A1672" t="s">
        <v>102</v>
      </c>
      <c r="B1672" t="s">
        <v>103</v>
      </c>
      <c r="C1672">
        <v>7</v>
      </c>
      <c r="D1672">
        <v>2</v>
      </c>
      <c r="E1672">
        <v>2</v>
      </c>
      <c r="F1672">
        <v>3</v>
      </c>
      <c r="G1672" t="s">
        <v>122</v>
      </c>
      <c r="H1672" t="str">
        <f>IFERROR(ROUND(COUNTIFS(Tasks!$A:$A,$A1672,Tasks!$B:$B,$B1672,Tasks!$C:$C,$G1672,Tasks!$I:$I,"&lt;="&amp;INDEX(Weeks!$D:$D,MATCH($C1672,Weeks!$A:$A,0)),Tasks!$I:$I,"&lt;&gt;")/COUNTIFS(Tasks!$A:$A,$A1672,Tasks!$B:$B,$B1672,Tasks!$C:$C,$G1672)*100,0),"")</f>
        <v/>
      </c>
    </row>
    <row r="1673" spans="1:8" ht="15" hidden="1" customHeight="1">
      <c r="A1673" t="s">
        <v>102</v>
      </c>
      <c r="B1673" t="s">
        <v>103</v>
      </c>
      <c r="C1673">
        <v>8</v>
      </c>
      <c r="D1673">
        <v>2</v>
      </c>
      <c r="E1673">
        <v>3</v>
      </c>
      <c r="F1673">
        <v>3</v>
      </c>
      <c r="G1673" t="s">
        <v>122</v>
      </c>
      <c r="H1673" t="str">
        <f>IFERROR(ROUND(COUNTIFS(Tasks!$A:$A,$A1673,Tasks!$B:$B,$B1673,Tasks!$C:$C,$G1673,Tasks!$I:$I,"&lt;="&amp;INDEX(Weeks!$D:$D,MATCH($C1673,Weeks!$A:$A,0)),Tasks!$I:$I,"&lt;&gt;")/COUNTIFS(Tasks!$A:$A,$A1673,Tasks!$B:$B,$B1673,Tasks!$C:$C,$G1673)*100,0),"")</f>
        <v/>
      </c>
    </row>
    <row r="1674" spans="1:8" ht="15" hidden="1" customHeight="1">
      <c r="A1674" t="s">
        <v>102</v>
      </c>
      <c r="B1674" t="s">
        <v>103</v>
      </c>
      <c r="C1674">
        <v>9</v>
      </c>
      <c r="D1674">
        <v>2</v>
      </c>
      <c r="E1674">
        <v>4</v>
      </c>
      <c r="F1674">
        <v>3</v>
      </c>
      <c r="G1674" t="s">
        <v>122</v>
      </c>
      <c r="H1674" t="str">
        <f>IFERROR(ROUND(COUNTIFS(Tasks!$A:$A,$A1674,Tasks!$B:$B,$B1674,Tasks!$C:$C,$G1674,Tasks!$I:$I,"&lt;="&amp;INDEX(Weeks!$D:$D,MATCH($C1674,Weeks!$A:$A,0)),Tasks!$I:$I,"&lt;&gt;")/COUNTIFS(Tasks!$A:$A,$A1674,Tasks!$B:$B,$B1674,Tasks!$C:$C,$G1674)*100,0),"")</f>
        <v/>
      </c>
    </row>
    <row r="1675" spans="1:8" ht="15" hidden="1" customHeight="1">
      <c r="A1675" t="s">
        <v>102</v>
      </c>
      <c r="B1675" t="s">
        <v>103</v>
      </c>
      <c r="C1675">
        <v>10</v>
      </c>
      <c r="D1675">
        <v>3</v>
      </c>
      <c r="E1675">
        <v>1</v>
      </c>
      <c r="F1675">
        <v>3</v>
      </c>
      <c r="G1675" t="s">
        <v>122</v>
      </c>
      <c r="H1675" t="str">
        <f>IFERROR(ROUND(COUNTIFS(Tasks!$A:$A,$A1675,Tasks!$B:$B,$B1675,Tasks!$C:$C,$G1675,Tasks!$I:$I,"&lt;="&amp;INDEX(Weeks!$D:$D,MATCH($C1675,Weeks!$A:$A,0)),Tasks!$I:$I,"&lt;&gt;")/COUNTIFS(Tasks!$A:$A,$A1675,Tasks!$B:$B,$B1675,Tasks!$C:$C,$G1675)*100,0),"")</f>
        <v/>
      </c>
    </row>
    <row r="1676" spans="1:8" ht="15" hidden="1" customHeight="1">
      <c r="A1676" t="s">
        <v>102</v>
      </c>
      <c r="B1676" t="s">
        <v>103</v>
      </c>
      <c r="C1676">
        <v>11</v>
      </c>
      <c r="D1676">
        <v>3</v>
      </c>
      <c r="E1676">
        <v>2</v>
      </c>
      <c r="F1676">
        <v>3</v>
      </c>
      <c r="G1676" t="s">
        <v>122</v>
      </c>
      <c r="H1676" t="str">
        <f>IFERROR(ROUND(COUNTIFS(Tasks!$A:$A,$A1676,Tasks!$B:$B,$B1676,Tasks!$C:$C,$G1676,Tasks!$I:$I,"&lt;="&amp;INDEX(Weeks!$D:$D,MATCH($C1676,Weeks!$A:$A,0)),Tasks!$I:$I,"&lt;&gt;")/COUNTIFS(Tasks!$A:$A,$A1676,Tasks!$B:$B,$B1676,Tasks!$C:$C,$G1676)*100,0),"")</f>
        <v/>
      </c>
    </row>
    <row r="1677" spans="1:8" ht="15" hidden="1" customHeight="1">
      <c r="A1677" t="s">
        <v>102</v>
      </c>
      <c r="B1677" t="s">
        <v>103</v>
      </c>
      <c r="C1677">
        <v>12</v>
      </c>
      <c r="D1677">
        <v>3</v>
      </c>
      <c r="E1677">
        <v>3</v>
      </c>
      <c r="F1677">
        <v>3</v>
      </c>
      <c r="G1677" t="s">
        <v>122</v>
      </c>
      <c r="H1677" t="str">
        <f>IFERROR(ROUND(COUNTIFS(Tasks!$A:$A,$A1677,Tasks!$B:$B,$B1677,Tasks!$C:$C,$G1677,Tasks!$I:$I,"&lt;="&amp;INDEX(Weeks!$D:$D,MATCH($C1677,Weeks!$A:$A,0)),Tasks!$I:$I,"&lt;&gt;")/COUNTIFS(Tasks!$A:$A,$A1677,Tasks!$B:$B,$B1677,Tasks!$C:$C,$G1677)*100,0),"")</f>
        <v/>
      </c>
    </row>
    <row r="1678" spans="1:8" ht="15" hidden="1" customHeight="1">
      <c r="A1678" t="s">
        <v>102</v>
      </c>
      <c r="B1678" t="s">
        <v>103</v>
      </c>
      <c r="C1678">
        <v>13</v>
      </c>
      <c r="D1678">
        <v>3</v>
      </c>
      <c r="E1678">
        <v>4</v>
      </c>
      <c r="F1678">
        <v>3</v>
      </c>
      <c r="G1678" t="s">
        <v>122</v>
      </c>
      <c r="H1678" t="str">
        <f>IFERROR(ROUND(COUNTIFS(Tasks!$A:$A,$A1678,Tasks!$B:$B,$B1678,Tasks!$C:$C,$G1678,Tasks!$I:$I,"&lt;="&amp;INDEX(Weeks!$D:$D,MATCH($C1678,Weeks!$A:$A,0)),Tasks!$I:$I,"&lt;&gt;")/COUNTIFS(Tasks!$A:$A,$A1678,Tasks!$B:$B,$B1678,Tasks!$C:$C,$G1678)*100,0),"")</f>
        <v/>
      </c>
    </row>
    <row r="1679" spans="1:8" ht="15" hidden="1" customHeight="1">
      <c r="A1679" t="s">
        <v>102</v>
      </c>
      <c r="B1679" t="s">
        <v>103</v>
      </c>
      <c r="C1679">
        <v>14</v>
      </c>
      <c r="D1679">
        <v>4</v>
      </c>
      <c r="E1679">
        <v>1</v>
      </c>
      <c r="F1679">
        <v>3</v>
      </c>
      <c r="G1679" t="s">
        <v>122</v>
      </c>
      <c r="H1679" t="str">
        <f>IFERROR(ROUND(COUNTIFS(Tasks!$A:$A,$A1679,Tasks!$B:$B,$B1679,Tasks!$C:$C,$G1679,Tasks!$I:$I,"&lt;="&amp;INDEX(Weeks!$D:$D,MATCH($C1679,Weeks!$A:$A,0)),Tasks!$I:$I,"&lt;&gt;")/COUNTIFS(Tasks!$A:$A,$A1679,Tasks!$B:$B,$B1679,Tasks!$C:$C,$G1679)*100,0),"")</f>
        <v/>
      </c>
    </row>
    <row r="1680" spans="1:8" ht="15" hidden="1" customHeight="1">
      <c r="A1680" t="s">
        <v>102</v>
      </c>
      <c r="B1680" t="s">
        <v>103</v>
      </c>
      <c r="C1680">
        <v>15</v>
      </c>
      <c r="D1680">
        <v>4</v>
      </c>
      <c r="E1680">
        <v>2</v>
      </c>
      <c r="F1680">
        <v>3</v>
      </c>
      <c r="G1680" t="s">
        <v>122</v>
      </c>
      <c r="H1680" t="str">
        <f>IFERROR(ROUND(COUNTIFS(Tasks!$A:$A,$A1680,Tasks!$B:$B,$B1680,Tasks!$C:$C,$G1680,Tasks!$I:$I,"&lt;="&amp;INDEX(Weeks!$D:$D,MATCH($C1680,Weeks!$A:$A,0)),Tasks!$I:$I,"&lt;&gt;")/COUNTIFS(Tasks!$A:$A,$A1680,Tasks!$B:$B,$B1680,Tasks!$C:$C,$G1680)*100,0),"")</f>
        <v/>
      </c>
    </row>
    <row r="1681" spans="1:8" ht="15" hidden="1" customHeight="1">
      <c r="A1681" t="s">
        <v>102</v>
      </c>
      <c r="B1681" t="s">
        <v>103</v>
      </c>
      <c r="C1681">
        <v>16</v>
      </c>
      <c r="D1681">
        <v>4</v>
      </c>
      <c r="E1681">
        <v>3</v>
      </c>
      <c r="F1681">
        <v>3</v>
      </c>
      <c r="G1681" t="s">
        <v>122</v>
      </c>
      <c r="H1681" t="str">
        <f>IFERROR(ROUND(COUNTIFS(Tasks!$A:$A,$A1681,Tasks!$B:$B,$B1681,Tasks!$C:$C,$G1681,Tasks!$I:$I,"&lt;="&amp;INDEX(Weeks!$D:$D,MATCH($C1681,Weeks!$A:$A,0)),Tasks!$I:$I,"&lt;&gt;")/COUNTIFS(Tasks!$A:$A,$A1681,Tasks!$B:$B,$B1681,Tasks!$C:$C,$G1681)*100,0),"")</f>
        <v/>
      </c>
    </row>
    <row r="1682" spans="1:8" ht="15" hidden="1" customHeight="1">
      <c r="A1682" t="s">
        <v>102</v>
      </c>
      <c r="B1682" t="s">
        <v>103</v>
      </c>
      <c r="C1682">
        <v>17</v>
      </c>
      <c r="D1682">
        <v>4</v>
      </c>
      <c r="E1682">
        <v>4</v>
      </c>
      <c r="F1682">
        <v>3</v>
      </c>
      <c r="G1682" t="s">
        <v>122</v>
      </c>
      <c r="H1682" t="str">
        <f>IFERROR(ROUND(COUNTIFS(Tasks!$A:$A,$A1682,Tasks!$B:$B,$B1682,Tasks!$C:$C,$G1682,Tasks!$I:$I,"&lt;="&amp;INDEX(Weeks!$D:$D,MATCH($C1682,Weeks!$A:$A,0)),Tasks!$I:$I,"&lt;&gt;")/COUNTIFS(Tasks!$A:$A,$A1682,Tasks!$B:$B,$B1682,Tasks!$C:$C,$G1682)*100,0),"")</f>
        <v/>
      </c>
    </row>
    <row r="1683" spans="1:8" ht="15" hidden="1" customHeight="1">
      <c r="A1683" t="s">
        <v>102</v>
      </c>
      <c r="B1683" t="s">
        <v>103</v>
      </c>
      <c r="C1683">
        <v>18</v>
      </c>
      <c r="D1683">
        <v>5</v>
      </c>
      <c r="E1683">
        <v>1</v>
      </c>
      <c r="F1683">
        <v>3</v>
      </c>
      <c r="G1683" t="s">
        <v>122</v>
      </c>
      <c r="H1683" t="str">
        <f>IFERROR(ROUND(COUNTIFS(Tasks!$A:$A,$A1683,Tasks!$B:$B,$B1683,Tasks!$C:$C,$G1683,Tasks!$I:$I,"&lt;="&amp;INDEX(Weeks!$D:$D,MATCH($C1683,Weeks!$A:$A,0)),Tasks!$I:$I,"&lt;&gt;")/COUNTIFS(Tasks!$A:$A,$A1683,Tasks!$B:$B,$B1683,Tasks!$C:$C,$G1683)*100,0),"")</f>
        <v/>
      </c>
    </row>
    <row r="1684" spans="1:8" ht="15" hidden="1" customHeight="1">
      <c r="A1684" t="s">
        <v>102</v>
      </c>
      <c r="B1684" t="s">
        <v>103</v>
      </c>
      <c r="C1684">
        <v>19</v>
      </c>
      <c r="D1684">
        <v>5</v>
      </c>
      <c r="E1684">
        <v>2</v>
      </c>
      <c r="F1684">
        <v>3</v>
      </c>
      <c r="G1684" t="s">
        <v>122</v>
      </c>
      <c r="H1684" t="str">
        <f>IFERROR(ROUND(COUNTIFS(Tasks!$A:$A,$A1684,Tasks!$B:$B,$B1684,Tasks!$C:$C,$G1684,Tasks!$I:$I,"&lt;="&amp;INDEX(Weeks!$D:$D,MATCH($C1684,Weeks!$A:$A,0)),Tasks!$I:$I,"&lt;&gt;")/COUNTIFS(Tasks!$A:$A,$A1684,Tasks!$B:$B,$B1684,Tasks!$C:$C,$G1684)*100,0),"")</f>
        <v/>
      </c>
    </row>
    <row r="1685" spans="1:8" ht="15" hidden="1" customHeight="1">
      <c r="A1685" t="s">
        <v>102</v>
      </c>
      <c r="B1685" t="s">
        <v>103</v>
      </c>
      <c r="C1685">
        <v>20</v>
      </c>
      <c r="D1685">
        <v>5</v>
      </c>
      <c r="E1685">
        <v>3</v>
      </c>
      <c r="F1685">
        <v>3</v>
      </c>
      <c r="G1685" t="s">
        <v>122</v>
      </c>
      <c r="H1685" t="str">
        <f>IFERROR(ROUND(COUNTIFS(Tasks!$A:$A,$A1685,Tasks!$B:$B,$B1685,Tasks!$C:$C,$G1685,Tasks!$I:$I,"&lt;="&amp;INDEX(Weeks!$D:$D,MATCH($C1685,Weeks!$A:$A,0)),Tasks!$I:$I,"&lt;&gt;")/COUNTIFS(Tasks!$A:$A,$A1685,Tasks!$B:$B,$B1685,Tasks!$C:$C,$G1685)*100,0),"")</f>
        <v/>
      </c>
    </row>
    <row r="1686" spans="1:8" ht="15" hidden="1" customHeight="1">
      <c r="A1686" t="s">
        <v>102</v>
      </c>
      <c r="B1686" t="s">
        <v>103</v>
      </c>
      <c r="C1686">
        <v>21</v>
      </c>
      <c r="D1686">
        <v>5</v>
      </c>
      <c r="E1686">
        <v>4</v>
      </c>
      <c r="F1686">
        <v>3</v>
      </c>
      <c r="G1686" t="s">
        <v>122</v>
      </c>
      <c r="H1686" t="str">
        <f>IFERROR(ROUND(COUNTIFS(Tasks!$A:$A,$A1686,Tasks!$B:$B,$B1686,Tasks!$C:$C,$G1686,Tasks!$I:$I,"&lt;="&amp;INDEX(Weeks!$D:$D,MATCH($C1686,Weeks!$A:$A,0)),Tasks!$I:$I,"&lt;&gt;")/COUNTIFS(Tasks!$A:$A,$A1686,Tasks!$B:$B,$B1686,Tasks!$C:$C,$G1686)*100,0),"")</f>
        <v/>
      </c>
    </row>
    <row r="1687" spans="1:8" ht="15" hidden="1" customHeight="1">
      <c r="A1687" t="s">
        <v>102</v>
      </c>
      <c r="B1687" t="s">
        <v>103</v>
      </c>
      <c r="C1687">
        <v>22</v>
      </c>
      <c r="D1687">
        <v>5</v>
      </c>
      <c r="E1687">
        <v>5</v>
      </c>
      <c r="F1687">
        <v>3</v>
      </c>
      <c r="G1687" t="s">
        <v>122</v>
      </c>
      <c r="H1687" t="str">
        <f>IFERROR(ROUND(COUNTIFS(Tasks!$A:$A,$A1687,Tasks!$B:$B,$B1687,Tasks!$C:$C,$G1687,Tasks!$I:$I,"&lt;="&amp;INDEX(Weeks!$D:$D,MATCH($C1687,Weeks!$A:$A,0)),Tasks!$I:$I,"&lt;&gt;")/COUNTIFS(Tasks!$A:$A,$A1687,Tasks!$B:$B,$B1687,Tasks!$C:$C,$G1687)*100,0),"")</f>
        <v/>
      </c>
    </row>
    <row r="1688" spans="1:8" ht="15" hidden="1" customHeight="1">
      <c r="A1688" t="s">
        <v>102</v>
      </c>
      <c r="B1688" t="s">
        <v>103</v>
      </c>
      <c r="C1688">
        <v>23</v>
      </c>
      <c r="D1688">
        <v>6</v>
      </c>
      <c r="E1688">
        <v>1</v>
      </c>
      <c r="F1688">
        <v>3</v>
      </c>
      <c r="G1688" t="s">
        <v>122</v>
      </c>
      <c r="H1688" t="str">
        <f>IFERROR(ROUND(COUNTIFS(Tasks!$A:$A,$A1688,Tasks!$B:$B,$B1688,Tasks!$C:$C,$G1688,Tasks!$I:$I,"&lt;="&amp;INDEX(Weeks!$D:$D,MATCH($C1688,Weeks!$A:$A,0)),Tasks!$I:$I,"&lt;&gt;")/COUNTIFS(Tasks!$A:$A,$A1688,Tasks!$B:$B,$B1688,Tasks!$C:$C,$G1688)*100,0),"")</f>
        <v/>
      </c>
    </row>
    <row r="1689" spans="1:8" ht="15" hidden="1" customHeight="1">
      <c r="A1689" t="s">
        <v>102</v>
      </c>
      <c r="B1689" t="s">
        <v>103</v>
      </c>
      <c r="C1689">
        <v>24</v>
      </c>
      <c r="D1689">
        <v>6</v>
      </c>
      <c r="E1689">
        <v>2</v>
      </c>
      <c r="F1689">
        <v>3</v>
      </c>
      <c r="G1689" t="s">
        <v>122</v>
      </c>
      <c r="H1689" t="str">
        <f>IFERROR(ROUND(COUNTIFS(Tasks!$A:$A,$A1689,Tasks!$B:$B,$B1689,Tasks!$C:$C,$G1689,Tasks!$I:$I,"&lt;="&amp;INDEX(Weeks!$D:$D,MATCH($C1689,Weeks!$A:$A,0)),Tasks!$I:$I,"&lt;&gt;")/COUNTIFS(Tasks!$A:$A,$A1689,Tasks!$B:$B,$B1689,Tasks!$C:$C,$G1689)*100,0),"")</f>
        <v/>
      </c>
    </row>
    <row r="1690" spans="1:8" ht="15" hidden="1" customHeight="1">
      <c r="A1690" t="s">
        <v>102</v>
      </c>
      <c r="B1690" t="s">
        <v>103</v>
      </c>
      <c r="C1690">
        <v>25</v>
      </c>
      <c r="D1690">
        <v>6</v>
      </c>
      <c r="E1690">
        <v>3</v>
      </c>
      <c r="F1690">
        <v>3</v>
      </c>
      <c r="G1690" t="s">
        <v>122</v>
      </c>
      <c r="H1690" t="str">
        <f>IFERROR(ROUND(COUNTIFS(Tasks!$A:$A,$A1690,Tasks!$B:$B,$B1690,Tasks!$C:$C,$G1690,Tasks!$I:$I,"&lt;="&amp;INDEX(Weeks!$D:$D,MATCH($C1690,Weeks!$A:$A,0)),Tasks!$I:$I,"&lt;&gt;")/COUNTIFS(Tasks!$A:$A,$A1690,Tasks!$B:$B,$B1690,Tasks!$C:$C,$G1690)*100,0),"")</f>
        <v/>
      </c>
    </row>
    <row r="1691" spans="1:8" ht="15" hidden="1" customHeight="1">
      <c r="A1691" t="s">
        <v>102</v>
      </c>
      <c r="B1691" t="s">
        <v>103</v>
      </c>
      <c r="C1691">
        <v>26</v>
      </c>
      <c r="D1691">
        <v>6</v>
      </c>
      <c r="E1691">
        <v>4</v>
      </c>
      <c r="F1691">
        <v>3</v>
      </c>
      <c r="G1691" t="s">
        <v>122</v>
      </c>
      <c r="H1691" t="str">
        <f>IFERROR(ROUND(COUNTIFS(Tasks!$A:$A,$A1691,Tasks!$B:$B,$B1691,Tasks!$C:$C,$G1691,Tasks!$I:$I,"&lt;="&amp;INDEX(Weeks!$D:$D,MATCH($C1691,Weeks!$A:$A,0)),Tasks!$I:$I,"&lt;&gt;")/COUNTIFS(Tasks!$A:$A,$A1691,Tasks!$B:$B,$B1691,Tasks!$C:$C,$G1691)*100,0),"")</f>
        <v/>
      </c>
    </row>
    <row r="1692" spans="1:8" ht="15" hidden="1" customHeight="1">
      <c r="A1692" t="s">
        <v>102</v>
      </c>
      <c r="B1692" t="s">
        <v>103</v>
      </c>
      <c r="C1692">
        <v>27</v>
      </c>
      <c r="D1692">
        <v>7</v>
      </c>
      <c r="E1692">
        <v>1</v>
      </c>
      <c r="F1692">
        <v>3</v>
      </c>
      <c r="G1692" t="s">
        <v>122</v>
      </c>
      <c r="H1692" t="str">
        <f>IFERROR(ROUND(COUNTIFS(Tasks!$A:$A,$A1692,Tasks!$B:$B,$B1692,Tasks!$C:$C,$G1692,Tasks!$I:$I,"&lt;="&amp;INDEX(Weeks!$D:$D,MATCH($C1692,Weeks!$A:$A,0)),Tasks!$I:$I,"&lt;&gt;")/COUNTIFS(Tasks!$A:$A,$A1692,Tasks!$B:$B,$B1692,Tasks!$C:$C,$G1692)*100,0),"")</f>
        <v/>
      </c>
    </row>
    <row r="1693" spans="1:8" ht="15" hidden="1" customHeight="1">
      <c r="A1693" t="s">
        <v>102</v>
      </c>
      <c r="B1693" t="s">
        <v>103</v>
      </c>
      <c r="C1693">
        <v>28</v>
      </c>
      <c r="D1693">
        <v>7</v>
      </c>
      <c r="E1693">
        <v>2</v>
      </c>
      <c r="F1693">
        <v>3</v>
      </c>
      <c r="G1693" t="s">
        <v>122</v>
      </c>
      <c r="H1693" t="str">
        <f>IFERROR(ROUND(COUNTIFS(Tasks!$A:$A,$A1693,Tasks!$B:$B,$B1693,Tasks!$C:$C,$G1693,Tasks!$I:$I,"&lt;="&amp;INDEX(Weeks!$D:$D,MATCH($C1693,Weeks!$A:$A,0)),Tasks!$I:$I,"&lt;&gt;")/COUNTIFS(Tasks!$A:$A,$A1693,Tasks!$B:$B,$B1693,Tasks!$C:$C,$G1693)*100,0),"")</f>
        <v/>
      </c>
    </row>
    <row r="1694" spans="1:8" ht="15" hidden="1" customHeight="1">
      <c r="A1694" t="s">
        <v>102</v>
      </c>
      <c r="B1694" t="s">
        <v>103</v>
      </c>
      <c r="C1694">
        <v>29</v>
      </c>
      <c r="D1694">
        <v>7</v>
      </c>
      <c r="E1694">
        <v>3</v>
      </c>
      <c r="F1694">
        <v>3</v>
      </c>
      <c r="G1694" t="s">
        <v>122</v>
      </c>
      <c r="H1694" t="str">
        <f>IFERROR(ROUND(COUNTIFS(Tasks!$A:$A,$A1694,Tasks!$B:$B,$B1694,Tasks!$C:$C,$G1694,Tasks!$I:$I,"&lt;="&amp;INDEX(Weeks!$D:$D,MATCH($C1694,Weeks!$A:$A,0)),Tasks!$I:$I,"&lt;&gt;")/COUNTIFS(Tasks!$A:$A,$A1694,Tasks!$B:$B,$B1694,Tasks!$C:$C,$G1694)*100,0),"")</f>
        <v/>
      </c>
    </row>
    <row r="1695" spans="1:8" ht="15" hidden="1" customHeight="1">
      <c r="A1695" t="s">
        <v>102</v>
      </c>
      <c r="B1695" t="s">
        <v>103</v>
      </c>
      <c r="C1695">
        <v>30</v>
      </c>
      <c r="D1695">
        <v>7</v>
      </c>
      <c r="E1695">
        <v>4</v>
      </c>
      <c r="F1695">
        <v>3</v>
      </c>
      <c r="G1695" t="s">
        <v>122</v>
      </c>
      <c r="H1695" t="str">
        <f>IFERROR(ROUND(COUNTIFS(Tasks!$A:$A,$A1695,Tasks!$B:$B,$B1695,Tasks!$C:$C,$G1695,Tasks!$I:$I,"&lt;="&amp;INDEX(Weeks!$D:$D,MATCH($C1695,Weeks!$A:$A,0)),Tasks!$I:$I,"&lt;&gt;")/COUNTIFS(Tasks!$A:$A,$A1695,Tasks!$B:$B,$B1695,Tasks!$C:$C,$G1695)*100,0),"")</f>
        <v/>
      </c>
    </row>
    <row r="1696" spans="1:8" ht="15" hidden="1" customHeight="1">
      <c r="A1696" t="s">
        <v>102</v>
      </c>
      <c r="B1696" t="s">
        <v>103</v>
      </c>
      <c r="C1696">
        <v>31</v>
      </c>
      <c r="D1696">
        <v>8</v>
      </c>
      <c r="E1696">
        <v>1</v>
      </c>
      <c r="F1696">
        <v>3</v>
      </c>
      <c r="G1696" t="s">
        <v>122</v>
      </c>
      <c r="H1696" t="str">
        <f>IFERROR(ROUND(COUNTIFS(Tasks!$A:$A,$A1696,Tasks!$B:$B,$B1696,Tasks!$C:$C,$G1696,Tasks!$I:$I,"&lt;="&amp;INDEX(Weeks!$D:$D,MATCH($C1696,Weeks!$A:$A,0)),Tasks!$I:$I,"&lt;&gt;")/COUNTIFS(Tasks!$A:$A,$A1696,Tasks!$B:$B,$B1696,Tasks!$C:$C,$G1696)*100,0),"")</f>
        <v/>
      </c>
    </row>
    <row r="1697" spans="1:8" ht="15" hidden="1" customHeight="1">
      <c r="A1697" t="s">
        <v>102</v>
      </c>
      <c r="B1697" t="s">
        <v>103</v>
      </c>
      <c r="C1697">
        <v>32</v>
      </c>
      <c r="D1697">
        <v>8</v>
      </c>
      <c r="E1697">
        <v>2</v>
      </c>
      <c r="F1697">
        <v>3</v>
      </c>
      <c r="G1697" t="s">
        <v>122</v>
      </c>
      <c r="H1697" t="str">
        <f>IFERROR(ROUND(COUNTIFS(Tasks!$A:$A,$A1697,Tasks!$B:$B,$B1697,Tasks!$C:$C,$G1697,Tasks!$I:$I,"&lt;="&amp;INDEX(Weeks!$D:$D,MATCH($C1697,Weeks!$A:$A,0)),Tasks!$I:$I,"&lt;&gt;")/COUNTIFS(Tasks!$A:$A,$A1697,Tasks!$B:$B,$B1697,Tasks!$C:$C,$G1697)*100,0),"")</f>
        <v/>
      </c>
    </row>
    <row r="1698" spans="1:8" ht="15" hidden="1" customHeight="1">
      <c r="A1698" t="s">
        <v>102</v>
      </c>
      <c r="B1698" t="s">
        <v>103</v>
      </c>
      <c r="C1698">
        <v>33</v>
      </c>
      <c r="D1698">
        <v>8</v>
      </c>
      <c r="E1698">
        <v>3</v>
      </c>
      <c r="F1698">
        <v>3</v>
      </c>
      <c r="G1698" t="s">
        <v>122</v>
      </c>
      <c r="H1698" t="str">
        <f>IFERROR(ROUND(COUNTIFS(Tasks!$A:$A,$A1698,Tasks!$B:$B,$B1698,Tasks!$C:$C,$G1698,Tasks!$I:$I,"&lt;="&amp;INDEX(Weeks!$D:$D,MATCH($C1698,Weeks!$A:$A,0)),Tasks!$I:$I,"&lt;&gt;")/COUNTIFS(Tasks!$A:$A,$A1698,Tasks!$B:$B,$B1698,Tasks!$C:$C,$G1698)*100,0),"")</f>
        <v/>
      </c>
    </row>
    <row r="1699" spans="1:8" ht="15" hidden="1" customHeight="1">
      <c r="A1699" t="s">
        <v>102</v>
      </c>
      <c r="B1699" t="s">
        <v>103</v>
      </c>
      <c r="C1699">
        <v>34</v>
      </c>
      <c r="D1699">
        <v>8</v>
      </c>
      <c r="E1699">
        <v>4</v>
      </c>
      <c r="F1699">
        <v>3</v>
      </c>
      <c r="G1699" t="s">
        <v>122</v>
      </c>
      <c r="H1699" t="str">
        <f>IFERROR(ROUND(COUNTIFS(Tasks!$A:$A,$A1699,Tasks!$B:$B,$B1699,Tasks!$C:$C,$G1699,Tasks!$I:$I,"&lt;="&amp;INDEX(Weeks!$D:$D,MATCH($C1699,Weeks!$A:$A,0)),Tasks!$I:$I,"&lt;&gt;")/COUNTIFS(Tasks!$A:$A,$A1699,Tasks!$B:$B,$B1699,Tasks!$C:$C,$G1699)*100,0),"")</f>
        <v/>
      </c>
    </row>
    <row r="1700" spans="1:8" ht="15" hidden="1" customHeight="1">
      <c r="A1700" t="s">
        <v>102</v>
      </c>
      <c r="B1700" t="s">
        <v>103</v>
      </c>
      <c r="C1700">
        <v>35</v>
      </c>
      <c r="D1700">
        <v>8</v>
      </c>
      <c r="E1700">
        <v>5</v>
      </c>
      <c r="F1700">
        <v>3</v>
      </c>
      <c r="G1700" t="s">
        <v>122</v>
      </c>
      <c r="H1700" t="str">
        <f>IFERROR(ROUND(COUNTIFS(Tasks!$A:$A,$A1700,Tasks!$B:$B,$B1700,Tasks!$C:$C,$G1700,Tasks!$I:$I,"&lt;="&amp;INDEX(Weeks!$D:$D,MATCH($C1700,Weeks!$A:$A,0)),Tasks!$I:$I,"&lt;&gt;")/COUNTIFS(Tasks!$A:$A,$A1700,Tasks!$B:$B,$B1700,Tasks!$C:$C,$G1700)*100,0),"")</f>
        <v/>
      </c>
    </row>
    <row r="1701" spans="1:8" ht="15" hidden="1" customHeight="1">
      <c r="A1701" t="s">
        <v>102</v>
      </c>
      <c r="B1701" t="s">
        <v>103</v>
      </c>
      <c r="C1701">
        <v>36</v>
      </c>
      <c r="D1701">
        <v>9</v>
      </c>
      <c r="E1701">
        <v>1</v>
      </c>
      <c r="F1701">
        <v>3</v>
      </c>
      <c r="G1701" t="s">
        <v>122</v>
      </c>
      <c r="H1701" t="str">
        <f>IFERROR(ROUND(COUNTIFS(Tasks!$A:$A,$A1701,Tasks!$B:$B,$B1701,Tasks!$C:$C,$G1701,Tasks!$I:$I,"&lt;="&amp;INDEX(Weeks!$D:$D,MATCH($C1701,Weeks!$A:$A,0)),Tasks!$I:$I,"&lt;&gt;")/COUNTIFS(Tasks!$A:$A,$A1701,Tasks!$B:$B,$B1701,Tasks!$C:$C,$G1701)*100,0),"")</f>
        <v/>
      </c>
    </row>
    <row r="1702" spans="1:8" ht="15" hidden="1" customHeight="1">
      <c r="A1702" t="s">
        <v>102</v>
      </c>
      <c r="B1702" t="s">
        <v>103</v>
      </c>
      <c r="C1702">
        <v>37</v>
      </c>
      <c r="D1702">
        <v>9</v>
      </c>
      <c r="E1702">
        <v>2</v>
      </c>
      <c r="F1702">
        <v>3</v>
      </c>
      <c r="G1702" t="s">
        <v>122</v>
      </c>
      <c r="H1702" t="str">
        <f>IFERROR(ROUND(COUNTIFS(Tasks!$A:$A,$A1702,Tasks!$B:$B,$B1702,Tasks!$C:$C,$G1702,Tasks!$I:$I,"&lt;="&amp;INDEX(Weeks!$D:$D,MATCH($C1702,Weeks!$A:$A,0)),Tasks!$I:$I,"&lt;&gt;")/COUNTIFS(Tasks!$A:$A,$A1702,Tasks!$B:$B,$B1702,Tasks!$C:$C,$G1702)*100,0),"")</f>
        <v/>
      </c>
    </row>
    <row r="1703" spans="1:8" ht="15" hidden="1" customHeight="1">
      <c r="A1703" t="s">
        <v>102</v>
      </c>
      <c r="B1703" t="s">
        <v>103</v>
      </c>
      <c r="C1703">
        <v>38</v>
      </c>
      <c r="D1703">
        <v>9</v>
      </c>
      <c r="E1703">
        <v>3</v>
      </c>
      <c r="F1703">
        <v>3</v>
      </c>
      <c r="G1703" t="s">
        <v>122</v>
      </c>
      <c r="H1703" t="str">
        <f>IFERROR(ROUND(COUNTIFS(Tasks!$A:$A,$A1703,Tasks!$B:$B,$B1703,Tasks!$C:$C,$G1703,Tasks!$I:$I,"&lt;="&amp;INDEX(Weeks!$D:$D,MATCH($C1703,Weeks!$A:$A,0)),Tasks!$I:$I,"&lt;&gt;")/COUNTIFS(Tasks!$A:$A,$A1703,Tasks!$B:$B,$B1703,Tasks!$C:$C,$G1703)*100,0),"")</f>
        <v/>
      </c>
    </row>
    <row r="1704" spans="1:8" ht="15" hidden="1" customHeight="1">
      <c r="A1704" t="s">
        <v>102</v>
      </c>
      <c r="B1704" t="s">
        <v>103</v>
      </c>
      <c r="C1704">
        <v>39</v>
      </c>
      <c r="D1704">
        <v>9</v>
      </c>
      <c r="E1704">
        <v>4</v>
      </c>
      <c r="F1704">
        <v>3</v>
      </c>
      <c r="G1704" t="s">
        <v>122</v>
      </c>
      <c r="H1704" t="str">
        <f>IFERROR(ROUND(COUNTIFS(Tasks!$A:$A,$A1704,Tasks!$B:$B,$B1704,Tasks!$C:$C,$G1704,Tasks!$I:$I,"&lt;="&amp;INDEX(Weeks!$D:$D,MATCH($C1704,Weeks!$A:$A,0)),Tasks!$I:$I,"&lt;&gt;")/COUNTIFS(Tasks!$A:$A,$A1704,Tasks!$B:$B,$B1704,Tasks!$C:$C,$G1704)*100,0),"")</f>
        <v/>
      </c>
    </row>
    <row r="1705" spans="1:8" ht="15" hidden="1" customHeight="1">
      <c r="A1705" t="s">
        <v>102</v>
      </c>
      <c r="B1705" t="s">
        <v>103</v>
      </c>
      <c r="C1705">
        <v>40</v>
      </c>
      <c r="D1705">
        <v>10</v>
      </c>
      <c r="E1705">
        <v>1</v>
      </c>
      <c r="F1705">
        <v>3</v>
      </c>
      <c r="G1705" t="s">
        <v>122</v>
      </c>
      <c r="H1705" t="str">
        <f>IFERROR(ROUND(COUNTIFS(Tasks!$A:$A,$A1705,Tasks!$B:$B,$B1705,Tasks!$C:$C,$G1705,Tasks!$I:$I,"&lt;="&amp;INDEX(Weeks!$D:$D,MATCH($C1705,Weeks!$A:$A,0)),Tasks!$I:$I,"&lt;&gt;")/COUNTIFS(Tasks!$A:$A,$A1705,Tasks!$B:$B,$B1705,Tasks!$C:$C,$G1705)*100,0),"")</f>
        <v/>
      </c>
    </row>
    <row r="1706" spans="1:8" ht="15" hidden="1" customHeight="1">
      <c r="A1706" t="s">
        <v>102</v>
      </c>
      <c r="B1706" t="s">
        <v>103</v>
      </c>
      <c r="C1706">
        <v>41</v>
      </c>
      <c r="D1706">
        <v>10</v>
      </c>
      <c r="E1706">
        <v>2</v>
      </c>
      <c r="F1706">
        <v>3</v>
      </c>
      <c r="G1706" t="s">
        <v>122</v>
      </c>
      <c r="H1706" t="str">
        <f>IFERROR(ROUND(COUNTIFS(Tasks!$A:$A,$A1706,Tasks!$B:$B,$B1706,Tasks!$C:$C,$G1706,Tasks!$I:$I,"&lt;="&amp;INDEX(Weeks!$D:$D,MATCH($C1706,Weeks!$A:$A,0)),Tasks!$I:$I,"&lt;&gt;")/COUNTIFS(Tasks!$A:$A,$A1706,Tasks!$B:$B,$B1706,Tasks!$C:$C,$G1706)*100,0),"")</f>
        <v/>
      </c>
    </row>
    <row r="1707" spans="1:8" ht="15" hidden="1" customHeight="1">
      <c r="A1707" t="s">
        <v>102</v>
      </c>
      <c r="B1707" t="s">
        <v>103</v>
      </c>
      <c r="C1707">
        <v>42</v>
      </c>
      <c r="D1707">
        <v>10</v>
      </c>
      <c r="E1707">
        <v>3</v>
      </c>
      <c r="F1707">
        <v>3</v>
      </c>
      <c r="G1707" t="s">
        <v>122</v>
      </c>
      <c r="H1707" t="str">
        <f>IFERROR(ROUND(COUNTIFS(Tasks!$A:$A,$A1707,Tasks!$B:$B,$B1707,Tasks!$C:$C,$G1707,Tasks!$I:$I,"&lt;="&amp;INDEX(Weeks!$D:$D,MATCH($C1707,Weeks!$A:$A,0)),Tasks!$I:$I,"&lt;&gt;")/COUNTIFS(Tasks!$A:$A,$A1707,Tasks!$B:$B,$B1707,Tasks!$C:$C,$G1707)*100,0),"")</f>
        <v/>
      </c>
    </row>
    <row r="1708" spans="1:8" ht="15" hidden="1" customHeight="1">
      <c r="A1708" t="s">
        <v>102</v>
      </c>
      <c r="B1708" t="s">
        <v>103</v>
      </c>
      <c r="C1708">
        <v>43</v>
      </c>
      <c r="D1708">
        <v>10</v>
      </c>
      <c r="E1708">
        <v>4</v>
      </c>
      <c r="F1708">
        <v>3</v>
      </c>
      <c r="G1708" t="s">
        <v>122</v>
      </c>
      <c r="H1708" t="str">
        <f>IFERROR(ROUND(COUNTIFS(Tasks!$A:$A,$A1708,Tasks!$B:$B,$B1708,Tasks!$C:$C,$G1708,Tasks!$I:$I,"&lt;="&amp;INDEX(Weeks!$D:$D,MATCH($C1708,Weeks!$A:$A,0)),Tasks!$I:$I,"&lt;&gt;")/COUNTIFS(Tasks!$A:$A,$A1708,Tasks!$B:$B,$B1708,Tasks!$C:$C,$G1708)*100,0),"")</f>
        <v/>
      </c>
    </row>
    <row r="1709" spans="1:8" ht="15" hidden="1" customHeight="1">
      <c r="A1709" t="s">
        <v>102</v>
      </c>
      <c r="B1709" t="s">
        <v>103</v>
      </c>
      <c r="C1709">
        <v>44</v>
      </c>
      <c r="D1709">
        <v>10</v>
      </c>
      <c r="E1709">
        <v>5</v>
      </c>
      <c r="F1709">
        <v>3</v>
      </c>
      <c r="G1709" t="s">
        <v>122</v>
      </c>
      <c r="H1709" t="str">
        <f>IFERROR(ROUND(COUNTIFS(Tasks!$A:$A,$A1709,Tasks!$B:$B,$B1709,Tasks!$C:$C,$G1709,Tasks!$I:$I,"&lt;="&amp;INDEX(Weeks!$D:$D,MATCH($C1709,Weeks!$A:$A,0)),Tasks!$I:$I,"&lt;&gt;")/COUNTIFS(Tasks!$A:$A,$A1709,Tasks!$B:$B,$B1709,Tasks!$C:$C,$G1709)*100,0),"")</f>
        <v/>
      </c>
    </row>
    <row r="1710" spans="1:8" ht="15" hidden="1" customHeight="1">
      <c r="A1710" t="s">
        <v>102</v>
      </c>
      <c r="B1710" t="s">
        <v>103</v>
      </c>
      <c r="C1710">
        <v>45</v>
      </c>
      <c r="D1710">
        <v>11</v>
      </c>
      <c r="E1710">
        <v>1</v>
      </c>
      <c r="F1710">
        <v>3</v>
      </c>
      <c r="G1710" t="s">
        <v>122</v>
      </c>
      <c r="H1710" t="str">
        <f>IFERROR(ROUND(COUNTIFS(Tasks!$A:$A,$A1710,Tasks!$B:$B,$B1710,Tasks!$C:$C,$G1710,Tasks!$I:$I,"&lt;="&amp;INDEX(Weeks!$D:$D,MATCH($C1710,Weeks!$A:$A,0)),Tasks!$I:$I,"&lt;&gt;")/COUNTIFS(Tasks!$A:$A,$A1710,Tasks!$B:$B,$B1710,Tasks!$C:$C,$G1710)*100,0),"")</f>
        <v/>
      </c>
    </row>
    <row r="1711" spans="1:8" ht="15" hidden="1" customHeight="1">
      <c r="A1711" t="s">
        <v>102</v>
      </c>
      <c r="B1711" t="s">
        <v>103</v>
      </c>
      <c r="C1711">
        <v>46</v>
      </c>
      <c r="D1711">
        <v>11</v>
      </c>
      <c r="E1711">
        <v>2</v>
      </c>
      <c r="F1711">
        <v>3</v>
      </c>
      <c r="G1711" t="s">
        <v>122</v>
      </c>
      <c r="H1711" t="str">
        <f>IFERROR(ROUND(COUNTIFS(Tasks!$A:$A,$A1711,Tasks!$B:$B,$B1711,Tasks!$C:$C,$G1711,Tasks!$I:$I,"&lt;="&amp;INDEX(Weeks!$D:$D,MATCH($C1711,Weeks!$A:$A,0)),Tasks!$I:$I,"&lt;&gt;")/COUNTIFS(Tasks!$A:$A,$A1711,Tasks!$B:$B,$B1711,Tasks!$C:$C,$G1711)*100,0),"")</f>
        <v/>
      </c>
    </row>
    <row r="1712" spans="1:8" ht="15" hidden="1" customHeight="1">
      <c r="A1712" t="s">
        <v>102</v>
      </c>
      <c r="B1712" t="s">
        <v>103</v>
      </c>
      <c r="C1712">
        <v>47</v>
      </c>
      <c r="D1712">
        <v>11</v>
      </c>
      <c r="E1712">
        <v>3</v>
      </c>
      <c r="F1712">
        <v>3</v>
      </c>
      <c r="G1712" t="s">
        <v>122</v>
      </c>
      <c r="H1712" t="str">
        <f>IFERROR(ROUND(COUNTIFS(Tasks!$A:$A,$A1712,Tasks!$B:$B,$B1712,Tasks!$C:$C,$G1712,Tasks!$I:$I,"&lt;="&amp;INDEX(Weeks!$D:$D,MATCH($C1712,Weeks!$A:$A,0)),Tasks!$I:$I,"&lt;&gt;")/COUNTIFS(Tasks!$A:$A,$A1712,Tasks!$B:$B,$B1712,Tasks!$C:$C,$G1712)*100,0),"")</f>
        <v/>
      </c>
    </row>
    <row r="1713" spans="1:8" ht="15" hidden="1" customHeight="1">
      <c r="A1713" t="s">
        <v>102</v>
      </c>
      <c r="B1713" t="s">
        <v>103</v>
      </c>
      <c r="C1713">
        <v>48</v>
      </c>
      <c r="D1713">
        <v>11</v>
      </c>
      <c r="E1713">
        <v>4</v>
      </c>
      <c r="F1713">
        <v>3</v>
      </c>
      <c r="G1713" t="s">
        <v>122</v>
      </c>
      <c r="H1713" t="str">
        <f>IFERROR(ROUND(COUNTIFS(Tasks!$A:$A,$A1713,Tasks!$B:$B,$B1713,Tasks!$C:$C,$G1713,Tasks!$I:$I,"&lt;="&amp;INDEX(Weeks!$D:$D,MATCH($C1713,Weeks!$A:$A,0)),Tasks!$I:$I,"&lt;&gt;")/COUNTIFS(Tasks!$A:$A,$A1713,Tasks!$B:$B,$B1713,Tasks!$C:$C,$G1713)*100,0),"")</f>
        <v/>
      </c>
    </row>
    <row r="1714" spans="1:8" ht="15" hidden="1" customHeight="1">
      <c r="A1714" t="s">
        <v>102</v>
      </c>
      <c r="B1714" t="s">
        <v>103</v>
      </c>
      <c r="C1714">
        <v>49</v>
      </c>
      <c r="D1714">
        <v>12</v>
      </c>
      <c r="E1714">
        <v>1</v>
      </c>
      <c r="F1714">
        <v>3</v>
      </c>
      <c r="G1714" t="s">
        <v>122</v>
      </c>
      <c r="H1714" t="str">
        <f>IFERROR(ROUND(COUNTIFS(Tasks!$A:$A,$A1714,Tasks!$B:$B,$B1714,Tasks!$C:$C,$G1714,Tasks!$I:$I,"&lt;="&amp;INDEX(Weeks!$D:$D,MATCH($C1714,Weeks!$A:$A,0)),Tasks!$I:$I,"&lt;&gt;")/COUNTIFS(Tasks!$A:$A,$A1714,Tasks!$B:$B,$B1714,Tasks!$C:$C,$G1714)*100,0),"")</f>
        <v/>
      </c>
    </row>
    <row r="1715" spans="1:8" ht="15" hidden="1" customHeight="1">
      <c r="A1715" t="s">
        <v>102</v>
      </c>
      <c r="B1715" t="s">
        <v>103</v>
      </c>
      <c r="C1715">
        <v>50</v>
      </c>
      <c r="D1715">
        <v>12</v>
      </c>
      <c r="E1715">
        <v>2</v>
      </c>
      <c r="F1715">
        <v>3</v>
      </c>
      <c r="G1715" t="s">
        <v>122</v>
      </c>
      <c r="H1715" t="str">
        <f>IFERROR(ROUND(COUNTIFS(Tasks!$A:$A,$A1715,Tasks!$B:$B,$B1715,Tasks!$C:$C,$G1715,Tasks!$I:$I,"&lt;="&amp;INDEX(Weeks!$D:$D,MATCH($C1715,Weeks!$A:$A,0)),Tasks!$I:$I,"&lt;&gt;")/COUNTIFS(Tasks!$A:$A,$A1715,Tasks!$B:$B,$B1715,Tasks!$C:$C,$G1715)*100,0),"")</f>
        <v/>
      </c>
    </row>
    <row r="1716" spans="1:8" ht="15" hidden="1" customHeight="1">
      <c r="A1716" t="s">
        <v>102</v>
      </c>
      <c r="B1716" t="s">
        <v>103</v>
      </c>
      <c r="C1716">
        <v>51</v>
      </c>
      <c r="D1716">
        <v>12</v>
      </c>
      <c r="E1716">
        <v>3</v>
      </c>
      <c r="F1716">
        <v>3</v>
      </c>
      <c r="G1716" t="s">
        <v>122</v>
      </c>
      <c r="H1716" t="str">
        <f>IFERROR(ROUND(COUNTIFS(Tasks!$A:$A,$A1716,Tasks!$B:$B,$B1716,Tasks!$C:$C,$G1716,Tasks!$I:$I,"&lt;="&amp;INDEX(Weeks!$D:$D,MATCH($C1716,Weeks!$A:$A,0)),Tasks!$I:$I,"&lt;&gt;")/COUNTIFS(Tasks!$A:$A,$A1716,Tasks!$B:$B,$B1716,Tasks!$C:$C,$G1716)*100,0),"")</f>
        <v/>
      </c>
    </row>
    <row r="1717" spans="1:8" ht="15" hidden="1" customHeight="1">
      <c r="A1717" t="s">
        <v>102</v>
      </c>
      <c r="B1717" t="s">
        <v>103</v>
      </c>
      <c r="C1717">
        <v>52</v>
      </c>
      <c r="D1717">
        <v>12</v>
      </c>
      <c r="E1717">
        <v>4</v>
      </c>
      <c r="F1717">
        <v>3</v>
      </c>
      <c r="G1717" t="s">
        <v>122</v>
      </c>
      <c r="H1717" t="str">
        <f>IFERROR(ROUND(COUNTIFS(Tasks!$A:$A,$A1717,Tasks!$B:$B,$B1717,Tasks!$C:$C,$G1717,Tasks!$I:$I,"&lt;="&amp;INDEX(Weeks!$D:$D,MATCH($C1717,Weeks!$A:$A,0)),Tasks!$I:$I,"&lt;&gt;")/COUNTIFS(Tasks!$A:$A,$A1717,Tasks!$B:$B,$B1717,Tasks!$C:$C,$G1717)*100,0),"")</f>
        <v/>
      </c>
    </row>
    <row r="1718" spans="1:8" ht="15" hidden="1" customHeight="1">
      <c r="A1718" t="s">
        <v>102</v>
      </c>
      <c r="B1718" t="s">
        <v>103</v>
      </c>
      <c r="C1718">
        <v>1</v>
      </c>
      <c r="D1718">
        <v>1</v>
      </c>
      <c r="E1718">
        <v>1</v>
      </c>
      <c r="F1718">
        <v>4</v>
      </c>
      <c r="G1718" t="s">
        <v>123</v>
      </c>
      <c r="H1718" t="str">
        <f>IFERROR(ROUND(COUNTIFS(Tasks!$A:$A,$A1718,Tasks!$B:$B,$B1718,Tasks!$C:$C,$G1718,Tasks!$I:$I,"&lt;="&amp;INDEX(Weeks!$D:$D,MATCH($C1718,Weeks!$A:$A,0)),Tasks!$I:$I,"&lt;&gt;")/COUNTIFS(Tasks!$A:$A,$A1718,Tasks!$B:$B,$B1718,Tasks!$C:$C,$G1718)*100,0),"")</f>
        <v/>
      </c>
    </row>
    <row r="1719" spans="1:8" ht="15" hidden="1" customHeight="1">
      <c r="A1719" t="s">
        <v>102</v>
      </c>
      <c r="B1719" t="s">
        <v>103</v>
      </c>
      <c r="C1719">
        <v>2</v>
      </c>
      <c r="D1719">
        <v>1</v>
      </c>
      <c r="E1719">
        <v>2</v>
      </c>
      <c r="F1719">
        <v>4</v>
      </c>
      <c r="G1719" t="s">
        <v>123</v>
      </c>
      <c r="H1719" t="str">
        <f>IFERROR(ROUND(COUNTIFS(Tasks!$A:$A,$A1719,Tasks!$B:$B,$B1719,Tasks!$C:$C,$G1719,Tasks!$I:$I,"&lt;="&amp;INDEX(Weeks!$D:$D,MATCH($C1719,Weeks!$A:$A,0)),Tasks!$I:$I,"&lt;&gt;")/COUNTIFS(Tasks!$A:$A,$A1719,Tasks!$B:$B,$B1719,Tasks!$C:$C,$G1719)*100,0),"")</f>
        <v/>
      </c>
    </row>
    <row r="1720" spans="1:8" ht="15" hidden="1" customHeight="1">
      <c r="A1720" t="s">
        <v>102</v>
      </c>
      <c r="B1720" t="s">
        <v>103</v>
      </c>
      <c r="C1720">
        <v>3</v>
      </c>
      <c r="D1720">
        <v>1</v>
      </c>
      <c r="E1720">
        <v>3</v>
      </c>
      <c r="F1720">
        <v>4</v>
      </c>
      <c r="G1720" t="s">
        <v>123</v>
      </c>
      <c r="H1720" t="str">
        <f>IFERROR(ROUND(COUNTIFS(Tasks!$A:$A,$A1720,Tasks!$B:$B,$B1720,Tasks!$C:$C,$G1720,Tasks!$I:$I,"&lt;="&amp;INDEX(Weeks!$D:$D,MATCH($C1720,Weeks!$A:$A,0)),Tasks!$I:$I,"&lt;&gt;")/COUNTIFS(Tasks!$A:$A,$A1720,Tasks!$B:$B,$B1720,Tasks!$C:$C,$G1720)*100,0),"")</f>
        <v/>
      </c>
    </row>
    <row r="1721" spans="1:8" ht="15" hidden="1" customHeight="1">
      <c r="A1721" t="s">
        <v>102</v>
      </c>
      <c r="B1721" t="s">
        <v>103</v>
      </c>
      <c r="C1721">
        <v>4</v>
      </c>
      <c r="D1721">
        <v>1</v>
      </c>
      <c r="E1721">
        <v>4</v>
      </c>
      <c r="F1721">
        <v>4</v>
      </c>
      <c r="G1721" t="s">
        <v>123</v>
      </c>
      <c r="H1721" t="str">
        <f>IFERROR(ROUND(COUNTIFS(Tasks!$A:$A,$A1721,Tasks!$B:$B,$B1721,Tasks!$C:$C,$G1721,Tasks!$I:$I,"&lt;="&amp;INDEX(Weeks!$D:$D,MATCH($C1721,Weeks!$A:$A,0)),Tasks!$I:$I,"&lt;&gt;")/COUNTIFS(Tasks!$A:$A,$A1721,Tasks!$B:$B,$B1721,Tasks!$C:$C,$G1721)*100,0),"")</f>
        <v/>
      </c>
    </row>
    <row r="1722" spans="1:8" ht="15" hidden="1" customHeight="1">
      <c r="A1722" t="s">
        <v>102</v>
      </c>
      <c r="B1722" t="s">
        <v>103</v>
      </c>
      <c r="C1722">
        <v>5</v>
      </c>
      <c r="D1722">
        <v>1</v>
      </c>
      <c r="E1722">
        <v>5</v>
      </c>
      <c r="F1722">
        <v>4</v>
      </c>
      <c r="G1722" t="s">
        <v>123</v>
      </c>
      <c r="H1722" t="str">
        <f>IFERROR(ROUND(COUNTIFS(Tasks!$A:$A,$A1722,Tasks!$B:$B,$B1722,Tasks!$C:$C,$G1722,Tasks!$I:$I,"&lt;="&amp;INDEX(Weeks!$D:$D,MATCH($C1722,Weeks!$A:$A,0)),Tasks!$I:$I,"&lt;&gt;")/COUNTIFS(Tasks!$A:$A,$A1722,Tasks!$B:$B,$B1722,Tasks!$C:$C,$G1722)*100,0),"")</f>
        <v/>
      </c>
    </row>
    <row r="1723" spans="1:8" ht="15" hidden="1" customHeight="1">
      <c r="A1723" t="s">
        <v>102</v>
      </c>
      <c r="B1723" t="s">
        <v>103</v>
      </c>
      <c r="C1723">
        <v>6</v>
      </c>
      <c r="D1723">
        <v>2</v>
      </c>
      <c r="E1723">
        <v>1</v>
      </c>
      <c r="F1723">
        <v>4</v>
      </c>
      <c r="G1723" t="s">
        <v>123</v>
      </c>
      <c r="H1723" t="str">
        <f>IFERROR(ROUND(COUNTIFS(Tasks!$A:$A,$A1723,Tasks!$B:$B,$B1723,Tasks!$C:$C,$G1723,Tasks!$I:$I,"&lt;="&amp;INDEX(Weeks!$D:$D,MATCH($C1723,Weeks!$A:$A,0)),Tasks!$I:$I,"&lt;&gt;")/COUNTIFS(Tasks!$A:$A,$A1723,Tasks!$B:$B,$B1723,Tasks!$C:$C,$G1723)*100,0),"")</f>
        <v/>
      </c>
    </row>
    <row r="1724" spans="1:8" ht="15" hidden="1" customHeight="1">
      <c r="A1724" t="s">
        <v>102</v>
      </c>
      <c r="B1724" t="s">
        <v>103</v>
      </c>
      <c r="C1724">
        <v>7</v>
      </c>
      <c r="D1724">
        <v>2</v>
      </c>
      <c r="E1724">
        <v>2</v>
      </c>
      <c r="F1724">
        <v>4</v>
      </c>
      <c r="G1724" t="s">
        <v>123</v>
      </c>
      <c r="H1724" t="str">
        <f>IFERROR(ROUND(COUNTIFS(Tasks!$A:$A,$A1724,Tasks!$B:$B,$B1724,Tasks!$C:$C,$G1724,Tasks!$I:$I,"&lt;="&amp;INDEX(Weeks!$D:$D,MATCH($C1724,Weeks!$A:$A,0)),Tasks!$I:$I,"&lt;&gt;")/COUNTIFS(Tasks!$A:$A,$A1724,Tasks!$B:$B,$B1724,Tasks!$C:$C,$G1724)*100,0),"")</f>
        <v/>
      </c>
    </row>
    <row r="1725" spans="1:8" ht="15" hidden="1" customHeight="1">
      <c r="A1725" t="s">
        <v>102</v>
      </c>
      <c r="B1725" t="s">
        <v>103</v>
      </c>
      <c r="C1725">
        <v>8</v>
      </c>
      <c r="D1725">
        <v>2</v>
      </c>
      <c r="E1725">
        <v>3</v>
      </c>
      <c r="F1725">
        <v>4</v>
      </c>
      <c r="G1725" t="s">
        <v>123</v>
      </c>
      <c r="H1725" t="str">
        <f>IFERROR(ROUND(COUNTIFS(Tasks!$A:$A,$A1725,Tasks!$B:$B,$B1725,Tasks!$C:$C,$G1725,Tasks!$I:$I,"&lt;="&amp;INDEX(Weeks!$D:$D,MATCH($C1725,Weeks!$A:$A,0)),Tasks!$I:$I,"&lt;&gt;")/COUNTIFS(Tasks!$A:$A,$A1725,Tasks!$B:$B,$B1725,Tasks!$C:$C,$G1725)*100,0),"")</f>
        <v/>
      </c>
    </row>
    <row r="1726" spans="1:8" ht="15" hidden="1" customHeight="1">
      <c r="A1726" t="s">
        <v>102</v>
      </c>
      <c r="B1726" t="s">
        <v>103</v>
      </c>
      <c r="C1726">
        <v>9</v>
      </c>
      <c r="D1726">
        <v>2</v>
      </c>
      <c r="E1726">
        <v>4</v>
      </c>
      <c r="F1726">
        <v>4</v>
      </c>
      <c r="G1726" t="s">
        <v>123</v>
      </c>
      <c r="H1726" t="str">
        <f>IFERROR(ROUND(COUNTIFS(Tasks!$A:$A,$A1726,Tasks!$B:$B,$B1726,Tasks!$C:$C,$G1726,Tasks!$I:$I,"&lt;="&amp;INDEX(Weeks!$D:$D,MATCH($C1726,Weeks!$A:$A,0)),Tasks!$I:$I,"&lt;&gt;")/COUNTIFS(Tasks!$A:$A,$A1726,Tasks!$B:$B,$B1726,Tasks!$C:$C,$G1726)*100,0),"")</f>
        <v/>
      </c>
    </row>
    <row r="1727" spans="1:8" ht="15" hidden="1" customHeight="1">
      <c r="A1727" t="s">
        <v>102</v>
      </c>
      <c r="B1727" t="s">
        <v>103</v>
      </c>
      <c r="C1727">
        <v>10</v>
      </c>
      <c r="D1727">
        <v>3</v>
      </c>
      <c r="E1727">
        <v>1</v>
      </c>
      <c r="F1727">
        <v>4</v>
      </c>
      <c r="G1727" t="s">
        <v>123</v>
      </c>
      <c r="H1727" t="str">
        <f>IFERROR(ROUND(COUNTIFS(Tasks!$A:$A,$A1727,Tasks!$B:$B,$B1727,Tasks!$C:$C,$G1727,Tasks!$I:$I,"&lt;="&amp;INDEX(Weeks!$D:$D,MATCH($C1727,Weeks!$A:$A,0)),Tasks!$I:$I,"&lt;&gt;")/COUNTIFS(Tasks!$A:$A,$A1727,Tasks!$B:$B,$B1727,Tasks!$C:$C,$G1727)*100,0),"")</f>
        <v/>
      </c>
    </row>
    <row r="1728" spans="1:8" ht="15" hidden="1" customHeight="1">
      <c r="A1728" t="s">
        <v>102</v>
      </c>
      <c r="B1728" t="s">
        <v>103</v>
      </c>
      <c r="C1728">
        <v>11</v>
      </c>
      <c r="D1728">
        <v>3</v>
      </c>
      <c r="E1728">
        <v>2</v>
      </c>
      <c r="F1728">
        <v>4</v>
      </c>
      <c r="G1728" t="s">
        <v>123</v>
      </c>
      <c r="H1728" t="str">
        <f>IFERROR(ROUND(COUNTIFS(Tasks!$A:$A,$A1728,Tasks!$B:$B,$B1728,Tasks!$C:$C,$G1728,Tasks!$I:$I,"&lt;="&amp;INDEX(Weeks!$D:$D,MATCH($C1728,Weeks!$A:$A,0)),Tasks!$I:$I,"&lt;&gt;")/COUNTIFS(Tasks!$A:$A,$A1728,Tasks!$B:$B,$B1728,Tasks!$C:$C,$G1728)*100,0),"")</f>
        <v/>
      </c>
    </row>
    <row r="1729" spans="1:8" ht="15" hidden="1" customHeight="1">
      <c r="A1729" t="s">
        <v>102</v>
      </c>
      <c r="B1729" t="s">
        <v>103</v>
      </c>
      <c r="C1729">
        <v>12</v>
      </c>
      <c r="D1729">
        <v>3</v>
      </c>
      <c r="E1729">
        <v>3</v>
      </c>
      <c r="F1729">
        <v>4</v>
      </c>
      <c r="G1729" t="s">
        <v>123</v>
      </c>
      <c r="H1729" t="str">
        <f>IFERROR(ROUND(COUNTIFS(Tasks!$A:$A,$A1729,Tasks!$B:$B,$B1729,Tasks!$C:$C,$G1729,Tasks!$I:$I,"&lt;="&amp;INDEX(Weeks!$D:$D,MATCH($C1729,Weeks!$A:$A,0)),Tasks!$I:$I,"&lt;&gt;")/COUNTIFS(Tasks!$A:$A,$A1729,Tasks!$B:$B,$B1729,Tasks!$C:$C,$G1729)*100,0),"")</f>
        <v/>
      </c>
    </row>
    <row r="1730" spans="1:8" ht="15" hidden="1" customHeight="1">
      <c r="A1730" t="s">
        <v>102</v>
      </c>
      <c r="B1730" t="s">
        <v>103</v>
      </c>
      <c r="C1730">
        <v>13</v>
      </c>
      <c r="D1730">
        <v>3</v>
      </c>
      <c r="E1730">
        <v>4</v>
      </c>
      <c r="F1730">
        <v>4</v>
      </c>
      <c r="G1730" t="s">
        <v>123</v>
      </c>
      <c r="H1730" t="str">
        <f>IFERROR(ROUND(COUNTIFS(Tasks!$A:$A,$A1730,Tasks!$B:$B,$B1730,Tasks!$C:$C,$G1730,Tasks!$I:$I,"&lt;="&amp;INDEX(Weeks!$D:$D,MATCH($C1730,Weeks!$A:$A,0)),Tasks!$I:$I,"&lt;&gt;")/COUNTIFS(Tasks!$A:$A,$A1730,Tasks!$B:$B,$B1730,Tasks!$C:$C,$G1730)*100,0),"")</f>
        <v/>
      </c>
    </row>
    <row r="1731" spans="1:8" ht="15" hidden="1" customHeight="1">
      <c r="A1731" t="s">
        <v>102</v>
      </c>
      <c r="B1731" t="s">
        <v>103</v>
      </c>
      <c r="C1731">
        <v>14</v>
      </c>
      <c r="D1731">
        <v>4</v>
      </c>
      <c r="E1731">
        <v>1</v>
      </c>
      <c r="F1731">
        <v>4</v>
      </c>
      <c r="G1731" t="s">
        <v>123</v>
      </c>
      <c r="H1731" t="str">
        <f>IFERROR(ROUND(COUNTIFS(Tasks!$A:$A,$A1731,Tasks!$B:$B,$B1731,Tasks!$C:$C,$G1731,Tasks!$I:$I,"&lt;="&amp;INDEX(Weeks!$D:$D,MATCH($C1731,Weeks!$A:$A,0)),Tasks!$I:$I,"&lt;&gt;")/COUNTIFS(Tasks!$A:$A,$A1731,Tasks!$B:$B,$B1731,Tasks!$C:$C,$G1731)*100,0),"")</f>
        <v/>
      </c>
    </row>
    <row r="1732" spans="1:8" ht="15" hidden="1" customHeight="1">
      <c r="A1732" t="s">
        <v>102</v>
      </c>
      <c r="B1732" t="s">
        <v>103</v>
      </c>
      <c r="C1732">
        <v>15</v>
      </c>
      <c r="D1732">
        <v>4</v>
      </c>
      <c r="E1732">
        <v>2</v>
      </c>
      <c r="F1732">
        <v>4</v>
      </c>
      <c r="G1732" t="s">
        <v>123</v>
      </c>
      <c r="H1732" t="str">
        <f>IFERROR(ROUND(COUNTIFS(Tasks!$A:$A,$A1732,Tasks!$B:$B,$B1732,Tasks!$C:$C,$G1732,Tasks!$I:$I,"&lt;="&amp;INDEX(Weeks!$D:$D,MATCH($C1732,Weeks!$A:$A,0)),Tasks!$I:$I,"&lt;&gt;")/COUNTIFS(Tasks!$A:$A,$A1732,Tasks!$B:$B,$B1732,Tasks!$C:$C,$G1732)*100,0),"")</f>
        <v/>
      </c>
    </row>
    <row r="1733" spans="1:8" ht="15" hidden="1" customHeight="1">
      <c r="A1733" t="s">
        <v>102</v>
      </c>
      <c r="B1733" t="s">
        <v>103</v>
      </c>
      <c r="C1733">
        <v>16</v>
      </c>
      <c r="D1733">
        <v>4</v>
      </c>
      <c r="E1733">
        <v>3</v>
      </c>
      <c r="F1733">
        <v>4</v>
      </c>
      <c r="G1733" t="s">
        <v>123</v>
      </c>
      <c r="H1733" t="str">
        <f>IFERROR(ROUND(COUNTIFS(Tasks!$A:$A,$A1733,Tasks!$B:$B,$B1733,Tasks!$C:$C,$G1733,Tasks!$I:$I,"&lt;="&amp;INDEX(Weeks!$D:$D,MATCH($C1733,Weeks!$A:$A,0)),Tasks!$I:$I,"&lt;&gt;")/COUNTIFS(Tasks!$A:$A,$A1733,Tasks!$B:$B,$B1733,Tasks!$C:$C,$G1733)*100,0),"")</f>
        <v/>
      </c>
    </row>
    <row r="1734" spans="1:8" ht="15" hidden="1" customHeight="1">
      <c r="A1734" t="s">
        <v>102</v>
      </c>
      <c r="B1734" t="s">
        <v>103</v>
      </c>
      <c r="C1734">
        <v>17</v>
      </c>
      <c r="D1734">
        <v>4</v>
      </c>
      <c r="E1734">
        <v>4</v>
      </c>
      <c r="F1734">
        <v>4</v>
      </c>
      <c r="G1734" t="s">
        <v>123</v>
      </c>
      <c r="H1734" t="str">
        <f>IFERROR(ROUND(COUNTIFS(Tasks!$A:$A,$A1734,Tasks!$B:$B,$B1734,Tasks!$C:$C,$G1734,Tasks!$I:$I,"&lt;="&amp;INDEX(Weeks!$D:$D,MATCH($C1734,Weeks!$A:$A,0)),Tasks!$I:$I,"&lt;&gt;")/COUNTIFS(Tasks!$A:$A,$A1734,Tasks!$B:$B,$B1734,Tasks!$C:$C,$G1734)*100,0),"")</f>
        <v/>
      </c>
    </row>
    <row r="1735" spans="1:8" ht="15" hidden="1" customHeight="1">
      <c r="A1735" t="s">
        <v>102</v>
      </c>
      <c r="B1735" t="s">
        <v>103</v>
      </c>
      <c r="C1735">
        <v>18</v>
      </c>
      <c r="D1735">
        <v>5</v>
      </c>
      <c r="E1735">
        <v>1</v>
      </c>
      <c r="F1735">
        <v>4</v>
      </c>
      <c r="G1735" t="s">
        <v>123</v>
      </c>
      <c r="H1735" t="str">
        <f>IFERROR(ROUND(COUNTIFS(Tasks!$A:$A,$A1735,Tasks!$B:$B,$B1735,Tasks!$C:$C,$G1735,Tasks!$I:$I,"&lt;="&amp;INDEX(Weeks!$D:$D,MATCH($C1735,Weeks!$A:$A,0)),Tasks!$I:$I,"&lt;&gt;")/COUNTIFS(Tasks!$A:$A,$A1735,Tasks!$B:$B,$B1735,Tasks!$C:$C,$G1735)*100,0),"")</f>
        <v/>
      </c>
    </row>
    <row r="1736" spans="1:8" ht="15" hidden="1" customHeight="1">
      <c r="A1736" t="s">
        <v>102</v>
      </c>
      <c r="B1736" t="s">
        <v>103</v>
      </c>
      <c r="C1736">
        <v>19</v>
      </c>
      <c r="D1736">
        <v>5</v>
      </c>
      <c r="E1736">
        <v>2</v>
      </c>
      <c r="F1736">
        <v>4</v>
      </c>
      <c r="G1736" t="s">
        <v>123</v>
      </c>
      <c r="H1736" t="str">
        <f>IFERROR(ROUND(COUNTIFS(Tasks!$A:$A,$A1736,Tasks!$B:$B,$B1736,Tasks!$C:$C,$G1736,Tasks!$I:$I,"&lt;="&amp;INDEX(Weeks!$D:$D,MATCH($C1736,Weeks!$A:$A,0)),Tasks!$I:$I,"&lt;&gt;")/COUNTIFS(Tasks!$A:$A,$A1736,Tasks!$B:$B,$B1736,Tasks!$C:$C,$G1736)*100,0),"")</f>
        <v/>
      </c>
    </row>
    <row r="1737" spans="1:8" ht="15" hidden="1" customHeight="1">
      <c r="A1737" t="s">
        <v>102</v>
      </c>
      <c r="B1737" t="s">
        <v>103</v>
      </c>
      <c r="C1737">
        <v>20</v>
      </c>
      <c r="D1737">
        <v>5</v>
      </c>
      <c r="E1737">
        <v>3</v>
      </c>
      <c r="F1737">
        <v>4</v>
      </c>
      <c r="G1737" t="s">
        <v>123</v>
      </c>
      <c r="H1737" t="str">
        <f>IFERROR(ROUND(COUNTIFS(Tasks!$A:$A,$A1737,Tasks!$B:$B,$B1737,Tasks!$C:$C,$G1737,Tasks!$I:$I,"&lt;="&amp;INDEX(Weeks!$D:$D,MATCH($C1737,Weeks!$A:$A,0)),Tasks!$I:$I,"&lt;&gt;")/COUNTIFS(Tasks!$A:$A,$A1737,Tasks!$B:$B,$B1737,Tasks!$C:$C,$G1737)*100,0),"")</f>
        <v/>
      </c>
    </row>
    <row r="1738" spans="1:8" ht="15" hidden="1" customHeight="1">
      <c r="A1738" t="s">
        <v>102</v>
      </c>
      <c r="B1738" t="s">
        <v>103</v>
      </c>
      <c r="C1738">
        <v>21</v>
      </c>
      <c r="D1738">
        <v>5</v>
      </c>
      <c r="E1738">
        <v>4</v>
      </c>
      <c r="F1738">
        <v>4</v>
      </c>
      <c r="G1738" t="s">
        <v>123</v>
      </c>
      <c r="H1738" t="str">
        <f>IFERROR(ROUND(COUNTIFS(Tasks!$A:$A,$A1738,Tasks!$B:$B,$B1738,Tasks!$C:$C,$G1738,Tasks!$I:$I,"&lt;="&amp;INDEX(Weeks!$D:$D,MATCH($C1738,Weeks!$A:$A,0)),Tasks!$I:$I,"&lt;&gt;")/COUNTIFS(Tasks!$A:$A,$A1738,Tasks!$B:$B,$B1738,Tasks!$C:$C,$G1738)*100,0),"")</f>
        <v/>
      </c>
    </row>
    <row r="1739" spans="1:8" ht="15" hidden="1" customHeight="1">
      <c r="A1739" t="s">
        <v>102</v>
      </c>
      <c r="B1739" t="s">
        <v>103</v>
      </c>
      <c r="C1739">
        <v>22</v>
      </c>
      <c r="D1739">
        <v>5</v>
      </c>
      <c r="E1739">
        <v>5</v>
      </c>
      <c r="F1739">
        <v>4</v>
      </c>
      <c r="G1739" t="s">
        <v>123</v>
      </c>
      <c r="H1739" t="str">
        <f>IFERROR(ROUND(COUNTIFS(Tasks!$A:$A,$A1739,Tasks!$B:$B,$B1739,Tasks!$C:$C,$G1739,Tasks!$I:$I,"&lt;="&amp;INDEX(Weeks!$D:$D,MATCH($C1739,Weeks!$A:$A,0)),Tasks!$I:$I,"&lt;&gt;")/COUNTIFS(Tasks!$A:$A,$A1739,Tasks!$B:$B,$B1739,Tasks!$C:$C,$G1739)*100,0),"")</f>
        <v/>
      </c>
    </row>
    <row r="1740" spans="1:8" ht="15" hidden="1" customHeight="1">
      <c r="A1740" t="s">
        <v>102</v>
      </c>
      <c r="B1740" t="s">
        <v>103</v>
      </c>
      <c r="C1740">
        <v>23</v>
      </c>
      <c r="D1740">
        <v>6</v>
      </c>
      <c r="E1740">
        <v>1</v>
      </c>
      <c r="F1740">
        <v>4</v>
      </c>
      <c r="G1740" t="s">
        <v>123</v>
      </c>
      <c r="H1740" t="str">
        <f>IFERROR(ROUND(COUNTIFS(Tasks!$A:$A,$A1740,Tasks!$B:$B,$B1740,Tasks!$C:$C,$G1740,Tasks!$I:$I,"&lt;="&amp;INDEX(Weeks!$D:$D,MATCH($C1740,Weeks!$A:$A,0)),Tasks!$I:$I,"&lt;&gt;")/COUNTIFS(Tasks!$A:$A,$A1740,Tasks!$B:$B,$B1740,Tasks!$C:$C,$G1740)*100,0),"")</f>
        <v/>
      </c>
    </row>
    <row r="1741" spans="1:8" ht="15" hidden="1" customHeight="1">
      <c r="A1741" t="s">
        <v>102</v>
      </c>
      <c r="B1741" t="s">
        <v>103</v>
      </c>
      <c r="C1741">
        <v>24</v>
      </c>
      <c r="D1741">
        <v>6</v>
      </c>
      <c r="E1741">
        <v>2</v>
      </c>
      <c r="F1741">
        <v>4</v>
      </c>
      <c r="G1741" t="s">
        <v>123</v>
      </c>
      <c r="H1741" t="str">
        <f>IFERROR(ROUND(COUNTIFS(Tasks!$A:$A,$A1741,Tasks!$B:$B,$B1741,Tasks!$C:$C,$G1741,Tasks!$I:$I,"&lt;="&amp;INDEX(Weeks!$D:$D,MATCH($C1741,Weeks!$A:$A,0)),Tasks!$I:$I,"&lt;&gt;")/COUNTIFS(Tasks!$A:$A,$A1741,Tasks!$B:$B,$B1741,Tasks!$C:$C,$G1741)*100,0),"")</f>
        <v/>
      </c>
    </row>
    <row r="1742" spans="1:8" ht="15" hidden="1" customHeight="1">
      <c r="A1742" t="s">
        <v>102</v>
      </c>
      <c r="B1742" t="s">
        <v>103</v>
      </c>
      <c r="C1742">
        <v>25</v>
      </c>
      <c r="D1742">
        <v>6</v>
      </c>
      <c r="E1742">
        <v>3</v>
      </c>
      <c r="F1742">
        <v>4</v>
      </c>
      <c r="G1742" t="s">
        <v>123</v>
      </c>
      <c r="H1742" t="str">
        <f>IFERROR(ROUND(COUNTIFS(Tasks!$A:$A,$A1742,Tasks!$B:$B,$B1742,Tasks!$C:$C,$G1742,Tasks!$I:$I,"&lt;="&amp;INDEX(Weeks!$D:$D,MATCH($C1742,Weeks!$A:$A,0)),Tasks!$I:$I,"&lt;&gt;")/COUNTIFS(Tasks!$A:$A,$A1742,Tasks!$B:$B,$B1742,Tasks!$C:$C,$G1742)*100,0),"")</f>
        <v/>
      </c>
    </row>
    <row r="1743" spans="1:8" ht="15" hidden="1" customHeight="1">
      <c r="A1743" t="s">
        <v>102</v>
      </c>
      <c r="B1743" t="s">
        <v>103</v>
      </c>
      <c r="C1743">
        <v>26</v>
      </c>
      <c r="D1743">
        <v>6</v>
      </c>
      <c r="E1743">
        <v>4</v>
      </c>
      <c r="F1743">
        <v>4</v>
      </c>
      <c r="G1743" t="s">
        <v>123</v>
      </c>
      <c r="H1743" t="str">
        <f>IFERROR(ROUND(COUNTIFS(Tasks!$A:$A,$A1743,Tasks!$B:$B,$B1743,Tasks!$C:$C,$G1743,Tasks!$I:$I,"&lt;="&amp;INDEX(Weeks!$D:$D,MATCH($C1743,Weeks!$A:$A,0)),Tasks!$I:$I,"&lt;&gt;")/COUNTIFS(Tasks!$A:$A,$A1743,Tasks!$B:$B,$B1743,Tasks!$C:$C,$G1743)*100,0),"")</f>
        <v/>
      </c>
    </row>
    <row r="1744" spans="1:8" ht="15" hidden="1" customHeight="1">
      <c r="A1744" t="s">
        <v>102</v>
      </c>
      <c r="B1744" t="s">
        <v>103</v>
      </c>
      <c r="C1744">
        <v>27</v>
      </c>
      <c r="D1744">
        <v>7</v>
      </c>
      <c r="E1744">
        <v>1</v>
      </c>
      <c r="F1744">
        <v>4</v>
      </c>
      <c r="G1744" t="s">
        <v>123</v>
      </c>
      <c r="H1744" t="str">
        <f>IFERROR(ROUND(COUNTIFS(Tasks!$A:$A,$A1744,Tasks!$B:$B,$B1744,Tasks!$C:$C,$G1744,Tasks!$I:$I,"&lt;="&amp;INDEX(Weeks!$D:$D,MATCH($C1744,Weeks!$A:$A,0)),Tasks!$I:$I,"&lt;&gt;")/COUNTIFS(Tasks!$A:$A,$A1744,Tasks!$B:$B,$B1744,Tasks!$C:$C,$G1744)*100,0),"")</f>
        <v/>
      </c>
    </row>
    <row r="1745" spans="1:8" ht="15" hidden="1" customHeight="1">
      <c r="A1745" t="s">
        <v>102</v>
      </c>
      <c r="B1745" t="s">
        <v>103</v>
      </c>
      <c r="C1745">
        <v>28</v>
      </c>
      <c r="D1745">
        <v>7</v>
      </c>
      <c r="E1745">
        <v>2</v>
      </c>
      <c r="F1745">
        <v>4</v>
      </c>
      <c r="G1745" t="s">
        <v>123</v>
      </c>
      <c r="H1745" t="str">
        <f>IFERROR(ROUND(COUNTIFS(Tasks!$A:$A,$A1745,Tasks!$B:$B,$B1745,Tasks!$C:$C,$G1745,Tasks!$I:$I,"&lt;="&amp;INDEX(Weeks!$D:$D,MATCH($C1745,Weeks!$A:$A,0)),Tasks!$I:$I,"&lt;&gt;")/COUNTIFS(Tasks!$A:$A,$A1745,Tasks!$B:$B,$B1745,Tasks!$C:$C,$G1745)*100,0),"")</f>
        <v/>
      </c>
    </row>
    <row r="1746" spans="1:8" ht="15" hidden="1" customHeight="1">
      <c r="A1746" t="s">
        <v>102</v>
      </c>
      <c r="B1746" t="s">
        <v>103</v>
      </c>
      <c r="C1746">
        <v>29</v>
      </c>
      <c r="D1746">
        <v>7</v>
      </c>
      <c r="E1746">
        <v>3</v>
      </c>
      <c r="F1746">
        <v>4</v>
      </c>
      <c r="G1746" t="s">
        <v>123</v>
      </c>
      <c r="H1746" t="str">
        <f>IFERROR(ROUND(COUNTIFS(Tasks!$A:$A,$A1746,Tasks!$B:$B,$B1746,Tasks!$C:$C,$G1746,Tasks!$I:$I,"&lt;="&amp;INDEX(Weeks!$D:$D,MATCH($C1746,Weeks!$A:$A,0)),Tasks!$I:$I,"&lt;&gt;")/COUNTIFS(Tasks!$A:$A,$A1746,Tasks!$B:$B,$B1746,Tasks!$C:$C,$G1746)*100,0),"")</f>
        <v/>
      </c>
    </row>
    <row r="1747" spans="1:8" ht="15" hidden="1" customHeight="1">
      <c r="A1747" t="s">
        <v>102</v>
      </c>
      <c r="B1747" t="s">
        <v>103</v>
      </c>
      <c r="C1747">
        <v>30</v>
      </c>
      <c r="D1747">
        <v>7</v>
      </c>
      <c r="E1747">
        <v>4</v>
      </c>
      <c r="F1747">
        <v>4</v>
      </c>
      <c r="G1747" t="s">
        <v>123</v>
      </c>
      <c r="H1747" t="str">
        <f>IFERROR(ROUND(COUNTIFS(Tasks!$A:$A,$A1747,Tasks!$B:$B,$B1747,Tasks!$C:$C,$G1747,Tasks!$I:$I,"&lt;="&amp;INDEX(Weeks!$D:$D,MATCH($C1747,Weeks!$A:$A,0)),Tasks!$I:$I,"&lt;&gt;")/COUNTIFS(Tasks!$A:$A,$A1747,Tasks!$B:$B,$B1747,Tasks!$C:$C,$G1747)*100,0),"")</f>
        <v/>
      </c>
    </row>
    <row r="1748" spans="1:8" ht="15" hidden="1" customHeight="1">
      <c r="A1748" t="s">
        <v>102</v>
      </c>
      <c r="B1748" t="s">
        <v>103</v>
      </c>
      <c r="C1748">
        <v>31</v>
      </c>
      <c r="D1748">
        <v>8</v>
      </c>
      <c r="E1748">
        <v>1</v>
      </c>
      <c r="F1748">
        <v>4</v>
      </c>
      <c r="G1748" t="s">
        <v>123</v>
      </c>
      <c r="H1748" t="str">
        <f>IFERROR(ROUND(COUNTIFS(Tasks!$A:$A,$A1748,Tasks!$B:$B,$B1748,Tasks!$C:$C,$G1748,Tasks!$I:$I,"&lt;="&amp;INDEX(Weeks!$D:$D,MATCH($C1748,Weeks!$A:$A,0)),Tasks!$I:$I,"&lt;&gt;")/COUNTIFS(Tasks!$A:$A,$A1748,Tasks!$B:$B,$B1748,Tasks!$C:$C,$G1748)*100,0),"")</f>
        <v/>
      </c>
    </row>
    <row r="1749" spans="1:8" ht="15" hidden="1" customHeight="1">
      <c r="A1749" t="s">
        <v>102</v>
      </c>
      <c r="B1749" t="s">
        <v>103</v>
      </c>
      <c r="C1749">
        <v>32</v>
      </c>
      <c r="D1749">
        <v>8</v>
      </c>
      <c r="E1749">
        <v>2</v>
      </c>
      <c r="F1749">
        <v>4</v>
      </c>
      <c r="G1749" t="s">
        <v>123</v>
      </c>
      <c r="H1749" t="str">
        <f>IFERROR(ROUND(COUNTIFS(Tasks!$A:$A,$A1749,Tasks!$B:$B,$B1749,Tasks!$C:$C,$G1749,Tasks!$I:$I,"&lt;="&amp;INDEX(Weeks!$D:$D,MATCH($C1749,Weeks!$A:$A,0)),Tasks!$I:$I,"&lt;&gt;")/COUNTIFS(Tasks!$A:$A,$A1749,Tasks!$B:$B,$B1749,Tasks!$C:$C,$G1749)*100,0),"")</f>
        <v/>
      </c>
    </row>
    <row r="1750" spans="1:8" ht="15" hidden="1" customHeight="1">
      <c r="A1750" t="s">
        <v>102</v>
      </c>
      <c r="B1750" t="s">
        <v>103</v>
      </c>
      <c r="C1750">
        <v>33</v>
      </c>
      <c r="D1750">
        <v>8</v>
      </c>
      <c r="E1750">
        <v>3</v>
      </c>
      <c r="F1750">
        <v>4</v>
      </c>
      <c r="G1750" t="s">
        <v>123</v>
      </c>
      <c r="H1750" t="str">
        <f>IFERROR(ROUND(COUNTIFS(Tasks!$A:$A,$A1750,Tasks!$B:$B,$B1750,Tasks!$C:$C,$G1750,Tasks!$I:$I,"&lt;="&amp;INDEX(Weeks!$D:$D,MATCH($C1750,Weeks!$A:$A,0)),Tasks!$I:$I,"&lt;&gt;")/COUNTIFS(Tasks!$A:$A,$A1750,Tasks!$B:$B,$B1750,Tasks!$C:$C,$G1750)*100,0),"")</f>
        <v/>
      </c>
    </row>
    <row r="1751" spans="1:8" ht="15" hidden="1" customHeight="1">
      <c r="A1751" t="s">
        <v>102</v>
      </c>
      <c r="B1751" t="s">
        <v>103</v>
      </c>
      <c r="C1751">
        <v>34</v>
      </c>
      <c r="D1751">
        <v>8</v>
      </c>
      <c r="E1751">
        <v>4</v>
      </c>
      <c r="F1751">
        <v>4</v>
      </c>
      <c r="G1751" t="s">
        <v>123</v>
      </c>
      <c r="H1751" t="str">
        <f>IFERROR(ROUND(COUNTIFS(Tasks!$A:$A,$A1751,Tasks!$B:$B,$B1751,Tasks!$C:$C,$G1751,Tasks!$I:$I,"&lt;="&amp;INDEX(Weeks!$D:$D,MATCH($C1751,Weeks!$A:$A,0)),Tasks!$I:$I,"&lt;&gt;")/COUNTIFS(Tasks!$A:$A,$A1751,Tasks!$B:$B,$B1751,Tasks!$C:$C,$G1751)*100,0),"")</f>
        <v/>
      </c>
    </row>
    <row r="1752" spans="1:8" ht="15" hidden="1" customHeight="1">
      <c r="A1752" t="s">
        <v>102</v>
      </c>
      <c r="B1752" t="s">
        <v>103</v>
      </c>
      <c r="C1752">
        <v>35</v>
      </c>
      <c r="D1752">
        <v>8</v>
      </c>
      <c r="E1752">
        <v>5</v>
      </c>
      <c r="F1752">
        <v>4</v>
      </c>
      <c r="G1752" t="s">
        <v>123</v>
      </c>
      <c r="H1752" t="str">
        <f>IFERROR(ROUND(COUNTIFS(Tasks!$A:$A,$A1752,Tasks!$B:$B,$B1752,Tasks!$C:$C,$G1752,Tasks!$I:$I,"&lt;="&amp;INDEX(Weeks!$D:$D,MATCH($C1752,Weeks!$A:$A,0)),Tasks!$I:$I,"&lt;&gt;")/COUNTIFS(Tasks!$A:$A,$A1752,Tasks!$B:$B,$B1752,Tasks!$C:$C,$G1752)*100,0),"")</f>
        <v/>
      </c>
    </row>
    <row r="1753" spans="1:8" ht="15" hidden="1" customHeight="1">
      <c r="A1753" t="s">
        <v>102</v>
      </c>
      <c r="B1753" t="s">
        <v>103</v>
      </c>
      <c r="C1753">
        <v>36</v>
      </c>
      <c r="D1753">
        <v>9</v>
      </c>
      <c r="E1753">
        <v>1</v>
      </c>
      <c r="F1753">
        <v>4</v>
      </c>
      <c r="G1753" t="s">
        <v>123</v>
      </c>
      <c r="H1753" t="str">
        <f>IFERROR(ROUND(COUNTIFS(Tasks!$A:$A,$A1753,Tasks!$B:$B,$B1753,Tasks!$C:$C,$G1753,Tasks!$I:$I,"&lt;="&amp;INDEX(Weeks!$D:$D,MATCH($C1753,Weeks!$A:$A,0)),Tasks!$I:$I,"&lt;&gt;")/COUNTIFS(Tasks!$A:$A,$A1753,Tasks!$B:$B,$B1753,Tasks!$C:$C,$G1753)*100,0),"")</f>
        <v/>
      </c>
    </row>
    <row r="1754" spans="1:8" ht="15" hidden="1" customHeight="1">
      <c r="A1754" t="s">
        <v>102</v>
      </c>
      <c r="B1754" t="s">
        <v>103</v>
      </c>
      <c r="C1754">
        <v>37</v>
      </c>
      <c r="D1754">
        <v>9</v>
      </c>
      <c r="E1754">
        <v>2</v>
      </c>
      <c r="F1754">
        <v>4</v>
      </c>
      <c r="G1754" t="s">
        <v>123</v>
      </c>
      <c r="H1754" t="str">
        <f>IFERROR(ROUND(COUNTIFS(Tasks!$A:$A,$A1754,Tasks!$B:$B,$B1754,Tasks!$C:$C,$G1754,Tasks!$I:$I,"&lt;="&amp;INDEX(Weeks!$D:$D,MATCH($C1754,Weeks!$A:$A,0)),Tasks!$I:$I,"&lt;&gt;")/COUNTIFS(Tasks!$A:$A,$A1754,Tasks!$B:$B,$B1754,Tasks!$C:$C,$G1754)*100,0),"")</f>
        <v/>
      </c>
    </row>
    <row r="1755" spans="1:8" ht="15" hidden="1" customHeight="1">
      <c r="A1755" t="s">
        <v>102</v>
      </c>
      <c r="B1755" t="s">
        <v>103</v>
      </c>
      <c r="C1755">
        <v>38</v>
      </c>
      <c r="D1755">
        <v>9</v>
      </c>
      <c r="E1755">
        <v>3</v>
      </c>
      <c r="F1755">
        <v>4</v>
      </c>
      <c r="G1755" t="s">
        <v>123</v>
      </c>
      <c r="H1755" t="str">
        <f>IFERROR(ROUND(COUNTIFS(Tasks!$A:$A,$A1755,Tasks!$B:$B,$B1755,Tasks!$C:$C,$G1755,Tasks!$I:$I,"&lt;="&amp;INDEX(Weeks!$D:$D,MATCH($C1755,Weeks!$A:$A,0)),Tasks!$I:$I,"&lt;&gt;")/COUNTIFS(Tasks!$A:$A,$A1755,Tasks!$B:$B,$B1755,Tasks!$C:$C,$G1755)*100,0),"")</f>
        <v/>
      </c>
    </row>
    <row r="1756" spans="1:8" ht="15" hidden="1" customHeight="1">
      <c r="A1756" t="s">
        <v>102</v>
      </c>
      <c r="B1756" t="s">
        <v>103</v>
      </c>
      <c r="C1756">
        <v>39</v>
      </c>
      <c r="D1756">
        <v>9</v>
      </c>
      <c r="E1756">
        <v>4</v>
      </c>
      <c r="F1756">
        <v>4</v>
      </c>
      <c r="G1756" t="s">
        <v>123</v>
      </c>
      <c r="H1756" t="str">
        <f>IFERROR(ROUND(COUNTIFS(Tasks!$A:$A,$A1756,Tasks!$B:$B,$B1756,Tasks!$C:$C,$G1756,Tasks!$I:$I,"&lt;="&amp;INDEX(Weeks!$D:$D,MATCH($C1756,Weeks!$A:$A,0)),Tasks!$I:$I,"&lt;&gt;")/COUNTIFS(Tasks!$A:$A,$A1756,Tasks!$B:$B,$B1756,Tasks!$C:$C,$G1756)*100,0),"")</f>
        <v/>
      </c>
    </row>
    <row r="1757" spans="1:8" ht="15" hidden="1" customHeight="1">
      <c r="A1757" t="s">
        <v>102</v>
      </c>
      <c r="B1757" t="s">
        <v>103</v>
      </c>
      <c r="C1757">
        <v>40</v>
      </c>
      <c r="D1757">
        <v>10</v>
      </c>
      <c r="E1757">
        <v>1</v>
      </c>
      <c r="F1757">
        <v>4</v>
      </c>
      <c r="G1757" t="s">
        <v>123</v>
      </c>
      <c r="H1757" t="str">
        <f>IFERROR(ROUND(COUNTIFS(Tasks!$A:$A,$A1757,Tasks!$B:$B,$B1757,Tasks!$C:$C,$G1757,Tasks!$I:$I,"&lt;="&amp;INDEX(Weeks!$D:$D,MATCH($C1757,Weeks!$A:$A,0)),Tasks!$I:$I,"&lt;&gt;")/COUNTIFS(Tasks!$A:$A,$A1757,Tasks!$B:$B,$B1757,Tasks!$C:$C,$G1757)*100,0),"")</f>
        <v/>
      </c>
    </row>
    <row r="1758" spans="1:8" ht="15" hidden="1" customHeight="1">
      <c r="A1758" t="s">
        <v>102</v>
      </c>
      <c r="B1758" t="s">
        <v>103</v>
      </c>
      <c r="C1758">
        <v>41</v>
      </c>
      <c r="D1758">
        <v>10</v>
      </c>
      <c r="E1758">
        <v>2</v>
      </c>
      <c r="F1758">
        <v>4</v>
      </c>
      <c r="G1758" t="s">
        <v>123</v>
      </c>
      <c r="H1758" t="str">
        <f>IFERROR(ROUND(COUNTIFS(Tasks!$A:$A,$A1758,Tasks!$B:$B,$B1758,Tasks!$C:$C,$G1758,Tasks!$I:$I,"&lt;="&amp;INDEX(Weeks!$D:$D,MATCH($C1758,Weeks!$A:$A,0)),Tasks!$I:$I,"&lt;&gt;")/COUNTIFS(Tasks!$A:$A,$A1758,Tasks!$B:$B,$B1758,Tasks!$C:$C,$G1758)*100,0),"")</f>
        <v/>
      </c>
    </row>
    <row r="1759" spans="1:8" ht="15" hidden="1" customHeight="1">
      <c r="A1759" t="s">
        <v>102</v>
      </c>
      <c r="B1759" t="s">
        <v>103</v>
      </c>
      <c r="C1759">
        <v>42</v>
      </c>
      <c r="D1759">
        <v>10</v>
      </c>
      <c r="E1759">
        <v>3</v>
      </c>
      <c r="F1759">
        <v>4</v>
      </c>
      <c r="G1759" t="s">
        <v>123</v>
      </c>
      <c r="H1759" t="str">
        <f>IFERROR(ROUND(COUNTIFS(Tasks!$A:$A,$A1759,Tasks!$B:$B,$B1759,Tasks!$C:$C,$G1759,Tasks!$I:$I,"&lt;="&amp;INDEX(Weeks!$D:$D,MATCH($C1759,Weeks!$A:$A,0)),Tasks!$I:$I,"&lt;&gt;")/COUNTIFS(Tasks!$A:$A,$A1759,Tasks!$B:$B,$B1759,Tasks!$C:$C,$G1759)*100,0),"")</f>
        <v/>
      </c>
    </row>
    <row r="1760" spans="1:8" ht="15" hidden="1" customHeight="1">
      <c r="A1760" t="s">
        <v>102</v>
      </c>
      <c r="B1760" t="s">
        <v>103</v>
      </c>
      <c r="C1760">
        <v>43</v>
      </c>
      <c r="D1760">
        <v>10</v>
      </c>
      <c r="E1760">
        <v>4</v>
      </c>
      <c r="F1760">
        <v>4</v>
      </c>
      <c r="G1760" t="s">
        <v>123</v>
      </c>
      <c r="H1760" t="str">
        <f>IFERROR(ROUND(COUNTIFS(Tasks!$A:$A,$A1760,Tasks!$B:$B,$B1760,Tasks!$C:$C,$G1760,Tasks!$I:$I,"&lt;="&amp;INDEX(Weeks!$D:$D,MATCH($C1760,Weeks!$A:$A,0)),Tasks!$I:$I,"&lt;&gt;")/COUNTIFS(Tasks!$A:$A,$A1760,Tasks!$B:$B,$B1760,Tasks!$C:$C,$G1760)*100,0),"")</f>
        <v/>
      </c>
    </row>
    <row r="1761" spans="1:8" ht="15" hidden="1" customHeight="1">
      <c r="A1761" t="s">
        <v>102</v>
      </c>
      <c r="B1761" t="s">
        <v>103</v>
      </c>
      <c r="C1761">
        <v>44</v>
      </c>
      <c r="D1761">
        <v>10</v>
      </c>
      <c r="E1761">
        <v>5</v>
      </c>
      <c r="F1761">
        <v>4</v>
      </c>
      <c r="G1761" t="s">
        <v>123</v>
      </c>
      <c r="H1761" t="str">
        <f>IFERROR(ROUND(COUNTIFS(Tasks!$A:$A,$A1761,Tasks!$B:$B,$B1761,Tasks!$C:$C,$G1761,Tasks!$I:$I,"&lt;="&amp;INDEX(Weeks!$D:$D,MATCH($C1761,Weeks!$A:$A,0)),Tasks!$I:$I,"&lt;&gt;")/COUNTIFS(Tasks!$A:$A,$A1761,Tasks!$B:$B,$B1761,Tasks!$C:$C,$G1761)*100,0),"")</f>
        <v/>
      </c>
    </row>
    <row r="1762" spans="1:8" ht="15" hidden="1" customHeight="1">
      <c r="A1762" t="s">
        <v>102</v>
      </c>
      <c r="B1762" t="s">
        <v>103</v>
      </c>
      <c r="C1762">
        <v>45</v>
      </c>
      <c r="D1762">
        <v>11</v>
      </c>
      <c r="E1762">
        <v>1</v>
      </c>
      <c r="F1762">
        <v>4</v>
      </c>
      <c r="G1762" t="s">
        <v>123</v>
      </c>
      <c r="H1762" t="str">
        <f>IFERROR(ROUND(COUNTIFS(Tasks!$A:$A,$A1762,Tasks!$B:$B,$B1762,Tasks!$C:$C,$G1762,Tasks!$I:$I,"&lt;="&amp;INDEX(Weeks!$D:$D,MATCH($C1762,Weeks!$A:$A,0)),Tasks!$I:$I,"&lt;&gt;")/COUNTIFS(Tasks!$A:$A,$A1762,Tasks!$B:$B,$B1762,Tasks!$C:$C,$G1762)*100,0),"")</f>
        <v/>
      </c>
    </row>
    <row r="1763" spans="1:8" ht="15" hidden="1" customHeight="1">
      <c r="A1763" t="s">
        <v>102</v>
      </c>
      <c r="B1763" t="s">
        <v>103</v>
      </c>
      <c r="C1763">
        <v>46</v>
      </c>
      <c r="D1763">
        <v>11</v>
      </c>
      <c r="E1763">
        <v>2</v>
      </c>
      <c r="F1763">
        <v>4</v>
      </c>
      <c r="G1763" t="s">
        <v>123</v>
      </c>
      <c r="H1763" t="str">
        <f>IFERROR(ROUND(COUNTIFS(Tasks!$A:$A,$A1763,Tasks!$B:$B,$B1763,Tasks!$C:$C,$G1763,Tasks!$I:$I,"&lt;="&amp;INDEX(Weeks!$D:$D,MATCH($C1763,Weeks!$A:$A,0)),Tasks!$I:$I,"&lt;&gt;")/COUNTIFS(Tasks!$A:$A,$A1763,Tasks!$B:$B,$B1763,Tasks!$C:$C,$G1763)*100,0),"")</f>
        <v/>
      </c>
    </row>
    <row r="1764" spans="1:8" ht="15" hidden="1" customHeight="1">
      <c r="A1764" t="s">
        <v>102</v>
      </c>
      <c r="B1764" t="s">
        <v>103</v>
      </c>
      <c r="C1764">
        <v>47</v>
      </c>
      <c r="D1764">
        <v>11</v>
      </c>
      <c r="E1764">
        <v>3</v>
      </c>
      <c r="F1764">
        <v>4</v>
      </c>
      <c r="G1764" t="s">
        <v>123</v>
      </c>
      <c r="H1764" t="str">
        <f>IFERROR(ROUND(COUNTIFS(Tasks!$A:$A,$A1764,Tasks!$B:$B,$B1764,Tasks!$C:$C,$G1764,Tasks!$I:$I,"&lt;="&amp;INDEX(Weeks!$D:$D,MATCH($C1764,Weeks!$A:$A,0)),Tasks!$I:$I,"&lt;&gt;")/COUNTIFS(Tasks!$A:$A,$A1764,Tasks!$B:$B,$B1764,Tasks!$C:$C,$G1764)*100,0),"")</f>
        <v/>
      </c>
    </row>
    <row r="1765" spans="1:8" ht="15" hidden="1" customHeight="1">
      <c r="A1765" t="s">
        <v>102</v>
      </c>
      <c r="B1765" t="s">
        <v>103</v>
      </c>
      <c r="C1765">
        <v>48</v>
      </c>
      <c r="D1765">
        <v>11</v>
      </c>
      <c r="E1765">
        <v>4</v>
      </c>
      <c r="F1765">
        <v>4</v>
      </c>
      <c r="G1765" t="s">
        <v>123</v>
      </c>
      <c r="H1765" t="str">
        <f>IFERROR(ROUND(COUNTIFS(Tasks!$A:$A,$A1765,Tasks!$B:$B,$B1765,Tasks!$C:$C,$G1765,Tasks!$I:$I,"&lt;="&amp;INDEX(Weeks!$D:$D,MATCH($C1765,Weeks!$A:$A,0)),Tasks!$I:$I,"&lt;&gt;")/COUNTIFS(Tasks!$A:$A,$A1765,Tasks!$B:$B,$B1765,Tasks!$C:$C,$G1765)*100,0),"")</f>
        <v/>
      </c>
    </row>
    <row r="1766" spans="1:8" ht="15" hidden="1" customHeight="1">
      <c r="A1766" t="s">
        <v>102</v>
      </c>
      <c r="B1766" t="s">
        <v>103</v>
      </c>
      <c r="C1766">
        <v>49</v>
      </c>
      <c r="D1766">
        <v>12</v>
      </c>
      <c r="E1766">
        <v>1</v>
      </c>
      <c r="F1766">
        <v>4</v>
      </c>
      <c r="G1766" t="s">
        <v>123</v>
      </c>
      <c r="H1766" t="str">
        <f>IFERROR(ROUND(COUNTIFS(Tasks!$A:$A,$A1766,Tasks!$B:$B,$B1766,Tasks!$C:$C,$G1766,Tasks!$I:$I,"&lt;="&amp;INDEX(Weeks!$D:$D,MATCH($C1766,Weeks!$A:$A,0)),Tasks!$I:$I,"&lt;&gt;")/COUNTIFS(Tasks!$A:$A,$A1766,Tasks!$B:$B,$B1766,Tasks!$C:$C,$G1766)*100,0),"")</f>
        <v/>
      </c>
    </row>
    <row r="1767" spans="1:8" ht="15" hidden="1" customHeight="1">
      <c r="A1767" t="s">
        <v>102</v>
      </c>
      <c r="B1767" t="s">
        <v>103</v>
      </c>
      <c r="C1767">
        <v>50</v>
      </c>
      <c r="D1767">
        <v>12</v>
      </c>
      <c r="E1767">
        <v>2</v>
      </c>
      <c r="F1767">
        <v>4</v>
      </c>
      <c r="G1767" t="s">
        <v>123</v>
      </c>
      <c r="H1767" t="str">
        <f>IFERROR(ROUND(COUNTIFS(Tasks!$A:$A,$A1767,Tasks!$B:$B,$B1767,Tasks!$C:$C,$G1767,Tasks!$I:$I,"&lt;="&amp;INDEX(Weeks!$D:$D,MATCH($C1767,Weeks!$A:$A,0)),Tasks!$I:$I,"&lt;&gt;")/COUNTIFS(Tasks!$A:$A,$A1767,Tasks!$B:$B,$B1767,Tasks!$C:$C,$G1767)*100,0),"")</f>
        <v/>
      </c>
    </row>
    <row r="1768" spans="1:8" ht="15" hidden="1" customHeight="1">
      <c r="A1768" t="s">
        <v>102</v>
      </c>
      <c r="B1768" t="s">
        <v>103</v>
      </c>
      <c r="C1768">
        <v>51</v>
      </c>
      <c r="D1768">
        <v>12</v>
      </c>
      <c r="E1768">
        <v>3</v>
      </c>
      <c r="F1768">
        <v>4</v>
      </c>
      <c r="G1768" t="s">
        <v>123</v>
      </c>
      <c r="H1768" t="str">
        <f>IFERROR(ROUND(COUNTIFS(Tasks!$A:$A,$A1768,Tasks!$B:$B,$B1768,Tasks!$C:$C,$G1768,Tasks!$I:$I,"&lt;="&amp;INDEX(Weeks!$D:$D,MATCH($C1768,Weeks!$A:$A,0)),Tasks!$I:$I,"&lt;&gt;")/COUNTIFS(Tasks!$A:$A,$A1768,Tasks!$B:$B,$B1768,Tasks!$C:$C,$G1768)*100,0),"")</f>
        <v/>
      </c>
    </row>
    <row r="1769" spans="1:8" ht="15" hidden="1" customHeight="1">
      <c r="A1769" t="s">
        <v>102</v>
      </c>
      <c r="B1769" t="s">
        <v>103</v>
      </c>
      <c r="C1769">
        <v>52</v>
      </c>
      <c r="D1769">
        <v>12</v>
      </c>
      <c r="E1769">
        <v>4</v>
      </c>
      <c r="F1769">
        <v>4</v>
      </c>
      <c r="G1769" t="s">
        <v>123</v>
      </c>
      <c r="H1769" t="str">
        <f>IFERROR(ROUND(COUNTIFS(Tasks!$A:$A,$A1769,Tasks!$B:$B,$B1769,Tasks!$C:$C,$G1769,Tasks!$I:$I,"&lt;="&amp;INDEX(Weeks!$D:$D,MATCH($C1769,Weeks!$A:$A,0)),Tasks!$I:$I,"&lt;&gt;")/COUNTIFS(Tasks!$A:$A,$A1769,Tasks!$B:$B,$B1769,Tasks!$C:$C,$G1769)*100,0),"")</f>
        <v/>
      </c>
    </row>
    <row r="1770" spans="1:8" ht="15" hidden="1" customHeight="1">
      <c r="A1770" t="s">
        <v>102</v>
      </c>
      <c r="B1770" t="s">
        <v>105</v>
      </c>
      <c r="C1770">
        <v>1</v>
      </c>
      <c r="D1770">
        <v>1</v>
      </c>
      <c r="E1770">
        <v>1</v>
      </c>
      <c r="F1770">
        <v>1</v>
      </c>
      <c r="G1770" t="s">
        <v>120</v>
      </c>
      <c r="H1770" t="str">
        <f>IFERROR(ROUND(COUNTIFS(Tasks!$A:$A,$A1770,Tasks!$B:$B,$B1770,Tasks!$C:$C,$G1770,Tasks!$I:$I,"&lt;="&amp;INDEX(Weeks!$D:$D,MATCH($C1770,Weeks!$A:$A,0)),Tasks!$I:$I,"&lt;&gt;")/COUNTIFS(Tasks!$A:$A,$A1770,Tasks!$B:$B,$B1770,Tasks!$C:$C,$G1770)*100,0),"")</f>
        <v/>
      </c>
    </row>
    <row r="1771" spans="1:8" ht="15" hidden="1" customHeight="1">
      <c r="A1771" t="s">
        <v>102</v>
      </c>
      <c r="B1771" t="s">
        <v>105</v>
      </c>
      <c r="C1771">
        <v>2</v>
      </c>
      <c r="D1771">
        <v>1</v>
      </c>
      <c r="E1771">
        <v>2</v>
      </c>
      <c r="F1771">
        <v>1</v>
      </c>
      <c r="G1771" t="s">
        <v>120</v>
      </c>
      <c r="H1771" t="str">
        <f>IFERROR(ROUND(COUNTIFS(Tasks!$A:$A,$A1771,Tasks!$B:$B,$B1771,Tasks!$C:$C,$G1771,Tasks!$I:$I,"&lt;="&amp;INDEX(Weeks!$D:$D,MATCH($C1771,Weeks!$A:$A,0)),Tasks!$I:$I,"&lt;&gt;")/COUNTIFS(Tasks!$A:$A,$A1771,Tasks!$B:$B,$B1771,Tasks!$C:$C,$G1771)*100,0),"")</f>
        <v/>
      </c>
    </row>
    <row r="1772" spans="1:8" ht="15" hidden="1" customHeight="1">
      <c r="A1772" t="s">
        <v>102</v>
      </c>
      <c r="B1772" t="s">
        <v>105</v>
      </c>
      <c r="C1772">
        <v>3</v>
      </c>
      <c r="D1772">
        <v>1</v>
      </c>
      <c r="E1772">
        <v>3</v>
      </c>
      <c r="F1772">
        <v>1</v>
      </c>
      <c r="G1772" t="s">
        <v>120</v>
      </c>
      <c r="H1772" t="str">
        <f>IFERROR(ROUND(COUNTIFS(Tasks!$A:$A,$A1772,Tasks!$B:$B,$B1772,Tasks!$C:$C,$G1772,Tasks!$I:$I,"&lt;="&amp;INDEX(Weeks!$D:$D,MATCH($C1772,Weeks!$A:$A,0)),Tasks!$I:$I,"&lt;&gt;")/COUNTIFS(Tasks!$A:$A,$A1772,Tasks!$B:$B,$B1772,Tasks!$C:$C,$G1772)*100,0),"")</f>
        <v/>
      </c>
    </row>
    <row r="1773" spans="1:8" ht="15" hidden="1" customHeight="1">
      <c r="A1773" t="s">
        <v>102</v>
      </c>
      <c r="B1773" t="s">
        <v>105</v>
      </c>
      <c r="C1773">
        <v>4</v>
      </c>
      <c r="D1773">
        <v>1</v>
      </c>
      <c r="E1773">
        <v>4</v>
      </c>
      <c r="F1773">
        <v>1</v>
      </c>
      <c r="G1773" t="s">
        <v>120</v>
      </c>
      <c r="H1773" t="str">
        <f>IFERROR(ROUND(COUNTIFS(Tasks!$A:$A,$A1773,Tasks!$B:$B,$B1773,Tasks!$C:$C,$G1773,Tasks!$I:$I,"&lt;="&amp;INDEX(Weeks!$D:$D,MATCH($C1773,Weeks!$A:$A,0)),Tasks!$I:$I,"&lt;&gt;")/COUNTIFS(Tasks!$A:$A,$A1773,Tasks!$B:$B,$B1773,Tasks!$C:$C,$G1773)*100,0),"")</f>
        <v/>
      </c>
    </row>
    <row r="1774" spans="1:8" ht="15" hidden="1" customHeight="1">
      <c r="A1774" t="s">
        <v>102</v>
      </c>
      <c r="B1774" t="s">
        <v>105</v>
      </c>
      <c r="C1774">
        <v>5</v>
      </c>
      <c r="D1774">
        <v>1</v>
      </c>
      <c r="E1774">
        <v>5</v>
      </c>
      <c r="F1774">
        <v>1</v>
      </c>
      <c r="G1774" t="s">
        <v>120</v>
      </c>
      <c r="H1774" t="str">
        <f>IFERROR(ROUND(COUNTIFS(Tasks!$A:$A,$A1774,Tasks!$B:$B,$B1774,Tasks!$C:$C,$G1774,Tasks!$I:$I,"&lt;="&amp;INDEX(Weeks!$D:$D,MATCH($C1774,Weeks!$A:$A,0)),Tasks!$I:$I,"&lt;&gt;")/COUNTIFS(Tasks!$A:$A,$A1774,Tasks!$B:$B,$B1774,Tasks!$C:$C,$G1774)*100,0),"")</f>
        <v/>
      </c>
    </row>
    <row r="1775" spans="1:8" ht="15" hidden="1" customHeight="1">
      <c r="A1775" t="s">
        <v>102</v>
      </c>
      <c r="B1775" t="s">
        <v>105</v>
      </c>
      <c r="C1775">
        <v>6</v>
      </c>
      <c r="D1775">
        <v>2</v>
      </c>
      <c r="E1775">
        <v>1</v>
      </c>
      <c r="F1775">
        <v>1</v>
      </c>
      <c r="G1775" t="s">
        <v>120</v>
      </c>
      <c r="H1775" t="str">
        <f>IFERROR(ROUND(COUNTIFS(Tasks!$A:$A,$A1775,Tasks!$B:$B,$B1775,Tasks!$C:$C,$G1775,Tasks!$I:$I,"&lt;="&amp;INDEX(Weeks!$D:$D,MATCH($C1775,Weeks!$A:$A,0)),Tasks!$I:$I,"&lt;&gt;")/COUNTIFS(Tasks!$A:$A,$A1775,Tasks!$B:$B,$B1775,Tasks!$C:$C,$G1775)*100,0),"")</f>
        <v/>
      </c>
    </row>
    <row r="1776" spans="1:8" ht="15" hidden="1" customHeight="1">
      <c r="A1776" t="s">
        <v>102</v>
      </c>
      <c r="B1776" t="s">
        <v>105</v>
      </c>
      <c r="C1776">
        <v>7</v>
      </c>
      <c r="D1776">
        <v>2</v>
      </c>
      <c r="E1776">
        <v>2</v>
      </c>
      <c r="F1776">
        <v>1</v>
      </c>
      <c r="G1776" t="s">
        <v>120</v>
      </c>
      <c r="H1776" t="str">
        <f>IFERROR(ROUND(COUNTIFS(Tasks!$A:$A,$A1776,Tasks!$B:$B,$B1776,Tasks!$C:$C,$G1776,Tasks!$I:$I,"&lt;="&amp;INDEX(Weeks!$D:$D,MATCH($C1776,Weeks!$A:$A,0)),Tasks!$I:$I,"&lt;&gt;")/COUNTIFS(Tasks!$A:$A,$A1776,Tasks!$B:$B,$B1776,Tasks!$C:$C,$G1776)*100,0),"")</f>
        <v/>
      </c>
    </row>
    <row r="1777" spans="1:8" ht="15" hidden="1" customHeight="1">
      <c r="A1777" t="s">
        <v>102</v>
      </c>
      <c r="B1777" t="s">
        <v>105</v>
      </c>
      <c r="C1777">
        <v>8</v>
      </c>
      <c r="D1777">
        <v>2</v>
      </c>
      <c r="E1777">
        <v>3</v>
      </c>
      <c r="F1777">
        <v>1</v>
      </c>
      <c r="G1777" t="s">
        <v>120</v>
      </c>
      <c r="H1777" t="str">
        <f>IFERROR(ROUND(COUNTIFS(Tasks!$A:$A,$A1777,Tasks!$B:$B,$B1777,Tasks!$C:$C,$G1777,Tasks!$I:$I,"&lt;="&amp;INDEX(Weeks!$D:$D,MATCH($C1777,Weeks!$A:$A,0)),Tasks!$I:$I,"&lt;&gt;")/COUNTIFS(Tasks!$A:$A,$A1777,Tasks!$B:$B,$B1777,Tasks!$C:$C,$G1777)*100,0),"")</f>
        <v/>
      </c>
    </row>
    <row r="1778" spans="1:8" ht="15" hidden="1" customHeight="1">
      <c r="A1778" t="s">
        <v>102</v>
      </c>
      <c r="B1778" t="s">
        <v>105</v>
      </c>
      <c r="C1778">
        <v>9</v>
      </c>
      <c r="D1778">
        <v>2</v>
      </c>
      <c r="E1778">
        <v>4</v>
      </c>
      <c r="F1778">
        <v>1</v>
      </c>
      <c r="G1778" t="s">
        <v>120</v>
      </c>
      <c r="H1778" t="str">
        <f>IFERROR(ROUND(COUNTIFS(Tasks!$A:$A,$A1778,Tasks!$B:$B,$B1778,Tasks!$C:$C,$G1778,Tasks!$I:$I,"&lt;="&amp;INDEX(Weeks!$D:$D,MATCH($C1778,Weeks!$A:$A,0)),Tasks!$I:$I,"&lt;&gt;")/COUNTIFS(Tasks!$A:$A,$A1778,Tasks!$B:$B,$B1778,Tasks!$C:$C,$G1778)*100,0),"")</f>
        <v/>
      </c>
    </row>
    <row r="1779" spans="1:8" ht="15" hidden="1" customHeight="1">
      <c r="A1779" t="s">
        <v>102</v>
      </c>
      <c r="B1779" t="s">
        <v>105</v>
      </c>
      <c r="C1779">
        <v>10</v>
      </c>
      <c r="D1779">
        <v>3</v>
      </c>
      <c r="E1779">
        <v>1</v>
      </c>
      <c r="F1779">
        <v>1</v>
      </c>
      <c r="G1779" t="s">
        <v>120</v>
      </c>
      <c r="H1779" t="str">
        <f>IFERROR(ROUND(COUNTIFS(Tasks!$A:$A,$A1779,Tasks!$B:$B,$B1779,Tasks!$C:$C,$G1779,Tasks!$I:$I,"&lt;="&amp;INDEX(Weeks!$D:$D,MATCH($C1779,Weeks!$A:$A,0)),Tasks!$I:$I,"&lt;&gt;")/COUNTIFS(Tasks!$A:$A,$A1779,Tasks!$B:$B,$B1779,Tasks!$C:$C,$G1779)*100,0),"")</f>
        <v/>
      </c>
    </row>
    <row r="1780" spans="1:8" ht="15" hidden="1" customHeight="1">
      <c r="A1780" t="s">
        <v>102</v>
      </c>
      <c r="B1780" t="s">
        <v>105</v>
      </c>
      <c r="C1780">
        <v>11</v>
      </c>
      <c r="D1780">
        <v>3</v>
      </c>
      <c r="E1780">
        <v>2</v>
      </c>
      <c r="F1780">
        <v>1</v>
      </c>
      <c r="G1780" t="s">
        <v>120</v>
      </c>
      <c r="H1780" t="str">
        <f>IFERROR(ROUND(COUNTIFS(Tasks!$A:$A,$A1780,Tasks!$B:$B,$B1780,Tasks!$C:$C,$G1780,Tasks!$I:$I,"&lt;="&amp;INDEX(Weeks!$D:$D,MATCH($C1780,Weeks!$A:$A,0)),Tasks!$I:$I,"&lt;&gt;")/COUNTIFS(Tasks!$A:$A,$A1780,Tasks!$B:$B,$B1780,Tasks!$C:$C,$G1780)*100,0),"")</f>
        <v/>
      </c>
    </row>
    <row r="1781" spans="1:8" ht="15" hidden="1" customHeight="1">
      <c r="A1781" t="s">
        <v>102</v>
      </c>
      <c r="B1781" t="s">
        <v>105</v>
      </c>
      <c r="C1781">
        <v>12</v>
      </c>
      <c r="D1781">
        <v>3</v>
      </c>
      <c r="E1781">
        <v>3</v>
      </c>
      <c r="F1781">
        <v>1</v>
      </c>
      <c r="G1781" t="s">
        <v>120</v>
      </c>
      <c r="H1781" t="str">
        <f>IFERROR(ROUND(COUNTIFS(Tasks!$A:$A,$A1781,Tasks!$B:$B,$B1781,Tasks!$C:$C,$G1781,Tasks!$I:$I,"&lt;="&amp;INDEX(Weeks!$D:$D,MATCH($C1781,Weeks!$A:$A,0)),Tasks!$I:$I,"&lt;&gt;")/COUNTIFS(Tasks!$A:$A,$A1781,Tasks!$B:$B,$B1781,Tasks!$C:$C,$G1781)*100,0),"")</f>
        <v/>
      </c>
    </row>
    <row r="1782" spans="1:8" ht="15" hidden="1" customHeight="1">
      <c r="A1782" t="s">
        <v>102</v>
      </c>
      <c r="B1782" t="s">
        <v>105</v>
      </c>
      <c r="C1782">
        <v>13</v>
      </c>
      <c r="D1782">
        <v>3</v>
      </c>
      <c r="E1782">
        <v>4</v>
      </c>
      <c r="F1782">
        <v>1</v>
      </c>
      <c r="G1782" t="s">
        <v>120</v>
      </c>
      <c r="H1782" t="str">
        <f>IFERROR(ROUND(COUNTIFS(Tasks!$A:$A,$A1782,Tasks!$B:$B,$B1782,Tasks!$C:$C,$G1782,Tasks!$I:$I,"&lt;="&amp;INDEX(Weeks!$D:$D,MATCH($C1782,Weeks!$A:$A,0)),Tasks!$I:$I,"&lt;&gt;")/COUNTIFS(Tasks!$A:$A,$A1782,Tasks!$B:$B,$B1782,Tasks!$C:$C,$G1782)*100,0),"")</f>
        <v/>
      </c>
    </row>
    <row r="1783" spans="1:8" ht="15" hidden="1" customHeight="1">
      <c r="A1783" t="s">
        <v>102</v>
      </c>
      <c r="B1783" t="s">
        <v>105</v>
      </c>
      <c r="C1783">
        <v>14</v>
      </c>
      <c r="D1783">
        <v>4</v>
      </c>
      <c r="E1783">
        <v>1</v>
      </c>
      <c r="F1783">
        <v>1</v>
      </c>
      <c r="G1783" t="s">
        <v>120</v>
      </c>
      <c r="H1783" t="str">
        <f>IFERROR(ROUND(COUNTIFS(Tasks!$A:$A,$A1783,Tasks!$B:$B,$B1783,Tasks!$C:$C,$G1783,Tasks!$I:$I,"&lt;="&amp;INDEX(Weeks!$D:$D,MATCH($C1783,Weeks!$A:$A,0)),Tasks!$I:$I,"&lt;&gt;")/COUNTIFS(Tasks!$A:$A,$A1783,Tasks!$B:$B,$B1783,Tasks!$C:$C,$G1783)*100,0),"")</f>
        <v/>
      </c>
    </row>
    <row r="1784" spans="1:8" ht="15" hidden="1" customHeight="1">
      <c r="A1784" t="s">
        <v>102</v>
      </c>
      <c r="B1784" t="s">
        <v>105</v>
      </c>
      <c r="C1784">
        <v>15</v>
      </c>
      <c r="D1784">
        <v>4</v>
      </c>
      <c r="E1784">
        <v>2</v>
      </c>
      <c r="F1784">
        <v>1</v>
      </c>
      <c r="G1784" t="s">
        <v>120</v>
      </c>
      <c r="H1784" t="str">
        <f>IFERROR(ROUND(COUNTIFS(Tasks!$A:$A,$A1784,Tasks!$B:$B,$B1784,Tasks!$C:$C,$G1784,Tasks!$I:$I,"&lt;="&amp;INDEX(Weeks!$D:$D,MATCH($C1784,Weeks!$A:$A,0)),Tasks!$I:$I,"&lt;&gt;")/COUNTIFS(Tasks!$A:$A,$A1784,Tasks!$B:$B,$B1784,Tasks!$C:$C,$G1784)*100,0),"")</f>
        <v/>
      </c>
    </row>
    <row r="1785" spans="1:8" ht="15" hidden="1" customHeight="1">
      <c r="A1785" t="s">
        <v>102</v>
      </c>
      <c r="B1785" t="s">
        <v>105</v>
      </c>
      <c r="C1785">
        <v>16</v>
      </c>
      <c r="D1785">
        <v>4</v>
      </c>
      <c r="E1785">
        <v>3</v>
      </c>
      <c r="F1785">
        <v>1</v>
      </c>
      <c r="G1785" t="s">
        <v>120</v>
      </c>
      <c r="H1785" t="str">
        <f>IFERROR(ROUND(COUNTIFS(Tasks!$A:$A,$A1785,Tasks!$B:$B,$B1785,Tasks!$C:$C,$G1785,Tasks!$I:$I,"&lt;="&amp;INDEX(Weeks!$D:$D,MATCH($C1785,Weeks!$A:$A,0)),Tasks!$I:$I,"&lt;&gt;")/COUNTIFS(Tasks!$A:$A,$A1785,Tasks!$B:$B,$B1785,Tasks!$C:$C,$G1785)*100,0),"")</f>
        <v/>
      </c>
    </row>
    <row r="1786" spans="1:8" ht="15" hidden="1" customHeight="1">
      <c r="A1786" t="s">
        <v>102</v>
      </c>
      <c r="B1786" t="s">
        <v>105</v>
      </c>
      <c r="C1786">
        <v>17</v>
      </c>
      <c r="D1786">
        <v>4</v>
      </c>
      <c r="E1786">
        <v>4</v>
      </c>
      <c r="F1786">
        <v>1</v>
      </c>
      <c r="G1786" t="s">
        <v>120</v>
      </c>
      <c r="H1786" t="str">
        <f>IFERROR(ROUND(COUNTIFS(Tasks!$A:$A,$A1786,Tasks!$B:$B,$B1786,Tasks!$C:$C,$G1786,Tasks!$I:$I,"&lt;="&amp;INDEX(Weeks!$D:$D,MATCH($C1786,Weeks!$A:$A,0)),Tasks!$I:$I,"&lt;&gt;")/COUNTIFS(Tasks!$A:$A,$A1786,Tasks!$B:$B,$B1786,Tasks!$C:$C,$G1786)*100,0),"")</f>
        <v/>
      </c>
    </row>
    <row r="1787" spans="1:8" ht="15" hidden="1" customHeight="1">
      <c r="A1787" t="s">
        <v>102</v>
      </c>
      <c r="B1787" t="s">
        <v>105</v>
      </c>
      <c r="C1787">
        <v>18</v>
      </c>
      <c r="D1787">
        <v>5</v>
      </c>
      <c r="E1787">
        <v>1</v>
      </c>
      <c r="F1787">
        <v>1</v>
      </c>
      <c r="G1787" t="s">
        <v>120</v>
      </c>
      <c r="H1787" t="str">
        <f>IFERROR(ROUND(COUNTIFS(Tasks!$A:$A,$A1787,Tasks!$B:$B,$B1787,Tasks!$C:$C,$G1787,Tasks!$I:$I,"&lt;="&amp;INDEX(Weeks!$D:$D,MATCH($C1787,Weeks!$A:$A,0)),Tasks!$I:$I,"&lt;&gt;")/COUNTIFS(Tasks!$A:$A,$A1787,Tasks!$B:$B,$B1787,Tasks!$C:$C,$G1787)*100,0),"")</f>
        <v/>
      </c>
    </row>
    <row r="1788" spans="1:8" ht="15" hidden="1" customHeight="1">
      <c r="A1788" t="s">
        <v>102</v>
      </c>
      <c r="B1788" t="s">
        <v>105</v>
      </c>
      <c r="C1788">
        <v>19</v>
      </c>
      <c r="D1788">
        <v>5</v>
      </c>
      <c r="E1788">
        <v>2</v>
      </c>
      <c r="F1788">
        <v>1</v>
      </c>
      <c r="G1788" t="s">
        <v>120</v>
      </c>
      <c r="H1788" t="str">
        <f>IFERROR(ROUND(COUNTIFS(Tasks!$A:$A,$A1788,Tasks!$B:$B,$B1788,Tasks!$C:$C,$G1788,Tasks!$I:$I,"&lt;="&amp;INDEX(Weeks!$D:$D,MATCH($C1788,Weeks!$A:$A,0)),Tasks!$I:$I,"&lt;&gt;")/COUNTIFS(Tasks!$A:$A,$A1788,Tasks!$B:$B,$B1788,Tasks!$C:$C,$G1788)*100,0),"")</f>
        <v/>
      </c>
    </row>
    <row r="1789" spans="1:8" ht="15" hidden="1" customHeight="1">
      <c r="A1789" t="s">
        <v>102</v>
      </c>
      <c r="B1789" t="s">
        <v>105</v>
      </c>
      <c r="C1789">
        <v>20</v>
      </c>
      <c r="D1789">
        <v>5</v>
      </c>
      <c r="E1789">
        <v>3</v>
      </c>
      <c r="F1789">
        <v>1</v>
      </c>
      <c r="G1789" t="s">
        <v>120</v>
      </c>
      <c r="H1789" t="str">
        <f>IFERROR(ROUND(COUNTIFS(Tasks!$A:$A,$A1789,Tasks!$B:$B,$B1789,Tasks!$C:$C,$G1789,Tasks!$I:$I,"&lt;="&amp;INDEX(Weeks!$D:$D,MATCH($C1789,Weeks!$A:$A,0)),Tasks!$I:$I,"&lt;&gt;")/COUNTIFS(Tasks!$A:$A,$A1789,Tasks!$B:$B,$B1789,Tasks!$C:$C,$G1789)*100,0),"")</f>
        <v/>
      </c>
    </row>
    <row r="1790" spans="1:8" ht="15" hidden="1" customHeight="1">
      <c r="A1790" t="s">
        <v>102</v>
      </c>
      <c r="B1790" t="s">
        <v>105</v>
      </c>
      <c r="C1790">
        <v>21</v>
      </c>
      <c r="D1790">
        <v>5</v>
      </c>
      <c r="E1790">
        <v>4</v>
      </c>
      <c r="F1790">
        <v>1</v>
      </c>
      <c r="G1790" t="s">
        <v>120</v>
      </c>
      <c r="H1790" t="str">
        <f>IFERROR(ROUND(COUNTIFS(Tasks!$A:$A,$A1790,Tasks!$B:$B,$B1790,Tasks!$C:$C,$G1790,Tasks!$I:$I,"&lt;="&amp;INDEX(Weeks!$D:$D,MATCH($C1790,Weeks!$A:$A,0)),Tasks!$I:$I,"&lt;&gt;")/COUNTIFS(Tasks!$A:$A,$A1790,Tasks!$B:$B,$B1790,Tasks!$C:$C,$G1790)*100,0),"")</f>
        <v/>
      </c>
    </row>
    <row r="1791" spans="1:8" ht="15" hidden="1" customHeight="1">
      <c r="A1791" t="s">
        <v>102</v>
      </c>
      <c r="B1791" t="s">
        <v>105</v>
      </c>
      <c r="C1791">
        <v>22</v>
      </c>
      <c r="D1791">
        <v>5</v>
      </c>
      <c r="E1791">
        <v>5</v>
      </c>
      <c r="F1791">
        <v>1</v>
      </c>
      <c r="G1791" t="s">
        <v>120</v>
      </c>
      <c r="H1791" t="str">
        <f>IFERROR(ROUND(COUNTIFS(Tasks!$A:$A,$A1791,Tasks!$B:$B,$B1791,Tasks!$C:$C,$G1791,Tasks!$I:$I,"&lt;="&amp;INDEX(Weeks!$D:$D,MATCH($C1791,Weeks!$A:$A,0)),Tasks!$I:$I,"&lt;&gt;")/COUNTIFS(Tasks!$A:$A,$A1791,Tasks!$B:$B,$B1791,Tasks!$C:$C,$G1791)*100,0),"")</f>
        <v/>
      </c>
    </row>
    <row r="1792" spans="1:8" ht="15" hidden="1" customHeight="1">
      <c r="A1792" t="s">
        <v>102</v>
      </c>
      <c r="B1792" t="s">
        <v>105</v>
      </c>
      <c r="C1792">
        <v>23</v>
      </c>
      <c r="D1792">
        <v>6</v>
      </c>
      <c r="E1792">
        <v>1</v>
      </c>
      <c r="F1792">
        <v>1</v>
      </c>
      <c r="G1792" t="s">
        <v>120</v>
      </c>
      <c r="H1792" t="str">
        <f>IFERROR(ROUND(COUNTIFS(Tasks!$A:$A,$A1792,Tasks!$B:$B,$B1792,Tasks!$C:$C,$G1792,Tasks!$I:$I,"&lt;="&amp;INDEX(Weeks!$D:$D,MATCH($C1792,Weeks!$A:$A,0)),Tasks!$I:$I,"&lt;&gt;")/COUNTIFS(Tasks!$A:$A,$A1792,Tasks!$B:$B,$B1792,Tasks!$C:$C,$G1792)*100,0),"")</f>
        <v/>
      </c>
    </row>
    <row r="1793" spans="1:8" ht="15" hidden="1" customHeight="1">
      <c r="A1793" t="s">
        <v>102</v>
      </c>
      <c r="B1793" t="s">
        <v>105</v>
      </c>
      <c r="C1793">
        <v>24</v>
      </c>
      <c r="D1793">
        <v>6</v>
      </c>
      <c r="E1793">
        <v>2</v>
      </c>
      <c r="F1793">
        <v>1</v>
      </c>
      <c r="G1793" t="s">
        <v>120</v>
      </c>
      <c r="H1793" t="str">
        <f>IFERROR(ROUND(COUNTIFS(Tasks!$A:$A,$A1793,Tasks!$B:$B,$B1793,Tasks!$C:$C,$G1793,Tasks!$I:$I,"&lt;="&amp;INDEX(Weeks!$D:$D,MATCH($C1793,Weeks!$A:$A,0)),Tasks!$I:$I,"&lt;&gt;")/COUNTIFS(Tasks!$A:$A,$A1793,Tasks!$B:$B,$B1793,Tasks!$C:$C,$G1793)*100,0),"")</f>
        <v/>
      </c>
    </row>
    <row r="1794" spans="1:8" ht="15" hidden="1" customHeight="1">
      <c r="A1794" t="s">
        <v>102</v>
      </c>
      <c r="B1794" t="s">
        <v>105</v>
      </c>
      <c r="C1794">
        <v>25</v>
      </c>
      <c r="D1794">
        <v>6</v>
      </c>
      <c r="E1794">
        <v>3</v>
      </c>
      <c r="F1794">
        <v>1</v>
      </c>
      <c r="G1794" t="s">
        <v>120</v>
      </c>
      <c r="H1794" t="str">
        <f>IFERROR(ROUND(COUNTIFS(Tasks!$A:$A,$A1794,Tasks!$B:$B,$B1794,Tasks!$C:$C,$G1794,Tasks!$I:$I,"&lt;="&amp;INDEX(Weeks!$D:$D,MATCH($C1794,Weeks!$A:$A,0)),Tasks!$I:$I,"&lt;&gt;")/COUNTIFS(Tasks!$A:$A,$A1794,Tasks!$B:$B,$B1794,Tasks!$C:$C,$G1794)*100,0),"")</f>
        <v/>
      </c>
    </row>
    <row r="1795" spans="1:8" ht="15" hidden="1" customHeight="1">
      <c r="A1795" t="s">
        <v>102</v>
      </c>
      <c r="B1795" t="s">
        <v>105</v>
      </c>
      <c r="C1795">
        <v>26</v>
      </c>
      <c r="D1795">
        <v>6</v>
      </c>
      <c r="E1795">
        <v>4</v>
      </c>
      <c r="F1795">
        <v>1</v>
      </c>
      <c r="G1795" t="s">
        <v>120</v>
      </c>
      <c r="H1795" t="str">
        <f>IFERROR(ROUND(COUNTIFS(Tasks!$A:$A,$A1795,Tasks!$B:$B,$B1795,Tasks!$C:$C,$G1795,Tasks!$I:$I,"&lt;="&amp;INDEX(Weeks!$D:$D,MATCH($C1795,Weeks!$A:$A,0)),Tasks!$I:$I,"&lt;&gt;")/COUNTIFS(Tasks!$A:$A,$A1795,Tasks!$B:$B,$B1795,Tasks!$C:$C,$G1795)*100,0),"")</f>
        <v/>
      </c>
    </row>
    <row r="1796" spans="1:8" ht="15" hidden="1" customHeight="1">
      <c r="A1796" t="s">
        <v>102</v>
      </c>
      <c r="B1796" t="s">
        <v>105</v>
      </c>
      <c r="C1796">
        <v>27</v>
      </c>
      <c r="D1796">
        <v>7</v>
      </c>
      <c r="E1796">
        <v>1</v>
      </c>
      <c r="F1796">
        <v>1</v>
      </c>
      <c r="G1796" t="s">
        <v>120</v>
      </c>
      <c r="H1796" t="str">
        <f>IFERROR(ROUND(COUNTIFS(Tasks!$A:$A,$A1796,Tasks!$B:$B,$B1796,Tasks!$C:$C,$G1796,Tasks!$I:$I,"&lt;="&amp;INDEX(Weeks!$D:$D,MATCH($C1796,Weeks!$A:$A,0)),Tasks!$I:$I,"&lt;&gt;")/COUNTIFS(Tasks!$A:$A,$A1796,Tasks!$B:$B,$B1796,Tasks!$C:$C,$G1796)*100,0),"")</f>
        <v/>
      </c>
    </row>
    <row r="1797" spans="1:8" ht="15" hidden="1" customHeight="1">
      <c r="A1797" t="s">
        <v>102</v>
      </c>
      <c r="B1797" t="s">
        <v>105</v>
      </c>
      <c r="C1797">
        <v>28</v>
      </c>
      <c r="D1797">
        <v>7</v>
      </c>
      <c r="E1797">
        <v>2</v>
      </c>
      <c r="F1797">
        <v>1</v>
      </c>
      <c r="G1797" t="s">
        <v>120</v>
      </c>
      <c r="H1797" t="str">
        <f>IFERROR(ROUND(COUNTIFS(Tasks!$A:$A,$A1797,Tasks!$B:$B,$B1797,Tasks!$C:$C,$G1797,Tasks!$I:$I,"&lt;="&amp;INDEX(Weeks!$D:$D,MATCH($C1797,Weeks!$A:$A,0)),Tasks!$I:$I,"&lt;&gt;")/COUNTIFS(Tasks!$A:$A,$A1797,Tasks!$B:$B,$B1797,Tasks!$C:$C,$G1797)*100,0),"")</f>
        <v/>
      </c>
    </row>
    <row r="1798" spans="1:8" ht="15" hidden="1" customHeight="1">
      <c r="A1798" t="s">
        <v>102</v>
      </c>
      <c r="B1798" t="s">
        <v>105</v>
      </c>
      <c r="C1798">
        <v>29</v>
      </c>
      <c r="D1798">
        <v>7</v>
      </c>
      <c r="E1798">
        <v>3</v>
      </c>
      <c r="F1798">
        <v>1</v>
      </c>
      <c r="G1798" t="s">
        <v>120</v>
      </c>
      <c r="H1798" t="str">
        <f>IFERROR(ROUND(COUNTIFS(Tasks!$A:$A,$A1798,Tasks!$B:$B,$B1798,Tasks!$C:$C,$G1798,Tasks!$I:$I,"&lt;="&amp;INDEX(Weeks!$D:$D,MATCH($C1798,Weeks!$A:$A,0)),Tasks!$I:$I,"&lt;&gt;")/COUNTIFS(Tasks!$A:$A,$A1798,Tasks!$B:$B,$B1798,Tasks!$C:$C,$G1798)*100,0),"")</f>
        <v/>
      </c>
    </row>
    <row r="1799" spans="1:8" ht="15" hidden="1" customHeight="1">
      <c r="A1799" t="s">
        <v>102</v>
      </c>
      <c r="B1799" t="s">
        <v>105</v>
      </c>
      <c r="C1799">
        <v>30</v>
      </c>
      <c r="D1799">
        <v>7</v>
      </c>
      <c r="E1799">
        <v>4</v>
      </c>
      <c r="F1799">
        <v>1</v>
      </c>
      <c r="G1799" t="s">
        <v>120</v>
      </c>
      <c r="H1799" t="str">
        <f>IFERROR(ROUND(COUNTIFS(Tasks!$A:$A,$A1799,Tasks!$B:$B,$B1799,Tasks!$C:$C,$G1799,Tasks!$I:$I,"&lt;="&amp;INDEX(Weeks!$D:$D,MATCH($C1799,Weeks!$A:$A,0)),Tasks!$I:$I,"&lt;&gt;")/COUNTIFS(Tasks!$A:$A,$A1799,Tasks!$B:$B,$B1799,Tasks!$C:$C,$G1799)*100,0),"")</f>
        <v/>
      </c>
    </row>
    <row r="1800" spans="1:8" ht="15" hidden="1" customHeight="1">
      <c r="A1800" t="s">
        <v>102</v>
      </c>
      <c r="B1800" t="s">
        <v>105</v>
      </c>
      <c r="C1800">
        <v>31</v>
      </c>
      <c r="D1800">
        <v>8</v>
      </c>
      <c r="E1800">
        <v>1</v>
      </c>
      <c r="F1800">
        <v>1</v>
      </c>
      <c r="G1800" t="s">
        <v>120</v>
      </c>
      <c r="H1800" t="str">
        <f>IFERROR(ROUND(COUNTIFS(Tasks!$A:$A,$A1800,Tasks!$B:$B,$B1800,Tasks!$C:$C,$G1800,Tasks!$I:$I,"&lt;="&amp;INDEX(Weeks!$D:$D,MATCH($C1800,Weeks!$A:$A,0)),Tasks!$I:$I,"&lt;&gt;")/COUNTIFS(Tasks!$A:$A,$A1800,Tasks!$B:$B,$B1800,Tasks!$C:$C,$G1800)*100,0),"")</f>
        <v/>
      </c>
    </row>
    <row r="1801" spans="1:8" ht="15" hidden="1" customHeight="1">
      <c r="A1801" t="s">
        <v>102</v>
      </c>
      <c r="B1801" t="s">
        <v>105</v>
      </c>
      <c r="C1801">
        <v>32</v>
      </c>
      <c r="D1801">
        <v>8</v>
      </c>
      <c r="E1801">
        <v>2</v>
      </c>
      <c r="F1801">
        <v>1</v>
      </c>
      <c r="G1801" t="s">
        <v>120</v>
      </c>
      <c r="H1801" t="str">
        <f>IFERROR(ROUND(COUNTIFS(Tasks!$A:$A,$A1801,Tasks!$B:$B,$B1801,Tasks!$C:$C,$G1801,Tasks!$I:$I,"&lt;="&amp;INDEX(Weeks!$D:$D,MATCH($C1801,Weeks!$A:$A,0)),Tasks!$I:$I,"&lt;&gt;")/COUNTIFS(Tasks!$A:$A,$A1801,Tasks!$B:$B,$B1801,Tasks!$C:$C,$G1801)*100,0),"")</f>
        <v/>
      </c>
    </row>
    <row r="1802" spans="1:8" ht="15" hidden="1" customHeight="1">
      <c r="A1802" t="s">
        <v>102</v>
      </c>
      <c r="B1802" t="s">
        <v>105</v>
      </c>
      <c r="C1802">
        <v>33</v>
      </c>
      <c r="D1802">
        <v>8</v>
      </c>
      <c r="E1802">
        <v>3</v>
      </c>
      <c r="F1802">
        <v>1</v>
      </c>
      <c r="G1802" t="s">
        <v>120</v>
      </c>
      <c r="H1802" t="str">
        <f>IFERROR(ROUND(COUNTIFS(Tasks!$A:$A,$A1802,Tasks!$B:$B,$B1802,Tasks!$C:$C,$G1802,Tasks!$I:$I,"&lt;="&amp;INDEX(Weeks!$D:$D,MATCH($C1802,Weeks!$A:$A,0)),Tasks!$I:$I,"&lt;&gt;")/COUNTIFS(Tasks!$A:$A,$A1802,Tasks!$B:$B,$B1802,Tasks!$C:$C,$G1802)*100,0),"")</f>
        <v/>
      </c>
    </row>
    <row r="1803" spans="1:8" ht="15" hidden="1" customHeight="1">
      <c r="A1803" t="s">
        <v>102</v>
      </c>
      <c r="B1803" t="s">
        <v>105</v>
      </c>
      <c r="C1803">
        <v>34</v>
      </c>
      <c r="D1803">
        <v>8</v>
      </c>
      <c r="E1803">
        <v>4</v>
      </c>
      <c r="F1803">
        <v>1</v>
      </c>
      <c r="G1803" t="s">
        <v>120</v>
      </c>
      <c r="H1803" t="str">
        <f>IFERROR(ROUND(COUNTIFS(Tasks!$A:$A,$A1803,Tasks!$B:$B,$B1803,Tasks!$C:$C,$G1803,Tasks!$I:$I,"&lt;="&amp;INDEX(Weeks!$D:$D,MATCH($C1803,Weeks!$A:$A,0)),Tasks!$I:$I,"&lt;&gt;")/COUNTIFS(Tasks!$A:$A,$A1803,Tasks!$B:$B,$B1803,Tasks!$C:$C,$G1803)*100,0),"")</f>
        <v/>
      </c>
    </row>
    <row r="1804" spans="1:8" ht="15" hidden="1" customHeight="1">
      <c r="A1804" t="s">
        <v>102</v>
      </c>
      <c r="B1804" t="s">
        <v>105</v>
      </c>
      <c r="C1804">
        <v>35</v>
      </c>
      <c r="D1804">
        <v>8</v>
      </c>
      <c r="E1804">
        <v>5</v>
      </c>
      <c r="F1804">
        <v>1</v>
      </c>
      <c r="G1804" t="s">
        <v>120</v>
      </c>
      <c r="H1804" t="str">
        <f>IFERROR(ROUND(COUNTIFS(Tasks!$A:$A,$A1804,Tasks!$B:$B,$B1804,Tasks!$C:$C,$G1804,Tasks!$I:$I,"&lt;="&amp;INDEX(Weeks!$D:$D,MATCH($C1804,Weeks!$A:$A,0)),Tasks!$I:$I,"&lt;&gt;")/COUNTIFS(Tasks!$A:$A,$A1804,Tasks!$B:$B,$B1804,Tasks!$C:$C,$G1804)*100,0),"")</f>
        <v/>
      </c>
    </row>
    <row r="1805" spans="1:8" ht="15" hidden="1" customHeight="1">
      <c r="A1805" t="s">
        <v>102</v>
      </c>
      <c r="B1805" t="s">
        <v>105</v>
      </c>
      <c r="C1805">
        <v>36</v>
      </c>
      <c r="D1805">
        <v>9</v>
      </c>
      <c r="E1805">
        <v>1</v>
      </c>
      <c r="F1805">
        <v>1</v>
      </c>
      <c r="G1805" t="s">
        <v>120</v>
      </c>
      <c r="H1805" t="str">
        <f>IFERROR(ROUND(COUNTIFS(Tasks!$A:$A,$A1805,Tasks!$B:$B,$B1805,Tasks!$C:$C,$G1805,Tasks!$I:$I,"&lt;="&amp;INDEX(Weeks!$D:$D,MATCH($C1805,Weeks!$A:$A,0)),Tasks!$I:$I,"&lt;&gt;")/COUNTIFS(Tasks!$A:$A,$A1805,Tasks!$B:$B,$B1805,Tasks!$C:$C,$G1805)*100,0),"")</f>
        <v/>
      </c>
    </row>
    <row r="1806" spans="1:8" ht="15" hidden="1" customHeight="1">
      <c r="A1806" t="s">
        <v>102</v>
      </c>
      <c r="B1806" t="s">
        <v>105</v>
      </c>
      <c r="C1806">
        <v>37</v>
      </c>
      <c r="D1806">
        <v>9</v>
      </c>
      <c r="E1806">
        <v>2</v>
      </c>
      <c r="F1806">
        <v>1</v>
      </c>
      <c r="G1806" t="s">
        <v>120</v>
      </c>
      <c r="H1806" t="str">
        <f>IFERROR(ROUND(COUNTIFS(Tasks!$A:$A,$A1806,Tasks!$B:$B,$B1806,Tasks!$C:$C,$G1806,Tasks!$I:$I,"&lt;="&amp;INDEX(Weeks!$D:$D,MATCH($C1806,Weeks!$A:$A,0)),Tasks!$I:$I,"&lt;&gt;")/COUNTIFS(Tasks!$A:$A,$A1806,Tasks!$B:$B,$B1806,Tasks!$C:$C,$G1806)*100,0),"")</f>
        <v/>
      </c>
    </row>
    <row r="1807" spans="1:8" ht="15" hidden="1" customHeight="1">
      <c r="A1807" t="s">
        <v>102</v>
      </c>
      <c r="B1807" t="s">
        <v>105</v>
      </c>
      <c r="C1807">
        <v>38</v>
      </c>
      <c r="D1807">
        <v>9</v>
      </c>
      <c r="E1807">
        <v>3</v>
      </c>
      <c r="F1807">
        <v>1</v>
      </c>
      <c r="G1807" t="s">
        <v>120</v>
      </c>
      <c r="H1807" t="str">
        <f>IFERROR(ROUND(COUNTIFS(Tasks!$A:$A,$A1807,Tasks!$B:$B,$B1807,Tasks!$C:$C,$G1807,Tasks!$I:$I,"&lt;="&amp;INDEX(Weeks!$D:$D,MATCH($C1807,Weeks!$A:$A,0)),Tasks!$I:$I,"&lt;&gt;")/COUNTIFS(Tasks!$A:$A,$A1807,Tasks!$B:$B,$B1807,Tasks!$C:$C,$G1807)*100,0),"")</f>
        <v/>
      </c>
    </row>
    <row r="1808" spans="1:8" ht="15" hidden="1" customHeight="1">
      <c r="A1808" t="s">
        <v>102</v>
      </c>
      <c r="B1808" t="s">
        <v>105</v>
      </c>
      <c r="C1808">
        <v>39</v>
      </c>
      <c r="D1808">
        <v>9</v>
      </c>
      <c r="E1808">
        <v>4</v>
      </c>
      <c r="F1808">
        <v>1</v>
      </c>
      <c r="G1808" t="s">
        <v>120</v>
      </c>
      <c r="H1808" t="str">
        <f>IFERROR(ROUND(COUNTIFS(Tasks!$A:$A,$A1808,Tasks!$B:$B,$B1808,Tasks!$C:$C,$G1808,Tasks!$I:$I,"&lt;="&amp;INDEX(Weeks!$D:$D,MATCH($C1808,Weeks!$A:$A,0)),Tasks!$I:$I,"&lt;&gt;")/COUNTIFS(Tasks!$A:$A,$A1808,Tasks!$B:$B,$B1808,Tasks!$C:$C,$G1808)*100,0),"")</f>
        <v/>
      </c>
    </row>
    <row r="1809" spans="1:8" ht="15" hidden="1" customHeight="1">
      <c r="A1809" t="s">
        <v>102</v>
      </c>
      <c r="B1809" t="s">
        <v>105</v>
      </c>
      <c r="C1809">
        <v>40</v>
      </c>
      <c r="D1809">
        <v>10</v>
      </c>
      <c r="E1809">
        <v>1</v>
      </c>
      <c r="F1809">
        <v>1</v>
      </c>
      <c r="G1809" t="s">
        <v>120</v>
      </c>
      <c r="H1809" t="str">
        <f>IFERROR(ROUND(COUNTIFS(Tasks!$A:$A,$A1809,Tasks!$B:$B,$B1809,Tasks!$C:$C,$G1809,Tasks!$I:$I,"&lt;="&amp;INDEX(Weeks!$D:$D,MATCH($C1809,Weeks!$A:$A,0)),Tasks!$I:$I,"&lt;&gt;")/COUNTIFS(Tasks!$A:$A,$A1809,Tasks!$B:$B,$B1809,Tasks!$C:$C,$G1809)*100,0),"")</f>
        <v/>
      </c>
    </row>
    <row r="1810" spans="1:8" ht="15" hidden="1" customHeight="1">
      <c r="A1810" t="s">
        <v>102</v>
      </c>
      <c r="B1810" t="s">
        <v>105</v>
      </c>
      <c r="C1810">
        <v>41</v>
      </c>
      <c r="D1810">
        <v>10</v>
      </c>
      <c r="E1810">
        <v>2</v>
      </c>
      <c r="F1810">
        <v>1</v>
      </c>
      <c r="G1810" t="s">
        <v>120</v>
      </c>
      <c r="H1810" t="str">
        <f>IFERROR(ROUND(COUNTIFS(Tasks!$A:$A,$A1810,Tasks!$B:$B,$B1810,Tasks!$C:$C,$G1810,Tasks!$I:$I,"&lt;="&amp;INDEX(Weeks!$D:$D,MATCH($C1810,Weeks!$A:$A,0)),Tasks!$I:$I,"&lt;&gt;")/COUNTIFS(Tasks!$A:$A,$A1810,Tasks!$B:$B,$B1810,Tasks!$C:$C,$G1810)*100,0),"")</f>
        <v/>
      </c>
    </row>
    <row r="1811" spans="1:8" ht="15" hidden="1" customHeight="1">
      <c r="A1811" t="s">
        <v>102</v>
      </c>
      <c r="B1811" t="s">
        <v>105</v>
      </c>
      <c r="C1811">
        <v>42</v>
      </c>
      <c r="D1811">
        <v>10</v>
      </c>
      <c r="E1811">
        <v>3</v>
      </c>
      <c r="F1811">
        <v>1</v>
      </c>
      <c r="G1811" t="s">
        <v>120</v>
      </c>
      <c r="H1811" t="str">
        <f>IFERROR(ROUND(COUNTIFS(Tasks!$A:$A,$A1811,Tasks!$B:$B,$B1811,Tasks!$C:$C,$G1811,Tasks!$I:$I,"&lt;="&amp;INDEX(Weeks!$D:$D,MATCH($C1811,Weeks!$A:$A,0)),Tasks!$I:$I,"&lt;&gt;")/COUNTIFS(Tasks!$A:$A,$A1811,Tasks!$B:$B,$B1811,Tasks!$C:$C,$G1811)*100,0),"")</f>
        <v/>
      </c>
    </row>
    <row r="1812" spans="1:8" ht="15" hidden="1" customHeight="1">
      <c r="A1812" t="s">
        <v>102</v>
      </c>
      <c r="B1812" t="s">
        <v>105</v>
      </c>
      <c r="C1812">
        <v>43</v>
      </c>
      <c r="D1812">
        <v>10</v>
      </c>
      <c r="E1812">
        <v>4</v>
      </c>
      <c r="F1812">
        <v>1</v>
      </c>
      <c r="G1812" t="s">
        <v>120</v>
      </c>
      <c r="H1812" t="str">
        <f>IFERROR(ROUND(COUNTIFS(Tasks!$A:$A,$A1812,Tasks!$B:$B,$B1812,Tasks!$C:$C,$G1812,Tasks!$I:$I,"&lt;="&amp;INDEX(Weeks!$D:$D,MATCH($C1812,Weeks!$A:$A,0)),Tasks!$I:$I,"&lt;&gt;")/COUNTIFS(Tasks!$A:$A,$A1812,Tasks!$B:$B,$B1812,Tasks!$C:$C,$G1812)*100,0),"")</f>
        <v/>
      </c>
    </row>
    <row r="1813" spans="1:8" ht="15" hidden="1" customHeight="1">
      <c r="A1813" t="s">
        <v>102</v>
      </c>
      <c r="B1813" t="s">
        <v>105</v>
      </c>
      <c r="C1813">
        <v>44</v>
      </c>
      <c r="D1813">
        <v>10</v>
      </c>
      <c r="E1813">
        <v>5</v>
      </c>
      <c r="F1813">
        <v>1</v>
      </c>
      <c r="G1813" t="s">
        <v>120</v>
      </c>
      <c r="H1813" t="str">
        <f>IFERROR(ROUND(COUNTIFS(Tasks!$A:$A,$A1813,Tasks!$B:$B,$B1813,Tasks!$C:$C,$G1813,Tasks!$I:$I,"&lt;="&amp;INDEX(Weeks!$D:$D,MATCH($C1813,Weeks!$A:$A,0)),Tasks!$I:$I,"&lt;&gt;")/COUNTIFS(Tasks!$A:$A,$A1813,Tasks!$B:$B,$B1813,Tasks!$C:$C,$G1813)*100,0),"")</f>
        <v/>
      </c>
    </row>
    <row r="1814" spans="1:8" ht="15" hidden="1" customHeight="1">
      <c r="A1814" t="s">
        <v>102</v>
      </c>
      <c r="B1814" t="s">
        <v>105</v>
      </c>
      <c r="C1814">
        <v>45</v>
      </c>
      <c r="D1814">
        <v>11</v>
      </c>
      <c r="E1814">
        <v>1</v>
      </c>
      <c r="F1814">
        <v>1</v>
      </c>
      <c r="G1814" t="s">
        <v>120</v>
      </c>
      <c r="H1814" t="str">
        <f>IFERROR(ROUND(COUNTIFS(Tasks!$A:$A,$A1814,Tasks!$B:$B,$B1814,Tasks!$C:$C,$G1814,Tasks!$I:$I,"&lt;="&amp;INDEX(Weeks!$D:$D,MATCH($C1814,Weeks!$A:$A,0)),Tasks!$I:$I,"&lt;&gt;")/COUNTIFS(Tasks!$A:$A,$A1814,Tasks!$B:$B,$B1814,Tasks!$C:$C,$G1814)*100,0),"")</f>
        <v/>
      </c>
    </row>
    <row r="1815" spans="1:8" ht="15" hidden="1" customHeight="1">
      <c r="A1815" t="s">
        <v>102</v>
      </c>
      <c r="B1815" t="s">
        <v>105</v>
      </c>
      <c r="C1815">
        <v>46</v>
      </c>
      <c r="D1815">
        <v>11</v>
      </c>
      <c r="E1815">
        <v>2</v>
      </c>
      <c r="F1815">
        <v>1</v>
      </c>
      <c r="G1815" t="s">
        <v>120</v>
      </c>
      <c r="H1815" t="str">
        <f>IFERROR(ROUND(COUNTIFS(Tasks!$A:$A,$A1815,Tasks!$B:$B,$B1815,Tasks!$C:$C,$G1815,Tasks!$I:$I,"&lt;="&amp;INDEX(Weeks!$D:$D,MATCH($C1815,Weeks!$A:$A,0)),Tasks!$I:$I,"&lt;&gt;")/COUNTIFS(Tasks!$A:$A,$A1815,Tasks!$B:$B,$B1815,Tasks!$C:$C,$G1815)*100,0),"")</f>
        <v/>
      </c>
    </row>
    <row r="1816" spans="1:8" ht="15" hidden="1" customHeight="1">
      <c r="A1816" t="s">
        <v>102</v>
      </c>
      <c r="B1816" t="s">
        <v>105</v>
      </c>
      <c r="C1816">
        <v>47</v>
      </c>
      <c r="D1816">
        <v>11</v>
      </c>
      <c r="E1816">
        <v>3</v>
      </c>
      <c r="F1816">
        <v>1</v>
      </c>
      <c r="G1816" t="s">
        <v>120</v>
      </c>
      <c r="H1816" t="str">
        <f>IFERROR(ROUND(COUNTIFS(Tasks!$A:$A,$A1816,Tasks!$B:$B,$B1816,Tasks!$C:$C,$G1816,Tasks!$I:$I,"&lt;="&amp;INDEX(Weeks!$D:$D,MATCH($C1816,Weeks!$A:$A,0)),Tasks!$I:$I,"&lt;&gt;")/COUNTIFS(Tasks!$A:$A,$A1816,Tasks!$B:$B,$B1816,Tasks!$C:$C,$G1816)*100,0),"")</f>
        <v/>
      </c>
    </row>
    <row r="1817" spans="1:8" ht="15" hidden="1" customHeight="1">
      <c r="A1817" t="s">
        <v>102</v>
      </c>
      <c r="B1817" t="s">
        <v>105</v>
      </c>
      <c r="C1817">
        <v>48</v>
      </c>
      <c r="D1817">
        <v>11</v>
      </c>
      <c r="E1817">
        <v>4</v>
      </c>
      <c r="F1817">
        <v>1</v>
      </c>
      <c r="G1817" t="s">
        <v>120</v>
      </c>
      <c r="H1817" t="str">
        <f>IFERROR(ROUND(COUNTIFS(Tasks!$A:$A,$A1817,Tasks!$B:$B,$B1817,Tasks!$C:$C,$G1817,Tasks!$I:$I,"&lt;="&amp;INDEX(Weeks!$D:$D,MATCH($C1817,Weeks!$A:$A,0)),Tasks!$I:$I,"&lt;&gt;")/COUNTIFS(Tasks!$A:$A,$A1817,Tasks!$B:$B,$B1817,Tasks!$C:$C,$G1817)*100,0),"")</f>
        <v/>
      </c>
    </row>
    <row r="1818" spans="1:8" ht="15" hidden="1" customHeight="1">
      <c r="A1818" t="s">
        <v>102</v>
      </c>
      <c r="B1818" t="s">
        <v>105</v>
      </c>
      <c r="C1818">
        <v>49</v>
      </c>
      <c r="D1818">
        <v>12</v>
      </c>
      <c r="E1818">
        <v>1</v>
      </c>
      <c r="F1818">
        <v>1</v>
      </c>
      <c r="G1818" t="s">
        <v>120</v>
      </c>
      <c r="H1818" t="str">
        <f>IFERROR(ROUND(COUNTIFS(Tasks!$A:$A,$A1818,Tasks!$B:$B,$B1818,Tasks!$C:$C,$G1818,Tasks!$I:$I,"&lt;="&amp;INDEX(Weeks!$D:$D,MATCH($C1818,Weeks!$A:$A,0)),Tasks!$I:$I,"&lt;&gt;")/COUNTIFS(Tasks!$A:$A,$A1818,Tasks!$B:$B,$B1818,Tasks!$C:$C,$G1818)*100,0),"")</f>
        <v/>
      </c>
    </row>
    <row r="1819" spans="1:8" ht="15" hidden="1" customHeight="1">
      <c r="A1819" t="s">
        <v>102</v>
      </c>
      <c r="B1819" t="s">
        <v>105</v>
      </c>
      <c r="C1819">
        <v>50</v>
      </c>
      <c r="D1819">
        <v>12</v>
      </c>
      <c r="E1819">
        <v>2</v>
      </c>
      <c r="F1819">
        <v>1</v>
      </c>
      <c r="G1819" t="s">
        <v>120</v>
      </c>
      <c r="H1819" t="str">
        <f>IFERROR(ROUND(COUNTIFS(Tasks!$A:$A,$A1819,Tasks!$B:$B,$B1819,Tasks!$C:$C,$G1819,Tasks!$I:$I,"&lt;="&amp;INDEX(Weeks!$D:$D,MATCH($C1819,Weeks!$A:$A,0)),Tasks!$I:$I,"&lt;&gt;")/COUNTIFS(Tasks!$A:$A,$A1819,Tasks!$B:$B,$B1819,Tasks!$C:$C,$G1819)*100,0),"")</f>
        <v/>
      </c>
    </row>
    <row r="1820" spans="1:8" ht="15" hidden="1" customHeight="1">
      <c r="A1820" t="s">
        <v>102</v>
      </c>
      <c r="B1820" t="s">
        <v>105</v>
      </c>
      <c r="C1820">
        <v>51</v>
      </c>
      <c r="D1820">
        <v>12</v>
      </c>
      <c r="E1820">
        <v>3</v>
      </c>
      <c r="F1820">
        <v>1</v>
      </c>
      <c r="G1820" t="s">
        <v>120</v>
      </c>
      <c r="H1820" t="str">
        <f>IFERROR(ROUND(COUNTIFS(Tasks!$A:$A,$A1820,Tasks!$B:$B,$B1820,Tasks!$C:$C,$G1820,Tasks!$I:$I,"&lt;="&amp;INDEX(Weeks!$D:$D,MATCH($C1820,Weeks!$A:$A,0)),Tasks!$I:$I,"&lt;&gt;")/COUNTIFS(Tasks!$A:$A,$A1820,Tasks!$B:$B,$B1820,Tasks!$C:$C,$G1820)*100,0),"")</f>
        <v/>
      </c>
    </row>
    <row r="1821" spans="1:8" ht="15" hidden="1" customHeight="1">
      <c r="A1821" t="s">
        <v>102</v>
      </c>
      <c r="B1821" t="s">
        <v>105</v>
      </c>
      <c r="C1821">
        <v>52</v>
      </c>
      <c r="D1821">
        <v>12</v>
      </c>
      <c r="E1821">
        <v>4</v>
      </c>
      <c r="F1821">
        <v>1</v>
      </c>
      <c r="G1821" t="s">
        <v>120</v>
      </c>
      <c r="H1821" t="str">
        <f>IFERROR(ROUND(COUNTIFS(Tasks!$A:$A,$A1821,Tasks!$B:$B,$B1821,Tasks!$C:$C,$G1821,Tasks!$I:$I,"&lt;="&amp;INDEX(Weeks!$D:$D,MATCH($C1821,Weeks!$A:$A,0)),Tasks!$I:$I,"&lt;&gt;")/COUNTIFS(Tasks!$A:$A,$A1821,Tasks!$B:$B,$B1821,Tasks!$C:$C,$G1821)*100,0),"")</f>
        <v/>
      </c>
    </row>
    <row r="1822" spans="1:8" ht="15" hidden="1" customHeight="1">
      <c r="A1822" t="s">
        <v>102</v>
      </c>
      <c r="B1822" t="s">
        <v>105</v>
      </c>
      <c r="C1822">
        <v>1</v>
      </c>
      <c r="D1822">
        <v>1</v>
      </c>
      <c r="E1822">
        <v>1</v>
      </c>
      <c r="F1822">
        <v>2</v>
      </c>
      <c r="G1822" t="s">
        <v>121</v>
      </c>
      <c r="H1822" t="str">
        <f>IFERROR(ROUND(COUNTIFS(Tasks!$A:$A,$A1822,Tasks!$B:$B,$B1822,Tasks!$C:$C,$G1822,Tasks!$I:$I,"&lt;="&amp;INDEX(Weeks!$D:$D,MATCH($C1822,Weeks!$A:$A,0)),Tasks!$I:$I,"&lt;&gt;")/COUNTIFS(Tasks!$A:$A,$A1822,Tasks!$B:$B,$B1822,Tasks!$C:$C,$G1822)*100,0),"")</f>
        <v/>
      </c>
    </row>
    <row r="1823" spans="1:8" ht="15" hidden="1" customHeight="1">
      <c r="A1823" t="s">
        <v>102</v>
      </c>
      <c r="B1823" t="s">
        <v>105</v>
      </c>
      <c r="C1823">
        <v>2</v>
      </c>
      <c r="D1823">
        <v>1</v>
      </c>
      <c r="E1823">
        <v>2</v>
      </c>
      <c r="F1823">
        <v>2</v>
      </c>
      <c r="G1823" t="s">
        <v>121</v>
      </c>
      <c r="H1823" t="str">
        <f>IFERROR(ROUND(COUNTIFS(Tasks!$A:$A,$A1823,Tasks!$B:$B,$B1823,Tasks!$C:$C,$G1823,Tasks!$I:$I,"&lt;="&amp;INDEX(Weeks!$D:$D,MATCH($C1823,Weeks!$A:$A,0)),Tasks!$I:$I,"&lt;&gt;")/COUNTIFS(Tasks!$A:$A,$A1823,Tasks!$B:$B,$B1823,Tasks!$C:$C,$G1823)*100,0),"")</f>
        <v/>
      </c>
    </row>
    <row r="1824" spans="1:8" ht="15" hidden="1" customHeight="1">
      <c r="A1824" t="s">
        <v>102</v>
      </c>
      <c r="B1824" t="s">
        <v>105</v>
      </c>
      <c r="C1824">
        <v>3</v>
      </c>
      <c r="D1824">
        <v>1</v>
      </c>
      <c r="E1824">
        <v>3</v>
      </c>
      <c r="F1824">
        <v>2</v>
      </c>
      <c r="G1824" t="s">
        <v>121</v>
      </c>
      <c r="H1824" t="str">
        <f>IFERROR(ROUND(COUNTIFS(Tasks!$A:$A,$A1824,Tasks!$B:$B,$B1824,Tasks!$C:$C,$G1824,Tasks!$I:$I,"&lt;="&amp;INDEX(Weeks!$D:$D,MATCH($C1824,Weeks!$A:$A,0)),Tasks!$I:$I,"&lt;&gt;")/COUNTIFS(Tasks!$A:$A,$A1824,Tasks!$B:$B,$B1824,Tasks!$C:$C,$G1824)*100,0),"")</f>
        <v/>
      </c>
    </row>
    <row r="1825" spans="1:8" ht="15" hidden="1" customHeight="1">
      <c r="A1825" t="s">
        <v>102</v>
      </c>
      <c r="B1825" t="s">
        <v>105</v>
      </c>
      <c r="C1825">
        <v>4</v>
      </c>
      <c r="D1825">
        <v>1</v>
      </c>
      <c r="E1825">
        <v>4</v>
      </c>
      <c r="F1825">
        <v>2</v>
      </c>
      <c r="G1825" t="s">
        <v>121</v>
      </c>
      <c r="H1825" t="str">
        <f>IFERROR(ROUND(COUNTIFS(Tasks!$A:$A,$A1825,Tasks!$B:$B,$B1825,Tasks!$C:$C,$G1825,Tasks!$I:$I,"&lt;="&amp;INDEX(Weeks!$D:$D,MATCH($C1825,Weeks!$A:$A,0)),Tasks!$I:$I,"&lt;&gt;")/COUNTIFS(Tasks!$A:$A,$A1825,Tasks!$B:$B,$B1825,Tasks!$C:$C,$G1825)*100,0),"")</f>
        <v/>
      </c>
    </row>
    <row r="1826" spans="1:8" ht="15" hidden="1" customHeight="1">
      <c r="A1826" t="s">
        <v>102</v>
      </c>
      <c r="B1826" t="s">
        <v>105</v>
      </c>
      <c r="C1826">
        <v>5</v>
      </c>
      <c r="D1826">
        <v>1</v>
      </c>
      <c r="E1826">
        <v>5</v>
      </c>
      <c r="F1826">
        <v>2</v>
      </c>
      <c r="G1826" t="s">
        <v>121</v>
      </c>
      <c r="H1826" t="str">
        <f>IFERROR(ROUND(COUNTIFS(Tasks!$A:$A,$A1826,Tasks!$B:$B,$B1826,Tasks!$C:$C,$G1826,Tasks!$I:$I,"&lt;="&amp;INDEX(Weeks!$D:$D,MATCH($C1826,Weeks!$A:$A,0)),Tasks!$I:$I,"&lt;&gt;")/COUNTIFS(Tasks!$A:$A,$A1826,Tasks!$B:$B,$B1826,Tasks!$C:$C,$G1826)*100,0),"")</f>
        <v/>
      </c>
    </row>
    <row r="1827" spans="1:8" ht="15" hidden="1" customHeight="1">
      <c r="A1827" t="s">
        <v>102</v>
      </c>
      <c r="B1827" t="s">
        <v>105</v>
      </c>
      <c r="C1827">
        <v>6</v>
      </c>
      <c r="D1827">
        <v>2</v>
      </c>
      <c r="E1827">
        <v>1</v>
      </c>
      <c r="F1827">
        <v>2</v>
      </c>
      <c r="G1827" t="s">
        <v>121</v>
      </c>
      <c r="H1827" t="str">
        <f>IFERROR(ROUND(COUNTIFS(Tasks!$A:$A,$A1827,Tasks!$B:$B,$B1827,Tasks!$C:$C,$G1827,Tasks!$I:$I,"&lt;="&amp;INDEX(Weeks!$D:$D,MATCH($C1827,Weeks!$A:$A,0)),Tasks!$I:$I,"&lt;&gt;")/COUNTIFS(Tasks!$A:$A,$A1827,Tasks!$B:$B,$B1827,Tasks!$C:$C,$G1827)*100,0),"")</f>
        <v/>
      </c>
    </row>
    <row r="1828" spans="1:8" ht="15" hidden="1" customHeight="1">
      <c r="A1828" t="s">
        <v>102</v>
      </c>
      <c r="B1828" t="s">
        <v>105</v>
      </c>
      <c r="C1828">
        <v>7</v>
      </c>
      <c r="D1828">
        <v>2</v>
      </c>
      <c r="E1828">
        <v>2</v>
      </c>
      <c r="F1828">
        <v>2</v>
      </c>
      <c r="G1828" t="s">
        <v>121</v>
      </c>
      <c r="H1828" t="str">
        <f>IFERROR(ROUND(COUNTIFS(Tasks!$A:$A,$A1828,Tasks!$B:$B,$B1828,Tasks!$C:$C,$G1828,Tasks!$I:$I,"&lt;="&amp;INDEX(Weeks!$D:$D,MATCH($C1828,Weeks!$A:$A,0)),Tasks!$I:$I,"&lt;&gt;")/COUNTIFS(Tasks!$A:$A,$A1828,Tasks!$B:$B,$B1828,Tasks!$C:$C,$G1828)*100,0),"")</f>
        <v/>
      </c>
    </row>
    <row r="1829" spans="1:8" ht="15" hidden="1" customHeight="1">
      <c r="A1829" t="s">
        <v>102</v>
      </c>
      <c r="B1829" t="s">
        <v>105</v>
      </c>
      <c r="C1829">
        <v>8</v>
      </c>
      <c r="D1829">
        <v>2</v>
      </c>
      <c r="E1829">
        <v>3</v>
      </c>
      <c r="F1829">
        <v>2</v>
      </c>
      <c r="G1829" t="s">
        <v>121</v>
      </c>
      <c r="H1829" t="str">
        <f>IFERROR(ROUND(COUNTIFS(Tasks!$A:$A,$A1829,Tasks!$B:$B,$B1829,Tasks!$C:$C,$G1829,Tasks!$I:$I,"&lt;="&amp;INDEX(Weeks!$D:$D,MATCH($C1829,Weeks!$A:$A,0)),Tasks!$I:$I,"&lt;&gt;")/COUNTIFS(Tasks!$A:$A,$A1829,Tasks!$B:$B,$B1829,Tasks!$C:$C,$G1829)*100,0),"")</f>
        <v/>
      </c>
    </row>
    <row r="1830" spans="1:8" ht="15" hidden="1" customHeight="1">
      <c r="A1830" t="s">
        <v>102</v>
      </c>
      <c r="B1830" t="s">
        <v>105</v>
      </c>
      <c r="C1830">
        <v>9</v>
      </c>
      <c r="D1830">
        <v>2</v>
      </c>
      <c r="E1830">
        <v>4</v>
      </c>
      <c r="F1830">
        <v>2</v>
      </c>
      <c r="G1830" t="s">
        <v>121</v>
      </c>
      <c r="H1830" t="str">
        <f>IFERROR(ROUND(COUNTIFS(Tasks!$A:$A,$A1830,Tasks!$B:$B,$B1830,Tasks!$C:$C,$G1830,Tasks!$I:$I,"&lt;="&amp;INDEX(Weeks!$D:$D,MATCH($C1830,Weeks!$A:$A,0)),Tasks!$I:$I,"&lt;&gt;")/COUNTIFS(Tasks!$A:$A,$A1830,Tasks!$B:$B,$B1830,Tasks!$C:$C,$G1830)*100,0),"")</f>
        <v/>
      </c>
    </row>
    <row r="1831" spans="1:8" ht="15" hidden="1" customHeight="1">
      <c r="A1831" t="s">
        <v>102</v>
      </c>
      <c r="B1831" t="s">
        <v>105</v>
      </c>
      <c r="C1831">
        <v>10</v>
      </c>
      <c r="D1831">
        <v>3</v>
      </c>
      <c r="E1831">
        <v>1</v>
      </c>
      <c r="F1831">
        <v>2</v>
      </c>
      <c r="G1831" t="s">
        <v>121</v>
      </c>
      <c r="H1831" t="str">
        <f>IFERROR(ROUND(COUNTIFS(Tasks!$A:$A,$A1831,Tasks!$B:$B,$B1831,Tasks!$C:$C,$G1831,Tasks!$I:$I,"&lt;="&amp;INDEX(Weeks!$D:$D,MATCH($C1831,Weeks!$A:$A,0)),Tasks!$I:$I,"&lt;&gt;")/COUNTIFS(Tasks!$A:$A,$A1831,Tasks!$B:$B,$B1831,Tasks!$C:$C,$G1831)*100,0),"")</f>
        <v/>
      </c>
    </row>
    <row r="1832" spans="1:8" ht="15" hidden="1" customHeight="1">
      <c r="A1832" t="s">
        <v>102</v>
      </c>
      <c r="B1832" t="s">
        <v>105</v>
      </c>
      <c r="C1832">
        <v>11</v>
      </c>
      <c r="D1832">
        <v>3</v>
      </c>
      <c r="E1832">
        <v>2</v>
      </c>
      <c r="F1832">
        <v>2</v>
      </c>
      <c r="G1832" t="s">
        <v>121</v>
      </c>
      <c r="H1832" t="str">
        <f>IFERROR(ROUND(COUNTIFS(Tasks!$A:$A,$A1832,Tasks!$B:$B,$B1832,Tasks!$C:$C,$G1832,Tasks!$I:$I,"&lt;="&amp;INDEX(Weeks!$D:$D,MATCH($C1832,Weeks!$A:$A,0)),Tasks!$I:$I,"&lt;&gt;")/COUNTIFS(Tasks!$A:$A,$A1832,Tasks!$B:$B,$B1832,Tasks!$C:$C,$G1832)*100,0),"")</f>
        <v/>
      </c>
    </row>
    <row r="1833" spans="1:8" ht="15" hidden="1" customHeight="1">
      <c r="A1833" t="s">
        <v>102</v>
      </c>
      <c r="B1833" t="s">
        <v>105</v>
      </c>
      <c r="C1833">
        <v>12</v>
      </c>
      <c r="D1833">
        <v>3</v>
      </c>
      <c r="E1833">
        <v>3</v>
      </c>
      <c r="F1833">
        <v>2</v>
      </c>
      <c r="G1833" t="s">
        <v>121</v>
      </c>
      <c r="H1833" t="str">
        <f>IFERROR(ROUND(COUNTIFS(Tasks!$A:$A,$A1833,Tasks!$B:$B,$B1833,Tasks!$C:$C,$G1833,Tasks!$I:$I,"&lt;="&amp;INDEX(Weeks!$D:$D,MATCH($C1833,Weeks!$A:$A,0)),Tasks!$I:$I,"&lt;&gt;")/COUNTIFS(Tasks!$A:$A,$A1833,Tasks!$B:$B,$B1833,Tasks!$C:$C,$G1833)*100,0),"")</f>
        <v/>
      </c>
    </row>
    <row r="1834" spans="1:8" ht="15" hidden="1" customHeight="1">
      <c r="A1834" t="s">
        <v>102</v>
      </c>
      <c r="B1834" t="s">
        <v>105</v>
      </c>
      <c r="C1834">
        <v>13</v>
      </c>
      <c r="D1834">
        <v>3</v>
      </c>
      <c r="E1834">
        <v>4</v>
      </c>
      <c r="F1834">
        <v>2</v>
      </c>
      <c r="G1834" t="s">
        <v>121</v>
      </c>
      <c r="H1834" t="str">
        <f>IFERROR(ROUND(COUNTIFS(Tasks!$A:$A,$A1834,Tasks!$B:$B,$B1834,Tasks!$C:$C,$G1834,Tasks!$I:$I,"&lt;="&amp;INDEX(Weeks!$D:$D,MATCH($C1834,Weeks!$A:$A,0)),Tasks!$I:$I,"&lt;&gt;")/COUNTIFS(Tasks!$A:$A,$A1834,Tasks!$B:$B,$B1834,Tasks!$C:$C,$G1834)*100,0),"")</f>
        <v/>
      </c>
    </row>
    <row r="1835" spans="1:8" ht="15" hidden="1" customHeight="1">
      <c r="A1835" t="s">
        <v>102</v>
      </c>
      <c r="B1835" t="s">
        <v>105</v>
      </c>
      <c r="C1835">
        <v>14</v>
      </c>
      <c r="D1835">
        <v>4</v>
      </c>
      <c r="E1835">
        <v>1</v>
      </c>
      <c r="F1835">
        <v>2</v>
      </c>
      <c r="G1835" t="s">
        <v>121</v>
      </c>
      <c r="H1835" t="str">
        <f>IFERROR(ROUND(COUNTIFS(Tasks!$A:$A,$A1835,Tasks!$B:$B,$B1835,Tasks!$C:$C,$G1835,Tasks!$I:$I,"&lt;="&amp;INDEX(Weeks!$D:$D,MATCH($C1835,Weeks!$A:$A,0)),Tasks!$I:$I,"&lt;&gt;")/COUNTIFS(Tasks!$A:$A,$A1835,Tasks!$B:$B,$B1835,Tasks!$C:$C,$G1835)*100,0),"")</f>
        <v/>
      </c>
    </row>
    <row r="1836" spans="1:8" ht="15" hidden="1" customHeight="1">
      <c r="A1836" t="s">
        <v>102</v>
      </c>
      <c r="B1836" t="s">
        <v>105</v>
      </c>
      <c r="C1836">
        <v>15</v>
      </c>
      <c r="D1836">
        <v>4</v>
      </c>
      <c r="E1836">
        <v>2</v>
      </c>
      <c r="F1836">
        <v>2</v>
      </c>
      <c r="G1836" t="s">
        <v>121</v>
      </c>
      <c r="H1836" t="str">
        <f>IFERROR(ROUND(COUNTIFS(Tasks!$A:$A,$A1836,Tasks!$B:$B,$B1836,Tasks!$C:$C,$G1836,Tasks!$I:$I,"&lt;="&amp;INDEX(Weeks!$D:$D,MATCH($C1836,Weeks!$A:$A,0)),Tasks!$I:$I,"&lt;&gt;")/COUNTIFS(Tasks!$A:$A,$A1836,Tasks!$B:$B,$B1836,Tasks!$C:$C,$G1836)*100,0),"")</f>
        <v/>
      </c>
    </row>
    <row r="1837" spans="1:8" ht="15" hidden="1" customHeight="1">
      <c r="A1837" t="s">
        <v>102</v>
      </c>
      <c r="B1837" t="s">
        <v>105</v>
      </c>
      <c r="C1837">
        <v>16</v>
      </c>
      <c r="D1837">
        <v>4</v>
      </c>
      <c r="E1837">
        <v>3</v>
      </c>
      <c r="F1837">
        <v>2</v>
      </c>
      <c r="G1837" t="s">
        <v>121</v>
      </c>
      <c r="H1837" t="str">
        <f>IFERROR(ROUND(COUNTIFS(Tasks!$A:$A,$A1837,Tasks!$B:$B,$B1837,Tasks!$C:$C,$G1837,Tasks!$I:$I,"&lt;="&amp;INDEX(Weeks!$D:$D,MATCH($C1837,Weeks!$A:$A,0)),Tasks!$I:$I,"&lt;&gt;")/COUNTIFS(Tasks!$A:$A,$A1837,Tasks!$B:$B,$B1837,Tasks!$C:$C,$G1837)*100,0),"")</f>
        <v/>
      </c>
    </row>
    <row r="1838" spans="1:8" ht="15" hidden="1" customHeight="1">
      <c r="A1838" t="s">
        <v>102</v>
      </c>
      <c r="B1838" t="s">
        <v>105</v>
      </c>
      <c r="C1838">
        <v>17</v>
      </c>
      <c r="D1838">
        <v>4</v>
      </c>
      <c r="E1838">
        <v>4</v>
      </c>
      <c r="F1838">
        <v>2</v>
      </c>
      <c r="G1838" t="s">
        <v>121</v>
      </c>
      <c r="H1838" t="str">
        <f>IFERROR(ROUND(COUNTIFS(Tasks!$A:$A,$A1838,Tasks!$B:$B,$B1838,Tasks!$C:$C,$G1838,Tasks!$I:$I,"&lt;="&amp;INDEX(Weeks!$D:$D,MATCH($C1838,Weeks!$A:$A,0)),Tasks!$I:$I,"&lt;&gt;")/COUNTIFS(Tasks!$A:$A,$A1838,Tasks!$B:$B,$B1838,Tasks!$C:$C,$G1838)*100,0),"")</f>
        <v/>
      </c>
    </row>
    <row r="1839" spans="1:8" ht="15" hidden="1" customHeight="1">
      <c r="A1839" t="s">
        <v>102</v>
      </c>
      <c r="B1839" t="s">
        <v>105</v>
      </c>
      <c r="C1839">
        <v>18</v>
      </c>
      <c r="D1839">
        <v>5</v>
      </c>
      <c r="E1839">
        <v>1</v>
      </c>
      <c r="F1839">
        <v>2</v>
      </c>
      <c r="G1839" t="s">
        <v>121</v>
      </c>
      <c r="H1839" t="str">
        <f>IFERROR(ROUND(COUNTIFS(Tasks!$A:$A,$A1839,Tasks!$B:$B,$B1839,Tasks!$C:$C,$G1839,Tasks!$I:$I,"&lt;="&amp;INDEX(Weeks!$D:$D,MATCH($C1839,Weeks!$A:$A,0)),Tasks!$I:$I,"&lt;&gt;")/COUNTIFS(Tasks!$A:$A,$A1839,Tasks!$B:$B,$B1839,Tasks!$C:$C,$G1839)*100,0),"")</f>
        <v/>
      </c>
    </row>
    <row r="1840" spans="1:8" ht="15" hidden="1" customHeight="1">
      <c r="A1840" t="s">
        <v>102</v>
      </c>
      <c r="B1840" t="s">
        <v>105</v>
      </c>
      <c r="C1840">
        <v>19</v>
      </c>
      <c r="D1840">
        <v>5</v>
      </c>
      <c r="E1840">
        <v>2</v>
      </c>
      <c r="F1840">
        <v>2</v>
      </c>
      <c r="G1840" t="s">
        <v>121</v>
      </c>
      <c r="H1840" t="str">
        <f>IFERROR(ROUND(COUNTIFS(Tasks!$A:$A,$A1840,Tasks!$B:$B,$B1840,Tasks!$C:$C,$G1840,Tasks!$I:$I,"&lt;="&amp;INDEX(Weeks!$D:$D,MATCH($C1840,Weeks!$A:$A,0)),Tasks!$I:$I,"&lt;&gt;")/COUNTIFS(Tasks!$A:$A,$A1840,Tasks!$B:$B,$B1840,Tasks!$C:$C,$G1840)*100,0),"")</f>
        <v/>
      </c>
    </row>
    <row r="1841" spans="1:8" ht="15" hidden="1" customHeight="1">
      <c r="A1841" t="s">
        <v>102</v>
      </c>
      <c r="B1841" t="s">
        <v>105</v>
      </c>
      <c r="C1841">
        <v>20</v>
      </c>
      <c r="D1841">
        <v>5</v>
      </c>
      <c r="E1841">
        <v>3</v>
      </c>
      <c r="F1841">
        <v>2</v>
      </c>
      <c r="G1841" t="s">
        <v>121</v>
      </c>
      <c r="H1841" t="str">
        <f>IFERROR(ROUND(COUNTIFS(Tasks!$A:$A,$A1841,Tasks!$B:$B,$B1841,Tasks!$C:$C,$G1841,Tasks!$I:$I,"&lt;="&amp;INDEX(Weeks!$D:$D,MATCH($C1841,Weeks!$A:$A,0)),Tasks!$I:$I,"&lt;&gt;")/COUNTIFS(Tasks!$A:$A,$A1841,Tasks!$B:$B,$B1841,Tasks!$C:$C,$G1841)*100,0),"")</f>
        <v/>
      </c>
    </row>
    <row r="1842" spans="1:8" ht="15" hidden="1" customHeight="1">
      <c r="A1842" t="s">
        <v>102</v>
      </c>
      <c r="B1842" t="s">
        <v>105</v>
      </c>
      <c r="C1842">
        <v>21</v>
      </c>
      <c r="D1842">
        <v>5</v>
      </c>
      <c r="E1842">
        <v>4</v>
      </c>
      <c r="F1842">
        <v>2</v>
      </c>
      <c r="G1842" t="s">
        <v>121</v>
      </c>
      <c r="H1842" t="str">
        <f>IFERROR(ROUND(COUNTIFS(Tasks!$A:$A,$A1842,Tasks!$B:$B,$B1842,Tasks!$C:$C,$G1842,Tasks!$I:$I,"&lt;="&amp;INDEX(Weeks!$D:$D,MATCH($C1842,Weeks!$A:$A,0)),Tasks!$I:$I,"&lt;&gt;")/COUNTIFS(Tasks!$A:$A,$A1842,Tasks!$B:$B,$B1842,Tasks!$C:$C,$G1842)*100,0),"")</f>
        <v/>
      </c>
    </row>
    <row r="1843" spans="1:8" ht="15" hidden="1" customHeight="1">
      <c r="A1843" t="s">
        <v>102</v>
      </c>
      <c r="B1843" t="s">
        <v>105</v>
      </c>
      <c r="C1843">
        <v>22</v>
      </c>
      <c r="D1843">
        <v>5</v>
      </c>
      <c r="E1843">
        <v>5</v>
      </c>
      <c r="F1843">
        <v>2</v>
      </c>
      <c r="G1843" t="s">
        <v>121</v>
      </c>
      <c r="H1843" t="str">
        <f>IFERROR(ROUND(COUNTIFS(Tasks!$A:$A,$A1843,Tasks!$B:$B,$B1843,Tasks!$C:$C,$G1843,Tasks!$I:$I,"&lt;="&amp;INDEX(Weeks!$D:$D,MATCH($C1843,Weeks!$A:$A,0)),Tasks!$I:$I,"&lt;&gt;")/COUNTIFS(Tasks!$A:$A,$A1843,Tasks!$B:$B,$B1843,Tasks!$C:$C,$G1843)*100,0),"")</f>
        <v/>
      </c>
    </row>
    <row r="1844" spans="1:8" ht="15" hidden="1" customHeight="1">
      <c r="A1844" t="s">
        <v>102</v>
      </c>
      <c r="B1844" t="s">
        <v>105</v>
      </c>
      <c r="C1844">
        <v>23</v>
      </c>
      <c r="D1844">
        <v>6</v>
      </c>
      <c r="E1844">
        <v>1</v>
      </c>
      <c r="F1844">
        <v>2</v>
      </c>
      <c r="G1844" t="s">
        <v>121</v>
      </c>
      <c r="H1844" t="str">
        <f>IFERROR(ROUND(COUNTIFS(Tasks!$A:$A,$A1844,Tasks!$B:$B,$B1844,Tasks!$C:$C,$G1844,Tasks!$I:$I,"&lt;="&amp;INDEX(Weeks!$D:$D,MATCH($C1844,Weeks!$A:$A,0)),Tasks!$I:$I,"&lt;&gt;")/COUNTIFS(Tasks!$A:$A,$A1844,Tasks!$B:$B,$B1844,Tasks!$C:$C,$G1844)*100,0),"")</f>
        <v/>
      </c>
    </row>
    <row r="1845" spans="1:8" ht="15" hidden="1" customHeight="1">
      <c r="A1845" t="s">
        <v>102</v>
      </c>
      <c r="B1845" t="s">
        <v>105</v>
      </c>
      <c r="C1845">
        <v>24</v>
      </c>
      <c r="D1845">
        <v>6</v>
      </c>
      <c r="E1845">
        <v>2</v>
      </c>
      <c r="F1845">
        <v>2</v>
      </c>
      <c r="G1845" t="s">
        <v>121</v>
      </c>
      <c r="H1845" t="str">
        <f>IFERROR(ROUND(COUNTIFS(Tasks!$A:$A,$A1845,Tasks!$B:$B,$B1845,Tasks!$C:$C,$G1845,Tasks!$I:$I,"&lt;="&amp;INDEX(Weeks!$D:$D,MATCH($C1845,Weeks!$A:$A,0)),Tasks!$I:$I,"&lt;&gt;")/COUNTIFS(Tasks!$A:$A,$A1845,Tasks!$B:$B,$B1845,Tasks!$C:$C,$G1845)*100,0),"")</f>
        <v/>
      </c>
    </row>
    <row r="1846" spans="1:8" ht="15" hidden="1" customHeight="1">
      <c r="A1846" t="s">
        <v>102</v>
      </c>
      <c r="B1846" t="s">
        <v>105</v>
      </c>
      <c r="C1846">
        <v>25</v>
      </c>
      <c r="D1846">
        <v>6</v>
      </c>
      <c r="E1846">
        <v>3</v>
      </c>
      <c r="F1846">
        <v>2</v>
      </c>
      <c r="G1846" t="s">
        <v>121</v>
      </c>
      <c r="H1846" t="str">
        <f>IFERROR(ROUND(COUNTIFS(Tasks!$A:$A,$A1846,Tasks!$B:$B,$B1846,Tasks!$C:$C,$G1846,Tasks!$I:$I,"&lt;="&amp;INDEX(Weeks!$D:$D,MATCH($C1846,Weeks!$A:$A,0)),Tasks!$I:$I,"&lt;&gt;")/COUNTIFS(Tasks!$A:$A,$A1846,Tasks!$B:$B,$B1846,Tasks!$C:$C,$G1846)*100,0),"")</f>
        <v/>
      </c>
    </row>
    <row r="1847" spans="1:8" ht="15" hidden="1" customHeight="1">
      <c r="A1847" t="s">
        <v>102</v>
      </c>
      <c r="B1847" t="s">
        <v>105</v>
      </c>
      <c r="C1847">
        <v>26</v>
      </c>
      <c r="D1847">
        <v>6</v>
      </c>
      <c r="E1847">
        <v>4</v>
      </c>
      <c r="F1847">
        <v>2</v>
      </c>
      <c r="G1847" t="s">
        <v>121</v>
      </c>
      <c r="H1847" t="str">
        <f>IFERROR(ROUND(COUNTIFS(Tasks!$A:$A,$A1847,Tasks!$B:$B,$B1847,Tasks!$C:$C,$G1847,Tasks!$I:$I,"&lt;="&amp;INDEX(Weeks!$D:$D,MATCH($C1847,Weeks!$A:$A,0)),Tasks!$I:$I,"&lt;&gt;")/COUNTIFS(Tasks!$A:$A,$A1847,Tasks!$B:$B,$B1847,Tasks!$C:$C,$G1847)*100,0),"")</f>
        <v/>
      </c>
    </row>
    <row r="1848" spans="1:8" ht="15" hidden="1" customHeight="1">
      <c r="A1848" t="s">
        <v>102</v>
      </c>
      <c r="B1848" t="s">
        <v>105</v>
      </c>
      <c r="C1848">
        <v>27</v>
      </c>
      <c r="D1848">
        <v>7</v>
      </c>
      <c r="E1848">
        <v>1</v>
      </c>
      <c r="F1848">
        <v>2</v>
      </c>
      <c r="G1848" t="s">
        <v>121</v>
      </c>
      <c r="H1848" t="str">
        <f>IFERROR(ROUND(COUNTIFS(Tasks!$A:$A,$A1848,Tasks!$B:$B,$B1848,Tasks!$C:$C,$G1848,Tasks!$I:$I,"&lt;="&amp;INDEX(Weeks!$D:$D,MATCH($C1848,Weeks!$A:$A,0)),Tasks!$I:$I,"&lt;&gt;")/COUNTIFS(Tasks!$A:$A,$A1848,Tasks!$B:$B,$B1848,Tasks!$C:$C,$G1848)*100,0),"")</f>
        <v/>
      </c>
    </row>
    <row r="1849" spans="1:8" ht="15" hidden="1" customHeight="1">
      <c r="A1849" t="s">
        <v>102</v>
      </c>
      <c r="B1849" t="s">
        <v>105</v>
      </c>
      <c r="C1849">
        <v>28</v>
      </c>
      <c r="D1849">
        <v>7</v>
      </c>
      <c r="E1849">
        <v>2</v>
      </c>
      <c r="F1849">
        <v>2</v>
      </c>
      <c r="G1849" t="s">
        <v>121</v>
      </c>
      <c r="H1849" t="str">
        <f>IFERROR(ROUND(COUNTIFS(Tasks!$A:$A,$A1849,Tasks!$B:$B,$B1849,Tasks!$C:$C,$G1849,Tasks!$I:$I,"&lt;="&amp;INDEX(Weeks!$D:$D,MATCH($C1849,Weeks!$A:$A,0)),Tasks!$I:$I,"&lt;&gt;")/COUNTIFS(Tasks!$A:$A,$A1849,Tasks!$B:$B,$B1849,Tasks!$C:$C,$G1849)*100,0),"")</f>
        <v/>
      </c>
    </row>
    <row r="1850" spans="1:8" ht="15" hidden="1" customHeight="1">
      <c r="A1850" t="s">
        <v>102</v>
      </c>
      <c r="B1850" t="s">
        <v>105</v>
      </c>
      <c r="C1850">
        <v>29</v>
      </c>
      <c r="D1850">
        <v>7</v>
      </c>
      <c r="E1850">
        <v>3</v>
      </c>
      <c r="F1850">
        <v>2</v>
      </c>
      <c r="G1850" t="s">
        <v>121</v>
      </c>
      <c r="H1850" t="str">
        <f>IFERROR(ROUND(COUNTIFS(Tasks!$A:$A,$A1850,Tasks!$B:$B,$B1850,Tasks!$C:$C,$G1850,Tasks!$I:$I,"&lt;="&amp;INDEX(Weeks!$D:$D,MATCH($C1850,Weeks!$A:$A,0)),Tasks!$I:$I,"&lt;&gt;")/COUNTIFS(Tasks!$A:$A,$A1850,Tasks!$B:$B,$B1850,Tasks!$C:$C,$G1850)*100,0),"")</f>
        <v/>
      </c>
    </row>
    <row r="1851" spans="1:8" ht="15" hidden="1" customHeight="1">
      <c r="A1851" t="s">
        <v>102</v>
      </c>
      <c r="B1851" t="s">
        <v>105</v>
      </c>
      <c r="C1851">
        <v>30</v>
      </c>
      <c r="D1851">
        <v>7</v>
      </c>
      <c r="E1851">
        <v>4</v>
      </c>
      <c r="F1851">
        <v>2</v>
      </c>
      <c r="G1851" t="s">
        <v>121</v>
      </c>
      <c r="H1851" t="str">
        <f>IFERROR(ROUND(COUNTIFS(Tasks!$A:$A,$A1851,Tasks!$B:$B,$B1851,Tasks!$C:$C,$G1851,Tasks!$I:$I,"&lt;="&amp;INDEX(Weeks!$D:$D,MATCH($C1851,Weeks!$A:$A,0)),Tasks!$I:$I,"&lt;&gt;")/COUNTIFS(Tasks!$A:$A,$A1851,Tasks!$B:$B,$B1851,Tasks!$C:$C,$G1851)*100,0),"")</f>
        <v/>
      </c>
    </row>
    <row r="1852" spans="1:8" ht="15" hidden="1" customHeight="1">
      <c r="A1852" t="s">
        <v>102</v>
      </c>
      <c r="B1852" t="s">
        <v>105</v>
      </c>
      <c r="C1852">
        <v>31</v>
      </c>
      <c r="D1852">
        <v>8</v>
      </c>
      <c r="E1852">
        <v>1</v>
      </c>
      <c r="F1852">
        <v>2</v>
      </c>
      <c r="G1852" t="s">
        <v>121</v>
      </c>
      <c r="H1852" t="str">
        <f>IFERROR(ROUND(COUNTIFS(Tasks!$A:$A,$A1852,Tasks!$B:$B,$B1852,Tasks!$C:$C,$G1852,Tasks!$I:$I,"&lt;="&amp;INDEX(Weeks!$D:$D,MATCH($C1852,Weeks!$A:$A,0)),Tasks!$I:$I,"&lt;&gt;")/COUNTIFS(Tasks!$A:$A,$A1852,Tasks!$B:$B,$B1852,Tasks!$C:$C,$G1852)*100,0),"")</f>
        <v/>
      </c>
    </row>
    <row r="1853" spans="1:8" ht="15" hidden="1" customHeight="1">
      <c r="A1853" t="s">
        <v>102</v>
      </c>
      <c r="B1853" t="s">
        <v>105</v>
      </c>
      <c r="C1853">
        <v>32</v>
      </c>
      <c r="D1853">
        <v>8</v>
      </c>
      <c r="E1853">
        <v>2</v>
      </c>
      <c r="F1853">
        <v>2</v>
      </c>
      <c r="G1853" t="s">
        <v>121</v>
      </c>
      <c r="H1853" t="str">
        <f>IFERROR(ROUND(COUNTIFS(Tasks!$A:$A,$A1853,Tasks!$B:$B,$B1853,Tasks!$C:$C,$G1853,Tasks!$I:$I,"&lt;="&amp;INDEX(Weeks!$D:$D,MATCH($C1853,Weeks!$A:$A,0)),Tasks!$I:$I,"&lt;&gt;")/COUNTIFS(Tasks!$A:$A,$A1853,Tasks!$B:$B,$B1853,Tasks!$C:$C,$G1853)*100,0),"")</f>
        <v/>
      </c>
    </row>
    <row r="1854" spans="1:8" ht="15" hidden="1" customHeight="1">
      <c r="A1854" t="s">
        <v>102</v>
      </c>
      <c r="B1854" t="s">
        <v>105</v>
      </c>
      <c r="C1854">
        <v>33</v>
      </c>
      <c r="D1854">
        <v>8</v>
      </c>
      <c r="E1854">
        <v>3</v>
      </c>
      <c r="F1854">
        <v>2</v>
      </c>
      <c r="G1854" t="s">
        <v>121</v>
      </c>
      <c r="H1854" t="str">
        <f>IFERROR(ROUND(COUNTIFS(Tasks!$A:$A,$A1854,Tasks!$B:$B,$B1854,Tasks!$C:$C,$G1854,Tasks!$I:$I,"&lt;="&amp;INDEX(Weeks!$D:$D,MATCH($C1854,Weeks!$A:$A,0)),Tasks!$I:$I,"&lt;&gt;")/COUNTIFS(Tasks!$A:$A,$A1854,Tasks!$B:$B,$B1854,Tasks!$C:$C,$G1854)*100,0),"")</f>
        <v/>
      </c>
    </row>
    <row r="1855" spans="1:8" ht="15" hidden="1" customHeight="1">
      <c r="A1855" t="s">
        <v>102</v>
      </c>
      <c r="B1855" t="s">
        <v>105</v>
      </c>
      <c r="C1855">
        <v>34</v>
      </c>
      <c r="D1855">
        <v>8</v>
      </c>
      <c r="E1855">
        <v>4</v>
      </c>
      <c r="F1855">
        <v>2</v>
      </c>
      <c r="G1855" t="s">
        <v>121</v>
      </c>
      <c r="H1855" t="str">
        <f>IFERROR(ROUND(COUNTIFS(Tasks!$A:$A,$A1855,Tasks!$B:$B,$B1855,Tasks!$C:$C,$G1855,Tasks!$I:$I,"&lt;="&amp;INDEX(Weeks!$D:$D,MATCH($C1855,Weeks!$A:$A,0)),Tasks!$I:$I,"&lt;&gt;")/COUNTIFS(Tasks!$A:$A,$A1855,Tasks!$B:$B,$B1855,Tasks!$C:$C,$G1855)*100,0),"")</f>
        <v/>
      </c>
    </row>
    <row r="1856" spans="1:8" ht="15" hidden="1" customHeight="1">
      <c r="A1856" t="s">
        <v>102</v>
      </c>
      <c r="B1856" t="s">
        <v>105</v>
      </c>
      <c r="C1856">
        <v>35</v>
      </c>
      <c r="D1856">
        <v>8</v>
      </c>
      <c r="E1856">
        <v>5</v>
      </c>
      <c r="F1856">
        <v>2</v>
      </c>
      <c r="G1856" t="s">
        <v>121</v>
      </c>
      <c r="H1856" t="str">
        <f>IFERROR(ROUND(COUNTIFS(Tasks!$A:$A,$A1856,Tasks!$B:$B,$B1856,Tasks!$C:$C,$G1856,Tasks!$I:$I,"&lt;="&amp;INDEX(Weeks!$D:$D,MATCH($C1856,Weeks!$A:$A,0)),Tasks!$I:$I,"&lt;&gt;")/COUNTIFS(Tasks!$A:$A,$A1856,Tasks!$B:$B,$B1856,Tasks!$C:$C,$G1856)*100,0),"")</f>
        <v/>
      </c>
    </row>
    <row r="1857" spans="1:8" ht="15" hidden="1" customHeight="1">
      <c r="A1857" t="s">
        <v>102</v>
      </c>
      <c r="B1857" t="s">
        <v>105</v>
      </c>
      <c r="C1857">
        <v>36</v>
      </c>
      <c r="D1857">
        <v>9</v>
      </c>
      <c r="E1857">
        <v>1</v>
      </c>
      <c r="F1857">
        <v>2</v>
      </c>
      <c r="G1857" t="s">
        <v>121</v>
      </c>
      <c r="H1857" t="str">
        <f>IFERROR(ROUND(COUNTIFS(Tasks!$A:$A,$A1857,Tasks!$B:$B,$B1857,Tasks!$C:$C,$G1857,Tasks!$I:$I,"&lt;="&amp;INDEX(Weeks!$D:$D,MATCH($C1857,Weeks!$A:$A,0)),Tasks!$I:$I,"&lt;&gt;")/COUNTIFS(Tasks!$A:$A,$A1857,Tasks!$B:$B,$B1857,Tasks!$C:$C,$G1857)*100,0),"")</f>
        <v/>
      </c>
    </row>
    <row r="1858" spans="1:8" ht="15" hidden="1" customHeight="1">
      <c r="A1858" t="s">
        <v>102</v>
      </c>
      <c r="B1858" t="s">
        <v>105</v>
      </c>
      <c r="C1858">
        <v>37</v>
      </c>
      <c r="D1858">
        <v>9</v>
      </c>
      <c r="E1858">
        <v>2</v>
      </c>
      <c r="F1858">
        <v>2</v>
      </c>
      <c r="G1858" t="s">
        <v>121</v>
      </c>
      <c r="H1858" t="str">
        <f>IFERROR(ROUND(COUNTIFS(Tasks!$A:$A,$A1858,Tasks!$B:$B,$B1858,Tasks!$C:$C,$G1858,Tasks!$I:$I,"&lt;="&amp;INDEX(Weeks!$D:$D,MATCH($C1858,Weeks!$A:$A,0)),Tasks!$I:$I,"&lt;&gt;")/COUNTIFS(Tasks!$A:$A,$A1858,Tasks!$B:$B,$B1858,Tasks!$C:$C,$G1858)*100,0),"")</f>
        <v/>
      </c>
    </row>
    <row r="1859" spans="1:8" ht="15" hidden="1" customHeight="1">
      <c r="A1859" t="s">
        <v>102</v>
      </c>
      <c r="B1859" t="s">
        <v>105</v>
      </c>
      <c r="C1859">
        <v>38</v>
      </c>
      <c r="D1859">
        <v>9</v>
      </c>
      <c r="E1859">
        <v>3</v>
      </c>
      <c r="F1859">
        <v>2</v>
      </c>
      <c r="G1859" t="s">
        <v>121</v>
      </c>
      <c r="H1859" t="str">
        <f>IFERROR(ROUND(COUNTIFS(Tasks!$A:$A,$A1859,Tasks!$B:$B,$B1859,Tasks!$C:$C,$G1859,Tasks!$I:$I,"&lt;="&amp;INDEX(Weeks!$D:$D,MATCH($C1859,Weeks!$A:$A,0)),Tasks!$I:$I,"&lt;&gt;")/COUNTIFS(Tasks!$A:$A,$A1859,Tasks!$B:$B,$B1859,Tasks!$C:$C,$G1859)*100,0),"")</f>
        <v/>
      </c>
    </row>
    <row r="1860" spans="1:8" ht="15" hidden="1" customHeight="1">
      <c r="A1860" t="s">
        <v>102</v>
      </c>
      <c r="B1860" t="s">
        <v>105</v>
      </c>
      <c r="C1860">
        <v>39</v>
      </c>
      <c r="D1860">
        <v>9</v>
      </c>
      <c r="E1860">
        <v>4</v>
      </c>
      <c r="F1860">
        <v>2</v>
      </c>
      <c r="G1860" t="s">
        <v>121</v>
      </c>
      <c r="H1860" t="str">
        <f>IFERROR(ROUND(COUNTIFS(Tasks!$A:$A,$A1860,Tasks!$B:$B,$B1860,Tasks!$C:$C,$G1860,Tasks!$I:$I,"&lt;="&amp;INDEX(Weeks!$D:$D,MATCH($C1860,Weeks!$A:$A,0)),Tasks!$I:$I,"&lt;&gt;")/COUNTIFS(Tasks!$A:$A,$A1860,Tasks!$B:$B,$B1860,Tasks!$C:$C,$G1860)*100,0),"")</f>
        <v/>
      </c>
    </row>
    <row r="1861" spans="1:8" ht="15" hidden="1" customHeight="1">
      <c r="A1861" t="s">
        <v>102</v>
      </c>
      <c r="B1861" t="s">
        <v>105</v>
      </c>
      <c r="C1861">
        <v>40</v>
      </c>
      <c r="D1861">
        <v>10</v>
      </c>
      <c r="E1861">
        <v>1</v>
      </c>
      <c r="F1861">
        <v>2</v>
      </c>
      <c r="G1861" t="s">
        <v>121</v>
      </c>
      <c r="H1861" t="str">
        <f>IFERROR(ROUND(COUNTIFS(Tasks!$A:$A,$A1861,Tasks!$B:$B,$B1861,Tasks!$C:$C,$G1861,Tasks!$I:$I,"&lt;="&amp;INDEX(Weeks!$D:$D,MATCH($C1861,Weeks!$A:$A,0)),Tasks!$I:$I,"&lt;&gt;")/COUNTIFS(Tasks!$A:$A,$A1861,Tasks!$B:$B,$B1861,Tasks!$C:$C,$G1861)*100,0),"")</f>
        <v/>
      </c>
    </row>
    <row r="1862" spans="1:8" ht="15" hidden="1" customHeight="1">
      <c r="A1862" t="s">
        <v>102</v>
      </c>
      <c r="B1862" t="s">
        <v>105</v>
      </c>
      <c r="C1862">
        <v>41</v>
      </c>
      <c r="D1862">
        <v>10</v>
      </c>
      <c r="E1862">
        <v>2</v>
      </c>
      <c r="F1862">
        <v>2</v>
      </c>
      <c r="G1862" t="s">
        <v>121</v>
      </c>
      <c r="H1862" t="str">
        <f>IFERROR(ROUND(COUNTIFS(Tasks!$A:$A,$A1862,Tasks!$B:$B,$B1862,Tasks!$C:$C,$G1862,Tasks!$I:$I,"&lt;="&amp;INDEX(Weeks!$D:$D,MATCH($C1862,Weeks!$A:$A,0)),Tasks!$I:$I,"&lt;&gt;")/COUNTIFS(Tasks!$A:$A,$A1862,Tasks!$B:$B,$B1862,Tasks!$C:$C,$G1862)*100,0),"")</f>
        <v/>
      </c>
    </row>
    <row r="1863" spans="1:8" ht="15" hidden="1" customHeight="1">
      <c r="A1863" t="s">
        <v>102</v>
      </c>
      <c r="B1863" t="s">
        <v>105</v>
      </c>
      <c r="C1863">
        <v>42</v>
      </c>
      <c r="D1863">
        <v>10</v>
      </c>
      <c r="E1863">
        <v>3</v>
      </c>
      <c r="F1863">
        <v>2</v>
      </c>
      <c r="G1863" t="s">
        <v>121</v>
      </c>
      <c r="H1863" t="str">
        <f>IFERROR(ROUND(COUNTIFS(Tasks!$A:$A,$A1863,Tasks!$B:$B,$B1863,Tasks!$C:$C,$G1863,Tasks!$I:$I,"&lt;="&amp;INDEX(Weeks!$D:$D,MATCH($C1863,Weeks!$A:$A,0)),Tasks!$I:$I,"&lt;&gt;")/COUNTIFS(Tasks!$A:$A,$A1863,Tasks!$B:$B,$B1863,Tasks!$C:$C,$G1863)*100,0),"")</f>
        <v/>
      </c>
    </row>
    <row r="1864" spans="1:8" ht="15" hidden="1" customHeight="1">
      <c r="A1864" t="s">
        <v>102</v>
      </c>
      <c r="B1864" t="s">
        <v>105</v>
      </c>
      <c r="C1864">
        <v>43</v>
      </c>
      <c r="D1864">
        <v>10</v>
      </c>
      <c r="E1864">
        <v>4</v>
      </c>
      <c r="F1864">
        <v>2</v>
      </c>
      <c r="G1864" t="s">
        <v>121</v>
      </c>
      <c r="H1864" t="str">
        <f>IFERROR(ROUND(COUNTIFS(Tasks!$A:$A,$A1864,Tasks!$B:$B,$B1864,Tasks!$C:$C,$G1864,Tasks!$I:$I,"&lt;="&amp;INDEX(Weeks!$D:$D,MATCH($C1864,Weeks!$A:$A,0)),Tasks!$I:$I,"&lt;&gt;")/COUNTIFS(Tasks!$A:$A,$A1864,Tasks!$B:$B,$B1864,Tasks!$C:$C,$G1864)*100,0),"")</f>
        <v/>
      </c>
    </row>
    <row r="1865" spans="1:8" ht="15" hidden="1" customHeight="1">
      <c r="A1865" t="s">
        <v>102</v>
      </c>
      <c r="B1865" t="s">
        <v>105</v>
      </c>
      <c r="C1865">
        <v>44</v>
      </c>
      <c r="D1865">
        <v>10</v>
      </c>
      <c r="E1865">
        <v>5</v>
      </c>
      <c r="F1865">
        <v>2</v>
      </c>
      <c r="G1865" t="s">
        <v>121</v>
      </c>
      <c r="H1865" t="str">
        <f>IFERROR(ROUND(COUNTIFS(Tasks!$A:$A,$A1865,Tasks!$B:$B,$B1865,Tasks!$C:$C,$G1865,Tasks!$I:$I,"&lt;="&amp;INDEX(Weeks!$D:$D,MATCH($C1865,Weeks!$A:$A,0)),Tasks!$I:$I,"&lt;&gt;")/COUNTIFS(Tasks!$A:$A,$A1865,Tasks!$B:$B,$B1865,Tasks!$C:$C,$G1865)*100,0),"")</f>
        <v/>
      </c>
    </row>
    <row r="1866" spans="1:8" ht="15" hidden="1" customHeight="1">
      <c r="A1866" t="s">
        <v>102</v>
      </c>
      <c r="B1866" t="s">
        <v>105</v>
      </c>
      <c r="C1866">
        <v>45</v>
      </c>
      <c r="D1866">
        <v>11</v>
      </c>
      <c r="E1866">
        <v>1</v>
      </c>
      <c r="F1866">
        <v>2</v>
      </c>
      <c r="G1866" t="s">
        <v>121</v>
      </c>
      <c r="H1866" t="str">
        <f>IFERROR(ROUND(COUNTIFS(Tasks!$A:$A,$A1866,Tasks!$B:$B,$B1866,Tasks!$C:$C,$G1866,Tasks!$I:$I,"&lt;="&amp;INDEX(Weeks!$D:$D,MATCH($C1866,Weeks!$A:$A,0)),Tasks!$I:$I,"&lt;&gt;")/COUNTIFS(Tasks!$A:$A,$A1866,Tasks!$B:$B,$B1866,Tasks!$C:$C,$G1866)*100,0),"")</f>
        <v/>
      </c>
    </row>
    <row r="1867" spans="1:8" ht="15" hidden="1" customHeight="1">
      <c r="A1867" t="s">
        <v>102</v>
      </c>
      <c r="B1867" t="s">
        <v>105</v>
      </c>
      <c r="C1867">
        <v>46</v>
      </c>
      <c r="D1867">
        <v>11</v>
      </c>
      <c r="E1867">
        <v>2</v>
      </c>
      <c r="F1867">
        <v>2</v>
      </c>
      <c r="G1867" t="s">
        <v>121</v>
      </c>
      <c r="H1867" t="str">
        <f>IFERROR(ROUND(COUNTIFS(Tasks!$A:$A,$A1867,Tasks!$B:$B,$B1867,Tasks!$C:$C,$G1867,Tasks!$I:$I,"&lt;="&amp;INDEX(Weeks!$D:$D,MATCH($C1867,Weeks!$A:$A,0)),Tasks!$I:$I,"&lt;&gt;")/COUNTIFS(Tasks!$A:$A,$A1867,Tasks!$B:$B,$B1867,Tasks!$C:$C,$G1867)*100,0),"")</f>
        <v/>
      </c>
    </row>
    <row r="1868" spans="1:8" ht="15" hidden="1" customHeight="1">
      <c r="A1868" t="s">
        <v>102</v>
      </c>
      <c r="B1868" t="s">
        <v>105</v>
      </c>
      <c r="C1868">
        <v>47</v>
      </c>
      <c r="D1868">
        <v>11</v>
      </c>
      <c r="E1868">
        <v>3</v>
      </c>
      <c r="F1868">
        <v>2</v>
      </c>
      <c r="G1868" t="s">
        <v>121</v>
      </c>
      <c r="H1868" t="str">
        <f>IFERROR(ROUND(COUNTIFS(Tasks!$A:$A,$A1868,Tasks!$B:$B,$B1868,Tasks!$C:$C,$G1868,Tasks!$I:$I,"&lt;="&amp;INDEX(Weeks!$D:$D,MATCH($C1868,Weeks!$A:$A,0)),Tasks!$I:$I,"&lt;&gt;")/COUNTIFS(Tasks!$A:$A,$A1868,Tasks!$B:$B,$B1868,Tasks!$C:$C,$G1868)*100,0),"")</f>
        <v/>
      </c>
    </row>
    <row r="1869" spans="1:8" ht="15" hidden="1" customHeight="1">
      <c r="A1869" t="s">
        <v>102</v>
      </c>
      <c r="B1869" t="s">
        <v>105</v>
      </c>
      <c r="C1869">
        <v>48</v>
      </c>
      <c r="D1869">
        <v>11</v>
      </c>
      <c r="E1869">
        <v>4</v>
      </c>
      <c r="F1869">
        <v>2</v>
      </c>
      <c r="G1869" t="s">
        <v>121</v>
      </c>
      <c r="H1869" t="str">
        <f>IFERROR(ROUND(COUNTIFS(Tasks!$A:$A,$A1869,Tasks!$B:$B,$B1869,Tasks!$C:$C,$G1869,Tasks!$I:$I,"&lt;="&amp;INDEX(Weeks!$D:$D,MATCH($C1869,Weeks!$A:$A,0)),Tasks!$I:$I,"&lt;&gt;")/COUNTIFS(Tasks!$A:$A,$A1869,Tasks!$B:$B,$B1869,Tasks!$C:$C,$G1869)*100,0),"")</f>
        <v/>
      </c>
    </row>
    <row r="1870" spans="1:8" ht="15" hidden="1" customHeight="1">
      <c r="A1870" t="s">
        <v>102</v>
      </c>
      <c r="B1870" t="s">
        <v>105</v>
      </c>
      <c r="C1870">
        <v>49</v>
      </c>
      <c r="D1870">
        <v>12</v>
      </c>
      <c r="E1870">
        <v>1</v>
      </c>
      <c r="F1870">
        <v>2</v>
      </c>
      <c r="G1870" t="s">
        <v>121</v>
      </c>
      <c r="H1870" t="str">
        <f>IFERROR(ROUND(COUNTIFS(Tasks!$A:$A,$A1870,Tasks!$B:$B,$B1870,Tasks!$C:$C,$G1870,Tasks!$I:$I,"&lt;="&amp;INDEX(Weeks!$D:$D,MATCH($C1870,Weeks!$A:$A,0)),Tasks!$I:$I,"&lt;&gt;")/COUNTIFS(Tasks!$A:$A,$A1870,Tasks!$B:$B,$B1870,Tasks!$C:$C,$G1870)*100,0),"")</f>
        <v/>
      </c>
    </row>
    <row r="1871" spans="1:8" ht="15" hidden="1" customHeight="1">
      <c r="A1871" t="s">
        <v>102</v>
      </c>
      <c r="B1871" t="s">
        <v>105</v>
      </c>
      <c r="C1871">
        <v>50</v>
      </c>
      <c r="D1871">
        <v>12</v>
      </c>
      <c r="E1871">
        <v>2</v>
      </c>
      <c r="F1871">
        <v>2</v>
      </c>
      <c r="G1871" t="s">
        <v>121</v>
      </c>
      <c r="H1871" t="str">
        <f>IFERROR(ROUND(COUNTIFS(Tasks!$A:$A,$A1871,Tasks!$B:$B,$B1871,Tasks!$C:$C,$G1871,Tasks!$I:$I,"&lt;="&amp;INDEX(Weeks!$D:$D,MATCH($C1871,Weeks!$A:$A,0)),Tasks!$I:$I,"&lt;&gt;")/COUNTIFS(Tasks!$A:$A,$A1871,Tasks!$B:$B,$B1871,Tasks!$C:$C,$G1871)*100,0),"")</f>
        <v/>
      </c>
    </row>
    <row r="1872" spans="1:8" ht="15" hidden="1" customHeight="1">
      <c r="A1872" t="s">
        <v>102</v>
      </c>
      <c r="B1872" t="s">
        <v>105</v>
      </c>
      <c r="C1872">
        <v>51</v>
      </c>
      <c r="D1872">
        <v>12</v>
      </c>
      <c r="E1872">
        <v>3</v>
      </c>
      <c r="F1872">
        <v>2</v>
      </c>
      <c r="G1872" t="s">
        <v>121</v>
      </c>
      <c r="H1872" t="str">
        <f>IFERROR(ROUND(COUNTIFS(Tasks!$A:$A,$A1872,Tasks!$B:$B,$B1872,Tasks!$C:$C,$G1872,Tasks!$I:$I,"&lt;="&amp;INDEX(Weeks!$D:$D,MATCH($C1872,Weeks!$A:$A,0)),Tasks!$I:$I,"&lt;&gt;")/COUNTIFS(Tasks!$A:$A,$A1872,Tasks!$B:$B,$B1872,Tasks!$C:$C,$G1872)*100,0),"")</f>
        <v/>
      </c>
    </row>
    <row r="1873" spans="1:8" ht="15" hidden="1" customHeight="1">
      <c r="A1873" t="s">
        <v>102</v>
      </c>
      <c r="B1873" t="s">
        <v>105</v>
      </c>
      <c r="C1873">
        <v>52</v>
      </c>
      <c r="D1873">
        <v>12</v>
      </c>
      <c r="E1873">
        <v>4</v>
      </c>
      <c r="F1873">
        <v>2</v>
      </c>
      <c r="G1873" t="s">
        <v>121</v>
      </c>
      <c r="H1873" t="str">
        <f>IFERROR(ROUND(COUNTIFS(Tasks!$A:$A,$A1873,Tasks!$B:$B,$B1873,Tasks!$C:$C,$G1873,Tasks!$I:$I,"&lt;="&amp;INDEX(Weeks!$D:$D,MATCH($C1873,Weeks!$A:$A,0)),Tasks!$I:$I,"&lt;&gt;")/COUNTIFS(Tasks!$A:$A,$A1873,Tasks!$B:$B,$B1873,Tasks!$C:$C,$G1873)*100,0),"")</f>
        <v/>
      </c>
    </row>
    <row r="1874" spans="1:8" ht="15" hidden="1" customHeight="1">
      <c r="A1874" t="s">
        <v>102</v>
      </c>
      <c r="B1874" t="s">
        <v>105</v>
      </c>
      <c r="C1874">
        <v>1</v>
      </c>
      <c r="D1874">
        <v>1</v>
      </c>
      <c r="E1874">
        <v>1</v>
      </c>
      <c r="F1874">
        <v>3</v>
      </c>
      <c r="G1874" t="s">
        <v>122</v>
      </c>
      <c r="H1874" t="str">
        <f>IFERROR(ROUND(COUNTIFS(Tasks!$A:$A,$A1874,Tasks!$B:$B,$B1874,Tasks!$C:$C,$G1874,Tasks!$I:$I,"&lt;="&amp;INDEX(Weeks!$D:$D,MATCH($C1874,Weeks!$A:$A,0)),Tasks!$I:$I,"&lt;&gt;")/COUNTIFS(Tasks!$A:$A,$A1874,Tasks!$B:$B,$B1874,Tasks!$C:$C,$G1874)*100,0),"")</f>
        <v/>
      </c>
    </row>
    <row r="1875" spans="1:8" ht="15" hidden="1" customHeight="1">
      <c r="A1875" t="s">
        <v>102</v>
      </c>
      <c r="B1875" t="s">
        <v>105</v>
      </c>
      <c r="C1875">
        <v>2</v>
      </c>
      <c r="D1875">
        <v>1</v>
      </c>
      <c r="E1875">
        <v>2</v>
      </c>
      <c r="F1875">
        <v>3</v>
      </c>
      <c r="G1875" t="s">
        <v>122</v>
      </c>
      <c r="H1875" t="str">
        <f>IFERROR(ROUND(COUNTIFS(Tasks!$A:$A,$A1875,Tasks!$B:$B,$B1875,Tasks!$C:$C,$G1875,Tasks!$I:$I,"&lt;="&amp;INDEX(Weeks!$D:$D,MATCH($C1875,Weeks!$A:$A,0)),Tasks!$I:$I,"&lt;&gt;")/COUNTIFS(Tasks!$A:$A,$A1875,Tasks!$B:$B,$B1875,Tasks!$C:$C,$G1875)*100,0),"")</f>
        <v/>
      </c>
    </row>
    <row r="1876" spans="1:8" ht="15" hidden="1" customHeight="1">
      <c r="A1876" t="s">
        <v>102</v>
      </c>
      <c r="B1876" t="s">
        <v>105</v>
      </c>
      <c r="C1876">
        <v>3</v>
      </c>
      <c r="D1876">
        <v>1</v>
      </c>
      <c r="E1876">
        <v>3</v>
      </c>
      <c r="F1876">
        <v>3</v>
      </c>
      <c r="G1876" t="s">
        <v>122</v>
      </c>
      <c r="H1876" t="str">
        <f>IFERROR(ROUND(COUNTIFS(Tasks!$A:$A,$A1876,Tasks!$B:$B,$B1876,Tasks!$C:$C,$G1876,Tasks!$I:$I,"&lt;="&amp;INDEX(Weeks!$D:$D,MATCH($C1876,Weeks!$A:$A,0)),Tasks!$I:$I,"&lt;&gt;")/COUNTIFS(Tasks!$A:$A,$A1876,Tasks!$B:$B,$B1876,Tasks!$C:$C,$G1876)*100,0),"")</f>
        <v/>
      </c>
    </row>
    <row r="1877" spans="1:8" ht="15" hidden="1" customHeight="1">
      <c r="A1877" t="s">
        <v>102</v>
      </c>
      <c r="B1877" t="s">
        <v>105</v>
      </c>
      <c r="C1877">
        <v>4</v>
      </c>
      <c r="D1877">
        <v>1</v>
      </c>
      <c r="E1877">
        <v>4</v>
      </c>
      <c r="F1877">
        <v>3</v>
      </c>
      <c r="G1877" t="s">
        <v>122</v>
      </c>
      <c r="H1877" t="str">
        <f>IFERROR(ROUND(COUNTIFS(Tasks!$A:$A,$A1877,Tasks!$B:$B,$B1877,Tasks!$C:$C,$G1877,Tasks!$I:$I,"&lt;="&amp;INDEX(Weeks!$D:$D,MATCH($C1877,Weeks!$A:$A,0)),Tasks!$I:$I,"&lt;&gt;")/COUNTIFS(Tasks!$A:$A,$A1877,Tasks!$B:$B,$B1877,Tasks!$C:$C,$G1877)*100,0),"")</f>
        <v/>
      </c>
    </row>
    <row r="1878" spans="1:8" ht="15" hidden="1" customHeight="1">
      <c r="A1878" t="s">
        <v>102</v>
      </c>
      <c r="B1878" t="s">
        <v>105</v>
      </c>
      <c r="C1878">
        <v>5</v>
      </c>
      <c r="D1878">
        <v>1</v>
      </c>
      <c r="E1878">
        <v>5</v>
      </c>
      <c r="F1878">
        <v>3</v>
      </c>
      <c r="G1878" t="s">
        <v>122</v>
      </c>
      <c r="H1878" t="str">
        <f>IFERROR(ROUND(COUNTIFS(Tasks!$A:$A,$A1878,Tasks!$B:$B,$B1878,Tasks!$C:$C,$G1878,Tasks!$I:$I,"&lt;="&amp;INDEX(Weeks!$D:$D,MATCH($C1878,Weeks!$A:$A,0)),Tasks!$I:$I,"&lt;&gt;")/COUNTIFS(Tasks!$A:$A,$A1878,Tasks!$B:$B,$B1878,Tasks!$C:$C,$G1878)*100,0),"")</f>
        <v/>
      </c>
    </row>
    <row r="1879" spans="1:8" ht="15" hidden="1" customHeight="1">
      <c r="A1879" t="s">
        <v>102</v>
      </c>
      <c r="B1879" t="s">
        <v>105</v>
      </c>
      <c r="C1879">
        <v>6</v>
      </c>
      <c r="D1879">
        <v>2</v>
      </c>
      <c r="E1879">
        <v>1</v>
      </c>
      <c r="F1879">
        <v>3</v>
      </c>
      <c r="G1879" t="s">
        <v>122</v>
      </c>
      <c r="H1879" t="str">
        <f>IFERROR(ROUND(COUNTIFS(Tasks!$A:$A,$A1879,Tasks!$B:$B,$B1879,Tasks!$C:$C,$G1879,Tasks!$I:$I,"&lt;="&amp;INDEX(Weeks!$D:$D,MATCH($C1879,Weeks!$A:$A,0)),Tasks!$I:$I,"&lt;&gt;")/COUNTIFS(Tasks!$A:$A,$A1879,Tasks!$B:$B,$B1879,Tasks!$C:$C,$G1879)*100,0),"")</f>
        <v/>
      </c>
    </row>
    <row r="1880" spans="1:8" ht="15" hidden="1" customHeight="1">
      <c r="A1880" t="s">
        <v>102</v>
      </c>
      <c r="B1880" t="s">
        <v>105</v>
      </c>
      <c r="C1880">
        <v>7</v>
      </c>
      <c r="D1880">
        <v>2</v>
      </c>
      <c r="E1880">
        <v>2</v>
      </c>
      <c r="F1880">
        <v>3</v>
      </c>
      <c r="G1880" t="s">
        <v>122</v>
      </c>
      <c r="H1880" t="str">
        <f>IFERROR(ROUND(COUNTIFS(Tasks!$A:$A,$A1880,Tasks!$B:$B,$B1880,Tasks!$C:$C,$G1880,Tasks!$I:$I,"&lt;="&amp;INDEX(Weeks!$D:$D,MATCH($C1880,Weeks!$A:$A,0)),Tasks!$I:$I,"&lt;&gt;")/COUNTIFS(Tasks!$A:$A,$A1880,Tasks!$B:$B,$B1880,Tasks!$C:$C,$G1880)*100,0),"")</f>
        <v/>
      </c>
    </row>
    <row r="1881" spans="1:8" ht="15" hidden="1" customHeight="1">
      <c r="A1881" t="s">
        <v>102</v>
      </c>
      <c r="B1881" t="s">
        <v>105</v>
      </c>
      <c r="C1881">
        <v>8</v>
      </c>
      <c r="D1881">
        <v>2</v>
      </c>
      <c r="E1881">
        <v>3</v>
      </c>
      <c r="F1881">
        <v>3</v>
      </c>
      <c r="G1881" t="s">
        <v>122</v>
      </c>
      <c r="H1881" t="str">
        <f>IFERROR(ROUND(COUNTIFS(Tasks!$A:$A,$A1881,Tasks!$B:$B,$B1881,Tasks!$C:$C,$G1881,Tasks!$I:$I,"&lt;="&amp;INDEX(Weeks!$D:$D,MATCH($C1881,Weeks!$A:$A,0)),Tasks!$I:$I,"&lt;&gt;")/COUNTIFS(Tasks!$A:$A,$A1881,Tasks!$B:$B,$B1881,Tasks!$C:$C,$G1881)*100,0),"")</f>
        <v/>
      </c>
    </row>
    <row r="1882" spans="1:8" ht="15" hidden="1" customHeight="1">
      <c r="A1882" t="s">
        <v>102</v>
      </c>
      <c r="B1882" t="s">
        <v>105</v>
      </c>
      <c r="C1882">
        <v>9</v>
      </c>
      <c r="D1882">
        <v>2</v>
      </c>
      <c r="E1882">
        <v>4</v>
      </c>
      <c r="F1882">
        <v>3</v>
      </c>
      <c r="G1882" t="s">
        <v>122</v>
      </c>
      <c r="H1882" t="str">
        <f>IFERROR(ROUND(COUNTIFS(Tasks!$A:$A,$A1882,Tasks!$B:$B,$B1882,Tasks!$C:$C,$G1882,Tasks!$I:$I,"&lt;="&amp;INDEX(Weeks!$D:$D,MATCH($C1882,Weeks!$A:$A,0)),Tasks!$I:$I,"&lt;&gt;")/COUNTIFS(Tasks!$A:$A,$A1882,Tasks!$B:$B,$B1882,Tasks!$C:$C,$G1882)*100,0),"")</f>
        <v/>
      </c>
    </row>
    <row r="1883" spans="1:8" ht="15" hidden="1" customHeight="1">
      <c r="A1883" t="s">
        <v>102</v>
      </c>
      <c r="B1883" t="s">
        <v>105</v>
      </c>
      <c r="C1883">
        <v>10</v>
      </c>
      <c r="D1883">
        <v>3</v>
      </c>
      <c r="E1883">
        <v>1</v>
      </c>
      <c r="F1883">
        <v>3</v>
      </c>
      <c r="G1883" t="s">
        <v>122</v>
      </c>
      <c r="H1883" t="str">
        <f>IFERROR(ROUND(COUNTIFS(Tasks!$A:$A,$A1883,Tasks!$B:$B,$B1883,Tasks!$C:$C,$G1883,Tasks!$I:$I,"&lt;="&amp;INDEX(Weeks!$D:$D,MATCH($C1883,Weeks!$A:$A,0)),Tasks!$I:$I,"&lt;&gt;")/COUNTIFS(Tasks!$A:$A,$A1883,Tasks!$B:$B,$B1883,Tasks!$C:$C,$G1883)*100,0),"")</f>
        <v/>
      </c>
    </row>
    <row r="1884" spans="1:8" ht="15" hidden="1" customHeight="1">
      <c r="A1884" t="s">
        <v>102</v>
      </c>
      <c r="B1884" t="s">
        <v>105</v>
      </c>
      <c r="C1884">
        <v>11</v>
      </c>
      <c r="D1884">
        <v>3</v>
      </c>
      <c r="E1884">
        <v>2</v>
      </c>
      <c r="F1884">
        <v>3</v>
      </c>
      <c r="G1884" t="s">
        <v>122</v>
      </c>
      <c r="H1884" t="str">
        <f>IFERROR(ROUND(COUNTIFS(Tasks!$A:$A,$A1884,Tasks!$B:$B,$B1884,Tasks!$C:$C,$G1884,Tasks!$I:$I,"&lt;="&amp;INDEX(Weeks!$D:$D,MATCH($C1884,Weeks!$A:$A,0)),Tasks!$I:$I,"&lt;&gt;")/COUNTIFS(Tasks!$A:$A,$A1884,Tasks!$B:$B,$B1884,Tasks!$C:$C,$G1884)*100,0),"")</f>
        <v/>
      </c>
    </row>
    <row r="1885" spans="1:8" ht="15" hidden="1" customHeight="1">
      <c r="A1885" t="s">
        <v>102</v>
      </c>
      <c r="B1885" t="s">
        <v>105</v>
      </c>
      <c r="C1885">
        <v>12</v>
      </c>
      <c r="D1885">
        <v>3</v>
      </c>
      <c r="E1885">
        <v>3</v>
      </c>
      <c r="F1885">
        <v>3</v>
      </c>
      <c r="G1885" t="s">
        <v>122</v>
      </c>
      <c r="H1885" t="str">
        <f>IFERROR(ROUND(COUNTIFS(Tasks!$A:$A,$A1885,Tasks!$B:$B,$B1885,Tasks!$C:$C,$G1885,Tasks!$I:$I,"&lt;="&amp;INDEX(Weeks!$D:$D,MATCH($C1885,Weeks!$A:$A,0)),Tasks!$I:$I,"&lt;&gt;")/COUNTIFS(Tasks!$A:$A,$A1885,Tasks!$B:$B,$B1885,Tasks!$C:$C,$G1885)*100,0),"")</f>
        <v/>
      </c>
    </row>
    <row r="1886" spans="1:8" ht="15" hidden="1" customHeight="1">
      <c r="A1886" t="s">
        <v>102</v>
      </c>
      <c r="B1886" t="s">
        <v>105</v>
      </c>
      <c r="C1886">
        <v>13</v>
      </c>
      <c r="D1886">
        <v>3</v>
      </c>
      <c r="E1886">
        <v>4</v>
      </c>
      <c r="F1886">
        <v>3</v>
      </c>
      <c r="G1886" t="s">
        <v>122</v>
      </c>
      <c r="H1886" t="str">
        <f>IFERROR(ROUND(COUNTIFS(Tasks!$A:$A,$A1886,Tasks!$B:$B,$B1886,Tasks!$C:$C,$G1886,Tasks!$I:$I,"&lt;="&amp;INDEX(Weeks!$D:$D,MATCH($C1886,Weeks!$A:$A,0)),Tasks!$I:$I,"&lt;&gt;")/COUNTIFS(Tasks!$A:$A,$A1886,Tasks!$B:$B,$B1886,Tasks!$C:$C,$G1886)*100,0),"")</f>
        <v/>
      </c>
    </row>
    <row r="1887" spans="1:8" ht="15" hidden="1" customHeight="1">
      <c r="A1887" t="s">
        <v>102</v>
      </c>
      <c r="B1887" t="s">
        <v>105</v>
      </c>
      <c r="C1887">
        <v>14</v>
      </c>
      <c r="D1887">
        <v>4</v>
      </c>
      <c r="E1887">
        <v>1</v>
      </c>
      <c r="F1887">
        <v>3</v>
      </c>
      <c r="G1887" t="s">
        <v>122</v>
      </c>
      <c r="H1887" t="str">
        <f>IFERROR(ROUND(COUNTIFS(Tasks!$A:$A,$A1887,Tasks!$B:$B,$B1887,Tasks!$C:$C,$G1887,Tasks!$I:$I,"&lt;="&amp;INDEX(Weeks!$D:$D,MATCH($C1887,Weeks!$A:$A,0)),Tasks!$I:$I,"&lt;&gt;")/COUNTIFS(Tasks!$A:$A,$A1887,Tasks!$B:$B,$B1887,Tasks!$C:$C,$G1887)*100,0),"")</f>
        <v/>
      </c>
    </row>
    <row r="1888" spans="1:8" ht="15" hidden="1" customHeight="1">
      <c r="A1888" t="s">
        <v>102</v>
      </c>
      <c r="B1888" t="s">
        <v>105</v>
      </c>
      <c r="C1888">
        <v>15</v>
      </c>
      <c r="D1888">
        <v>4</v>
      </c>
      <c r="E1888">
        <v>2</v>
      </c>
      <c r="F1888">
        <v>3</v>
      </c>
      <c r="G1888" t="s">
        <v>122</v>
      </c>
      <c r="H1888" t="str">
        <f>IFERROR(ROUND(COUNTIFS(Tasks!$A:$A,$A1888,Tasks!$B:$B,$B1888,Tasks!$C:$C,$G1888,Tasks!$I:$I,"&lt;="&amp;INDEX(Weeks!$D:$D,MATCH($C1888,Weeks!$A:$A,0)),Tasks!$I:$I,"&lt;&gt;")/COUNTIFS(Tasks!$A:$A,$A1888,Tasks!$B:$B,$B1888,Tasks!$C:$C,$G1888)*100,0),"")</f>
        <v/>
      </c>
    </row>
    <row r="1889" spans="1:8" ht="15" hidden="1" customHeight="1">
      <c r="A1889" t="s">
        <v>102</v>
      </c>
      <c r="B1889" t="s">
        <v>105</v>
      </c>
      <c r="C1889">
        <v>16</v>
      </c>
      <c r="D1889">
        <v>4</v>
      </c>
      <c r="E1889">
        <v>3</v>
      </c>
      <c r="F1889">
        <v>3</v>
      </c>
      <c r="G1889" t="s">
        <v>122</v>
      </c>
      <c r="H1889" t="str">
        <f>IFERROR(ROUND(COUNTIFS(Tasks!$A:$A,$A1889,Tasks!$B:$B,$B1889,Tasks!$C:$C,$G1889,Tasks!$I:$I,"&lt;="&amp;INDEX(Weeks!$D:$D,MATCH($C1889,Weeks!$A:$A,0)),Tasks!$I:$I,"&lt;&gt;")/COUNTIFS(Tasks!$A:$A,$A1889,Tasks!$B:$B,$B1889,Tasks!$C:$C,$G1889)*100,0),"")</f>
        <v/>
      </c>
    </row>
    <row r="1890" spans="1:8" ht="15" hidden="1" customHeight="1">
      <c r="A1890" t="s">
        <v>102</v>
      </c>
      <c r="B1890" t="s">
        <v>105</v>
      </c>
      <c r="C1890">
        <v>17</v>
      </c>
      <c r="D1890">
        <v>4</v>
      </c>
      <c r="E1890">
        <v>4</v>
      </c>
      <c r="F1890">
        <v>3</v>
      </c>
      <c r="G1890" t="s">
        <v>122</v>
      </c>
      <c r="H1890" t="str">
        <f>IFERROR(ROUND(COUNTIFS(Tasks!$A:$A,$A1890,Tasks!$B:$B,$B1890,Tasks!$C:$C,$G1890,Tasks!$I:$I,"&lt;="&amp;INDEX(Weeks!$D:$D,MATCH($C1890,Weeks!$A:$A,0)),Tasks!$I:$I,"&lt;&gt;")/COUNTIFS(Tasks!$A:$A,$A1890,Tasks!$B:$B,$B1890,Tasks!$C:$C,$G1890)*100,0),"")</f>
        <v/>
      </c>
    </row>
    <row r="1891" spans="1:8" ht="15" hidden="1" customHeight="1">
      <c r="A1891" t="s">
        <v>102</v>
      </c>
      <c r="B1891" t="s">
        <v>105</v>
      </c>
      <c r="C1891">
        <v>18</v>
      </c>
      <c r="D1891">
        <v>5</v>
      </c>
      <c r="E1891">
        <v>1</v>
      </c>
      <c r="F1891">
        <v>3</v>
      </c>
      <c r="G1891" t="s">
        <v>122</v>
      </c>
      <c r="H1891" t="str">
        <f>IFERROR(ROUND(COUNTIFS(Tasks!$A:$A,$A1891,Tasks!$B:$B,$B1891,Tasks!$C:$C,$G1891,Tasks!$I:$I,"&lt;="&amp;INDEX(Weeks!$D:$D,MATCH($C1891,Weeks!$A:$A,0)),Tasks!$I:$I,"&lt;&gt;")/COUNTIFS(Tasks!$A:$A,$A1891,Tasks!$B:$B,$B1891,Tasks!$C:$C,$G1891)*100,0),"")</f>
        <v/>
      </c>
    </row>
    <row r="1892" spans="1:8" ht="15" hidden="1" customHeight="1">
      <c r="A1892" t="s">
        <v>102</v>
      </c>
      <c r="B1892" t="s">
        <v>105</v>
      </c>
      <c r="C1892">
        <v>19</v>
      </c>
      <c r="D1892">
        <v>5</v>
      </c>
      <c r="E1892">
        <v>2</v>
      </c>
      <c r="F1892">
        <v>3</v>
      </c>
      <c r="G1892" t="s">
        <v>122</v>
      </c>
      <c r="H1892" t="str">
        <f>IFERROR(ROUND(COUNTIFS(Tasks!$A:$A,$A1892,Tasks!$B:$B,$B1892,Tasks!$C:$C,$G1892,Tasks!$I:$I,"&lt;="&amp;INDEX(Weeks!$D:$D,MATCH($C1892,Weeks!$A:$A,0)),Tasks!$I:$I,"&lt;&gt;")/COUNTIFS(Tasks!$A:$A,$A1892,Tasks!$B:$B,$B1892,Tasks!$C:$C,$G1892)*100,0),"")</f>
        <v/>
      </c>
    </row>
    <row r="1893" spans="1:8" ht="15" hidden="1" customHeight="1">
      <c r="A1893" t="s">
        <v>102</v>
      </c>
      <c r="B1893" t="s">
        <v>105</v>
      </c>
      <c r="C1893">
        <v>20</v>
      </c>
      <c r="D1893">
        <v>5</v>
      </c>
      <c r="E1893">
        <v>3</v>
      </c>
      <c r="F1893">
        <v>3</v>
      </c>
      <c r="G1893" t="s">
        <v>122</v>
      </c>
      <c r="H1893" t="str">
        <f>IFERROR(ROUND(COUNTIFS(Tasks!$A:$A,$A1893,Tasks!$B:$B,$B1893,Tasks!$C:$C,$G1893,Tasks!$I:$I,"&lt;="&amp;INDEX(Weeks!$D:$D,MATCH($C1893,Weeks!$A:$A,0)),Tasks!$I:$I,"&lt;&gt;")/COUNTIFS(Tasks!$A:$A,$A1893,Tasks!$B:$B,$B1893,Tasks!$C:$C,$G1893)*100,0),"")</f>
        <v/>
      </c>
    </row>
    <row r="1894" spans="1:8" ht="15" hidden="1" customHeight="1">
      <c r="A1894" t="s">
        <v>102</v>
      </c>
      <c r="B1894" t="s">
        <v>105</v>
      </c>
      <c r="C1894">
        <v>21</v>
      </c>
      <c r="D1894">
        <v>5</v>
      </c>
      <c r="E1894">
        <v>4</v>
      </c>
      <c r="F1894">
        <v>3</v>
      </c>
      <c r="G1894" t="s">
        <v>122</v>
      </c>
      <c r="H1894" t="str">
        <f>IFERROR(ROUND(COUNTIFS(Tasks!$A:$A,$A1894,Tasks!$B:$B,$B1894,Tasks!$C:$C,$G1894,Tasks!$I:$I,"&lt;="&amp;INDEX(Weeks!$D:$D,MATCH($C1894,Weeks!$A:$A,0)),Tasks!$I:$I,"&lt;&gt;")/COUNTIFS(Tasks!$A:$A,$A1894,Tasks!$B:$B,$B1894,Tasks!$C:$C,$G1894)*100,0),"")</f>
        <v/>
      </c>
    </row>
    <row r="1895" spans="1:8" ht="15" hidden="1" customHeight="1">
      <c r="A1895" t="s">
        <v>102</v>
      </c>
      <c r="B1895" t="s">
        <v>105</v>
      </c>
      <c r="C1895">
        <v>22</v>
      </c>
      <c r="D1895">
        <v>5</v>
      </c>
      <c r="E1895">
        <v>5</v>
      </c>
      <c r="F1895">
        <v>3</v>
      </c>
      <c r="G1895" t="s">
        <v>122</v>
      </c>
      <c r="H1895" t="str">
        <f>IFERROR(ROUND(COUNTIFS(Tasks!$A:$A,$A1895,Tasks!$B:$B,$B1895,Tasks!$C:$C,$G1895,Tasks!$I:$I,"&lt;="&amp;INDEX(Weeks!$D:$D,MATCH($C1895,Weeks!$A:$A,0)),Tasks!$I:$I,"&lt;&gt;")/COUNTIFS(Tasks!$A:$A,$A1895,Tasks!$B:$B,$B1895,Tasks!$C:$C,$G1895)*100,0),"")</f>
        <v/>
      </c>
    </row>
    <row r="1896" spans="1:8" ht="15" hidden="1" customHeight="1">
      <c r="A1896" t="s">
        <v>102</v>
      </c>
      <c r="B1896" t="s">
        <v>105</v>
      </c>
      <c r="C1896">
        <v>23</v>
      </c>
      <c r="D1896">
        <v>6</v>
      </c>
      <c r="E1896">
        <v>1</v>
      </c>
      <c r="F1896">
        <v>3</v>
      </c>
      <c r="G1896" t="s">
        <v>122</v>
      </c>
      <c r="H1896" t="str">
        <f>IFERROR(ROUND(COUNTIFS(Tasks!$A:$A,$A1896,Tasks!$B:$B,$B1896,Tasks!$C:$C,$G1896,Tasks!$I:$I,"&lt;="&amp;INDEX(Weeks!$D:$D,MATCH($C1896,Weeks!$A:$A,0)),Tasks!$I:$I,"&lt;&gt;")/COUNTIFS(Tasks!$A:$A,$A1896,Tasks!$B:$B,$B1896,Tasks!$C:$C,$G1896)*100,0),"")</f>
        <v/>
      </c>
    </row>
    <row r="1897" spans="1:8" ht="15" hidden="1" customHeight="1">
      <c r="A1897" t="s">
        <v>102</v>
      </c>
      <c r="B1897" t="s">
        <v>105</v>
      </c>
      <c r="C1897">
        <v>24</v>
      </c>
      <c r="D1897">
        <v>6</v>
      </c>
      <c r="E1897">
        <v>2</v>
      </c>
      <c r="F1897">
        <v>3</v>
      </c>
      <c r="G1897" t="s">
        <v>122</v>
      </c>
      <c r="H1897" t="str">
        <f>IFERROR(ROUND(COUNTIFS(Tasks!$A:$A,$A1897,Tasks!$B:$B,$B1897,Tasks!$C:$C,$G1897,Tasks!$I:$I,"&lt;="&amp;INDEX(Weeks!$D:$D,MATCH($C1897,Weeks!$A:$A,0)),Tasks!$I:$I,"&lt;&gt;")/COUNTIFS(Tasks!$A:$A,$A1897,Tasks!$B:$B,$B1897,Tasks!$C:$C,$G1897)*100,0),"")</f>
        <v/>
      </c>
    </row>
    <row r="1898" spans="1:8" ht="15" hidden="1" customHeight="1">
      <c r="A1898" t="s">
        <v>102</v>
      </c>
      <c r="B1898" t="s">
        <v>105</v>
      </c>
      <c r="C1898">
        <v>25</v>
      </c>
      <c r="D1898">
        <v>6</v>
      </c>
      <c r="E1898">
        <v>3</v>
      </c>
      <c r="F1898">
        <v>3</v>
      </c>
      <c r="G1898" t="s">
        <v>122</v>
      </c>
      <c r="H1898" t="str">
        <f>IFERROR(ROUND(COUNTIFS(Tasks!$A:$A,$A1898,Tasks!$B:$B,$B1898,Tasks!$C:$C,$G1898,Tasks!$I:$I,"&lt;="&amp;INDEX(Weeks!$D:$D,MATCH($C1898,Weeks!$A:$A,0)),Tasks!$I:$I,"&lt;&gt;")/COUNTIFS(Tasks!$A:$A,$A1898,Tasks!$B:$B,$B1898,Tasks!$C:$C,$G1898)*100,0),"")</f>
        <v/>
      </c>
    </row>
    <row r="1899" spans="1:8" ht="15" hidden="1" customHeight="1">
      <c r="A1899" t="s">
        <v>102</v>
      </c>
      <c r="B1899" t="s">
        <v>105</v>
      </c>
      <c r="C1899">
        <v>26</v>
      </c>
      <c r="D1899">
        <v>6</v>
      </c>
      <c r="E1899">
        <v>4</v>
      </c>
      <c r="F1899">
        <v>3</v>
      </c>
      <c r="G1899" t="s">
        <v>122</v>
      </c>
      <c r="H1899" t="str">
        <f>IFERROR(ROUND(COUNTIFS(Tasks!$A:$A,$A1899,Tasks!$B:$B,$B1899,Tasks!$C:$C,$G1899,Tasks!$I:$I,"&lt;="&amp;INDEX(Weeks!$D:$D,MATCH($C1899,Weeks!$A:$A,0)),Tasks!$I:$I,"&lt;&gt;")/COUNTIFS(Tasks!$A:$A,$A1899,Tasks!$B:$B,$B1899,Tasks!$C:$C,$G1899)*100,0),"")</f>
        <v/>
      </c>
    </row>
    <row r="1900" spans="1:8" ht="15" hidden="1" customHeight="1">
      <c r="A1900" t="s">
        <v>102</v>
      </c>
      <c r="B1900" t="s">
        <v>105</v>
      </c>
      <c r="C1900">
        <v>27</v>
      </c>
      <c r="D1900">
        <v>7</v>
      </c>
      <c r="E1900">
        <v>1</v>
      </c>
      <c r="F1900">
        <v>3</v>
      </c>
      <c r="G1900" t="s">
        <v>122</v>
      </c>
      <c r="H1900" t="str">
        <f>IFERROR(ROUND(COUNTIFS(Tasks!$A:$A,$A1900,Tasks!$B:$B,$B1900,Tasks!$C:$C,$G1900,Tasks!$I:$I,"&lt;="&amp;INDEX(Weeks!$D:$D,MATCH($C1900,Weeks!$A:$A,0)),Tasks!$I:$I,"&lt;&gt;")/COUNTIFS(Tasks!$A:$A,$A1900,Tasks!$B:$B,$B1900,Tasks!$C:$C,$G1900)*100,0),"")</f>
        <v/>
      </c>
    </row>
    <row r="1901" spans="1:8" ht="15" hidden="1" customHeight="1">
      <c r="A1901" t="s">
        <v>102</v>
      </c>
      <c r="B1901" t="s">
        <v>105</v>
      </c>
      <c r="C1901">
        <v>28</v>
      </c>
      <c r="D1901">
        <v>7</v>
      </c>
      <c r="E1901">
        <v>2</v>
      </c>
      <c r="F1901">
        <v>3</v>
      </c>
      <c r="G1901" t="s">
        <v>122</v>
      </c>
      <c r="H1901" t="str">
        <f>IFERROR(ROUND(COUNTIFS(Tasks!$A:$A,$A1901,Tasks!$B:$B,$B1901,Tasks!$C:$C,$G1901,Tasks!$I:$I,"&lt;="&amp;INDEX(Weeks!$D:$D,MATCH($C1901,Weeks!$A:$A,0)),Tasks!$I:$I,"&lt;&gt;")/COUNTIFS(Tasks!$A:$A,$A1901,Tasks!$B:$B,$B1901,Tasks!$C:$C,$G1901)*100,0),"")</f>
        <v/>
      </c>
    </row>
    <row r="1902" spans="1:8" ht="15" hidden="1" customHeight="1">
      <c r="A1902" t="s">
        <v>102</v>
      </c>
      <c r="B1902" t="s">
        <v>105</v>
      </c>
      <c r="C1902">
        <v>29</v>
      </c>
      <c r="D1902">
        <v>7</v>
      </c>
      <c r="E1902">
        <v>3</v>
      </c>
      <c r="F1902">
        <v>3</v>
      </c>
      <c r="G1902" t="s">
        <v>122</v>
      </c>
      <c r="H1902" t="str">
        <f>IFERROR(ROUND(COUNTIFS(Tasks!$A:$A,$A1902,Tasks!$B:$B,$B1902,Tasks!$C:$C,$G1902,Tasks!$I:$I,"&lt;="&amp;INDEX(Weeks!$D:$D,MATCH($C1902,Weeks!$A:$A,0)),Tasks!$I:$I,"&lt;&gt;")/COUNTIFS(Tasks!$A:$A,$A1902,Tasks!$B:$B,$B1902,Tasks!$C:$C,$G1902)*100,0),"")</f>
        <v/>
      </c>
    </row>
    <row r="1903" spans="1:8" ht="15" hidden="1" customHeight="1">
      <c r="A1903" t="s">
        <v>102</v>
      </c>
      <c r="B1903" t="s">
        <v>105</v>
      </c>
      <c r="C1903">
        <v>30</v>
      </c>
      <c r="D1903">
        <v>7</v>
      </c>
      <c r="E1903">
        <v>4</v>
      </c>
      <c r="F1903">
        <v>3</v>
      </c>
      <c r="G1903" t="s">
        <v>122</v>
      </c>
      <c r="H1903" t="str">
        <f>IFERROR(ROUND(COUNTIFS(Tasks!$A:$A,$A1903,Tasks!$B:$B,$B1903,Tasks!$C:$C,$G1903,Tasks!$I:$I,"&lt;="&amp;INDEX(Weeks!$D:$D,MATCH($C1903,Weeks!$A:$A,0)),Tasks!$I:$I,"&lt;&gt;")/COUNTIFS(Tasks!$A:$A,$A1903,Tasks!$B:$B,$B1903,Tasks!$C:$C,$G1903)*100,0),"")</f>
        <v/>
      </c>
    </row>
    <row r="1904" spans="1:8" ht="15" hidden="1" customHeight="1">
      <c r="A1904" t="s">
        <v>102</v>
      </c>
      <c r="B1904" t="s">
        <v>105</v>
      </c>
      <c r="C1904">
        <v>31</v>
      </c>
      <c r="D1904">
        <v>8</v>
      </c>
      <c r="E1904">
        <v>1</v>
      </c>
      <c r="F1904">
        <v>3</v>
      </c>
      <c r="G1904" t="s">
        <v>122</v>
      </c>
      <c r="H1904" t="str">
        <f>IFERROR(ROUND(COUNTIFS(Tasks!$A:$A,$A1904,Tasks!$B:$B,$B1904,Tasks!$C:$C,$G1904,Tasks!$I:$I,"&lt;="&amp;INDEX(Weeks!$D:$D,MATCH($C1904,Weeks!$A:$A,0)),Tasks!$I:$I,"&lt;&gt;")/COUNTIFS(Tasks!$A:$A,$A1904,Tasks!$B:$B,$B1904,Tasks!$C:$C,$G1904)*100,0),"")</f>
        <v/>
      </c>
    </row>
    <row r="1905" spans="1:8" ht="15" hidden="1" customHeight="1">
      <c r="A1905" t="s">
        <v>102</v>
      </c>
      <c r="B1905" t="s">
        <v>105</v>
      </c>
      <c r="C1905">
        <v>32</v>
      </c>
      <c r="D1905">
        <v>8</v>
      </c>
      <c r="E1905">
        <v>2</v>
      </c>
      <c r="F1905">
        <v>3</v>
      </c>
      <c r="G1905" t="s">
        <v>122</v>
      </c>
      <c r="H1905" t="str">
        <f>IFERROR(ROUND(COUNTIFS(Tasks!$A:$A,$A1905,Tasks!$B:$B,$B1905,Tasks!$C:$C,$G1905,Tasks!$I:$I,"&lt;="&amp;INDEX(Weeks!$D:$D,MATCH($C1905,Weeks!$A:$A,0)),Tasks!$I:$I,"&lt;&gt;")/COUNTIFS(Tasks!$A:$A,$A1905,Tasks!$B:$B,$B1905,Tasks!$C:$C,$G1905)*100,0),"")</f>
        <v/>
      </c>
    </row>
    <row r="1906" spans="1:8" ht="15" hidden="1" customHeight="1">
      <c r="A1906" t="s">
        <v>102</v>
      </c>
      <c r="B1906" t="s">
        <v>105</v>
      </c>
      <c r="C1906">
        <v>33</v>
      </c>
      <c r="D1906">
        <v>8</v>
      </c>
      <c r="E1906">
        <v>3</v>
      </c>
      <c r="F1906">
        <v>3</v>
      </c>
      <c r="G1906" t="s">
        <v>122</v>
      </c>
      <c r="H1906" t="str">
        <f>IFERROR(ROUND(COUNTIFS(Tasks!$A:$A,$A1906,Tasks!$B:$B,$B1906,Tasks!$C:$C,$G1906,Tasks!$I:$I,"&lt;="&amp;INDEX(Weeks!$D:$D,MATCH($C1906,Weeks!$A:$A,0)),Tasks!$I:$I,"&lt;&gt;")/COUNTIFS(Tasks!$A:$A,$A1906,Tasks!$B:$B,$B1906,Tasks!$C:$C,$G1906)*100,0),"")</f>
        <v/>
      </c>
    </row>
    <row r="1907" spans="1:8" ht="15" hidden="1" customHeight="1">
      <c r="A1907" t="s">
        <v>102</v>
      </c>
      <c r="B1907" t="s">
        <v>105</v>
      </c>
      <c r="C1907">
        <v>34</v>
      </c>
      <c r="D1907">
        <v>8</v>
      </c>
      <c r="E1907">
        <v>4</v>
      </c>
      <c r="F1907">
        <v>3</v>
      </c>
      <c r="G1907" t="s">
        <v>122</v>
      </c>
      <c r="H1907" t="str">
        <f>IFERROR(ROUND(COUNTIFS(Tasks!$A:$A,$A1907,Tasks!$B:$B,$B1907,Tasks!$C:$C,$G1907,Tasks!$I:$I,"&lt;="&amp;INDEX(Weeks!$D:$D,MATCH($C1907,Weeks!$A:$A,0)),Tasks!$I:$I,"&lt;&gt;")/COUNTIFS(Tasks!$A:$A,$A1907,Tasks!$B:$B,$B1907,Tasks!$C:$C,$G1907)*100,0),"")</f>
        <v/>
      </c>
    </row>
    <row r="1908" spans="1:8" ht="15" hidden="1" customHeight="1">
      <c r="A1908" t="s">
        <v>102</v>
      </c>
      <c r="B1908" t="s">
        <v>105</v>
      </c>
      <c r="C1908">
        <v>35</v>
      </c>
      <c r="D1908">
        <v>8</v>
      </c>
      <c r="E1908">
        <v>5</v>
      </c>
      <c r="F1908">
        <v>3</v>
      </c>
      <c r="G1908" t="s">
        <v>122</v>
      </c>
      <c r="H1908" t="str">
        <f>IFERROR(ROUND(COUNTIFS(Tasks!$A:$A,$A1908,Tasks!$B:$B,$B1908,Tasks!$C:$C,$G1908,Tasks!$I:$I,"&lt;="&amp;INDEX(Weeks!$D:$D,MATCH($C1908,Weeks!$A:$A,0)),Tasks!$I:$I,"&lt;&gt;")/COUNTIFS(Tasks!$A:$A,$A1908,Tasks!$B:$B,$B1908,Tasks!$C:$C,$G1908)*100,0),"")</f>
        <v/>
      </c>
    </row>
    <row r="1909" spans="1:8" ht="15" hidden="1" customHeight="1">
      <c r="A1909" t="s">
        <v>102</v>
      </c>
      <c r="B1909" t="s">
        <v>105</v>
      </c>
      <c r="C1909">
        <v>36</v>
      </c>
      <c r="D1909">
        <v>9</v>
      </c>
      <c r="E1909">
        <v>1</v>
      </c>
      <c r="F1909">
        <v>3</v>
      </c>
      <c r="G1909" t="s">
        <v>122</v>
      </c>
      <c r="H1909" t="str">
        <f>IFERROR(ROUND(COUNTIFS(Tasks!$A:$A,$A1909,Tasks!$B:$B,$B1909,Tasks!$C:$C,$G1909,Tasks!$I:$I,"&lt;="&amp;INDEX(Weeks!$D:$D,MATCH($C1909,Weeks!$A:$A,0)),Tasks!$I:$I,"&lt;&gt;")/COUNTIFS(Tasks!$A:$A,$A1909,Tasks!$B:$B,$B1909,Tasks!$C:$C,$G1909)*100,0),"")</f>
        <v/>
      </c>
    </row>
    <row r="1910" spans="1:8" ht="15" hidden="1" customHeight="1">
      <c r="A1910" t="s">
        <v>102</v>
      </c>
      <c r="B1910" t="s">
        <v>105</v>
      </c>
      <c r="C1910">
        <v>37</v>
      </c>
      <c r="D1910">
        <v>9</v>
      </c>
      <c r="E1910">
        <v>2</v>
      </c>
      <c r="F1910">
        <v>3</v>
      </c>
      <c r="G1910" t="s">
        <v>122</v>
      </c>
      <c r="H1910" t="str">
        <f>IFERROR(ROUND(COUNTIFS(Tasks!$A:$A,$A1910,Tasks!$B:$B,$B1910,Tasks!$C:$C,$G1910,Tasks!$I:$I,"&lt;="&amp;INDEX(Weeks!$D:$D,MATCH($C1910,Weeks!$A:$A,0)),Tasks!$I:$I,"&lt;&gt;")/COUNTIFS(Tasks!$A:$A,$A1910,Tasks!$B:$B,$B1910,Tasks!$C:$C,$G1910)*100,0),"")</f>
        <v/>
      </c>
    </row>
    <row r="1911" spans="1:8" ht="15" hidden="1" customHeight="1">
      <c r="A1911" t="s">
        <v>102</v>
      </c>
      <c r="B1911" t="s">
        <v>105</v>
      </c>
      <c r="C1911">
        <v>38</v>
      </c>
      <c r="D1911">
        <v>9</v>
      </c>
      <c r="E1911">
        <v>3</v>
      </c>
      <c r="F1911">
        <v>3</v>
      </c>
      <c r="G1911" t="s">
        <v>122</v>
      </c>
      <c r="H1911" t="str">
        <f>IFERROR(ROUND(COUNTIFS(Tasks!$A:$A,$A1911,Tasks!$B:$B,$B1911,Tasks!$C:$C,$G1911,Tasks!$I:$I,"&lt;="&amp;INDEX(Weeks!$D:$D,MATCH($C1911,Weeks!$A:$A,0)),Tasks!$I:$I,"&lt;&gt;")/COUNTIFS(Tasks!$A:$A,$A1911,Tasks!$B:$B,$B1911,Tasks!$C:$C,$G1911)*100,0),"")</f>
        <v/>
      </c>
    </row>
    <row r="1912" spans="1:8" ht="15" hidden="1" customHeight="1">
      <c r="A1912" t="s">
        <v>102</v>
      </c>
      <c r="B1912" t="s">
        <v>105</v>
      </c>
      <c r="C1912">
        <v>39</v>
      </c>
      <c r="D1912">
        <v>9</v>
      </c>
      <c r="E1912">
        <v>4</v>
      </c>
      <c r="F1912">
        <v>3</v>
      </c>
      <c r="G1912" t="s">
        <v>122</v>
      </c>
      <c r="H1912" t="str">
        <f>IFERROR(ROUND(COUNTIFS(Tasks!$A:$A,$A1912,Tasks!$B:$B,$B1912,Tasks!$C:$C,$G1912,Tasks!$I:$I,"&lt;="&amp;INDEX(Weeks!$D:$D,MATCH($C1912,Weeks!$A:$A,0)),Tasks!$I:$I,"&lt;&gt;")/COUNTIFS(Tasks!$A:$A,$A1912,Tasks!$B:$B,$B1912,Tasks!$C:$C,$G1912)*100,0),"")</f>
        <v/>
      </c>
    </row>
    <row r="1913" spans="1:8" ht="15" hidden="1" customHeight="1">
      <c r="A1913" t="s">
        <v>102</v>
      </c>
      <c r="B1913" t="s">
        <v>105</v>
      </c>
      <c r="C1913">
        <v>40</v>
      </c>
      <c r="D1913">
        <v>10</v>
      </c>
      <c r="E1913">
        <v>1</v>
      </c>
      <c r="F1913">
        <v>3</v>
      </c>
      <c r="G1913" t="s">
        <v>122</v>
      </c>
      <c r="H1913" t="str">
        <f>IFERROR(ROUND(COUNTIFS(Tasks!$A:$A,$A1913,Tasks!$B:$B,$B1913,Tasks!$C:$C,$G1913,Tasks!$I:$I,"&lt;="&amp;INDEX(Weeks!$D:$D,MATCH($C1913,Weeks!$A:$A,0)),Tasks!$I:$I,"&lt;&gt;")/COUNTIFS(Tasks!$A:$A,$A1913,Tasks!$B:$B,$B1913,Tasks!$C:$C,$G1913)*100,0),"")</f>
        <v/>
      </c>
    </row>
    <row r="1914" spans="1:8" ht="15" hidden="1" customHeight="1">
      <c r="A1914" t="s">
        <v>102</v>
      </c>
      <c r="B1914" t="s">
        <v>105</v>
      </c>
      <c r="C1914">
        <v>41</v>
      </c>
      <c r="D1914">
        <v>10</v>
      </c>
      <c r="E1914">
        <v>2</v>
      </c>
      <c r="F1914">
        <v>3</v>
      </c>
      <c r="G1914" t="s">
        <v>122</v>
      </c>
      <c r="H1914" t="str">
        <f>IFERROR(ROUND(COUNTIFS(Tasks!$A:$A,$A1914,Tasks!$B:$B,$B1914,Tasks!$C:$C,$G1914,Tasks!$I:$I,"&lt;="&amp;INDEX(Weeks!$D:$D,MATCH($C1914,Weeks!$A:$A,0)),Tasks!$I:$I,"&lt;&gt;")/COUNTIFS(Tasks!$A:$A,$A1914,Tasks!$B:$B,$B1914,Tasks!$C:$C,$G1914)*100,0),"")</f>
        <v/>
      </c>
    </row>
    <row r="1915" spans="1:8" ht="15" hidden="1" customHeight="1">
      <c r="A1915" t="s">
        <v>102</v>
      </c>
      <c r="B1915" t="s">
        <v>105</v>
      </c>
      <c r="C1915">
        <v>42</v>
      </c>
      <c r="D1915">
        <v>10</v>
      </c>
      <c r="E1915">
        <v>3</v>
      </c>
      <c r="F1915">
        <v>3</v>
      </c>
      <c r="G1915" t="s">
        <v>122</v>
      </c>
      <c r="H1915" t="str">
        <f>IFERROR(ROUND(COUNTIFS(Tasks!$A:$A,$A1915,Tasks!$B:$B,$B1915,Tasks!$C:$C,$G1915,Tasks!$I:$I,"&lt;="&amp;INDEX(Weeks!$D:$D,MATCH($C1915,Weeks!$A:$A,0)),Tasks!$I:$I,"&lt;&gt;")/COUNTIFS(Tasks!$A:$A,$A1915,Tasks!$B:$B,$B1915,Tasks!$C:$C,$G1915)*100,0),"")</f>
        <v/>
      </c>
    </row>
    <row r="1916" spans="1:8" ht="15" hidden="1" customHeight="1">
      <c r="A1916" t="s">
        <v>102</v>
      </c>
      <c r="B1916" t="s">
        <v>105</v>
      </c>
      <c r="C1916">
        <v>43</v>
      </c>
      <c r="D1916">
        <v>10</v>
      </c>
      <c r="E1916">
        <v>4</v>
      </c>
      <c r="F1916">
        <v>3</v>
      </c>
      <c r="G1916" t="s">
        <v>122</v>
      </c>
      <c r="H1916" t="str">
        <f>IFERROR(ROUND(COUNTIFS(Tasks!$A:$A,$A1916,Tasks!$B:$B,$B1916,Tasks!$C:$C,$G1916,Tasks!$I:$I,"&lt;="&amp;INDEX(Weeks!$D:$D,MATCH($C1916,Weeks!$A:$A,0)),Tasks!$I:$I,"&lt;&gt;")/COUNTIFS(Tasks!$A:$A,$A1916,Tasks!$B:$B,$B1916,Tasks!$C:$C,$G1916)*100,0),"")</f>
        <v/>
      </c>
    </row>
    <row r="1917" spans="1:8" ht="15" hidden="1" customHeight="1">
      <c r="A1917" t="s">
        <v>102</v>
      </c>
      <c r="B1917" t="s">
        <v>105</v>
      </c>
      <c r="C1917">
        <v>44</v>
      </c>
      <c r="D1917">
        <v>10</v>
      </c>
      <c r="E1917">
        <v>5</v>
      </c>
      <c r="F1917">
        <v>3</v>
      </c>
      <c r="G1917" t="s">
        <v>122</v>
      </c>
      <c r="H1917" t="str">
        <f>IFERROR(ROUND(COUNTIFS(Tasks!$A:$A,$A1917,Tasks!$B:$B,$B1917,Tasks!$C:$C,$G1917,Tasks!$I:$I,"&lt;="&amp;INDEX(Weeks!$D:$D,MATCH($C1917,Weeks!$A:$A,0)),Tasks!$I:$I,"&lt;&gt;")/COUNTIFS(Tasks!$A:$A,$A1917,Tasks!$B:$B,$B1917,Tasks!$C:$C,$G1917)*100,0),"")</f>
        <v/>
      </c>
    </row>
    <row r="1918" spans="1:8" ht="15" hidden="1" customHeight="1">
      <c r="A1918" t="s">
        <v>102</v>
      </c>
      <c r="B1918" t="s">
        <v>105</v>
      </c>
      <c r="C1918">
        <v>45</v>
      </c>
      <c r="D1918">
        <v>11</v>
      </c>
      <c r="E1918">
        <v>1</v>
      </c>
      <c r="F1918">
        <v>3</v>
      </c>
      <c r="G1918" t="s">
        <v>122</v>
      </c>
      <c r="H1918" t="str">
        <f>IFERROR(ROUND(COUNTIFS(Tasks!$A:$A,$A1918,Tasks!$B:$B,$B1918,Tasks!$C:$C,$G1918,Tasks!$I:$I,"&lt;="&amp;INDEX(Weeks!$D:$D,MATCH($C1918,Weeks!$A:$A,0)),Tasks!$I:$I,"&lt;&gt;")/COUNTIFS(Tasks!$A:$A,$A1918,Tasks!$B:$B,$B1918,Tasks!$C:$C,$G1918)*100,0),"")</f>
        <v/>
      </c>
    </row>
    <row r="1919" spans="1:8" ht="15" hidden="1" customHeight="1">
      <c r="A1919" t="s">
        <v>102</v>
      </c>
      <c r="B1919" t="s">
        <v>105</v>
      </c>
      <c r="C1919">
        <v>46</v>
      </c>
      <c r="D1919">
        <v>11</v>
      </c>
      <c r="E1919">
        <v>2</v>
      </c>
      <c r="F1919">
        <v>3</v>
      </c>
      <c r="G1919" t="s">
        <v>122</v>
      </c>
      <c r="H1919" t="str">
        <f>IFERROR(ROUND(COUNTIFS(Tasks!$A:$A,$A1919,Tasks!$B:$B,$B1919,Tasks!$C:$C,$G1919,Tasks!$I:$I,"&lt;="&amp;INDEX(Weeks!$D:$D,MATCH($C1919,Weeks!$A:$A,0)),Tasks!$I:$I,"&lt;&gt;")/COUNTIFS(Tasks!$A:$A,$A1919,Tasks!$B:$B,$B1919,Tasks!$C:$C,$G1919)*100,0),"")</f>
        <v/>
      </c>
    </row>
    <row r="1920" spans="1:8" ht="15" hidden="1" customHeight="1">
      <c r="A1920" t="s">
        <v>102</v>
      </c>
      <c r="B1920" t="s">
        <v>105</v>
      </c>
      <c r="C1920">
        <v>47</v>
      </c>
      <c r="D1920">
        <v>11</v>
      </c>
      <c r="E1920">
        <v>3</v>
      </c>
      <c r="F1920">
        <v>3</v>
      </c>
      <c r="G1920" t="s">
        <v>122</v>
      </c>
      <c r="H1920" t="str">
        <f>IFERROR(ROUND(COUNTIFS(Tasks!$A:$A,$A1920,Tasks!$B:$B,$B1920,Tasks!$C:$C,$G1920,Tasks!$I:$I,"&lt;="&amp;INDEX(Weeks!$D:$D,MATCH($C1920,Weeks!$A:$A,0)),Tasks!$I:$I,"&lt;&gt;")/COUNTIFS(Tasks!$A:$A,$A1920,Tasks!$B:$B,$B1920,Tasks!$C:$C,$G1920)*100,0),"")</f>
        <v/>
      </c>
    </row>
    <row r="1921" spans="1:8" ht="15" hidden="1" customHeight="1">
      <c r="A1921" t="s">
        <v>102</v>
      </c>
      <c r="B1921" t="s">
        <v>105</v>
      </c>
      <c r="C1921">
        <v>48</v>
      </c>
      <c r="D1921">
        <v>11</v>
      </c>
      <c r="E1921">
        <v>4</v>
      </c>
      <c r="F1921">
        <v>3</v>
      </c>
      <c r="G1921" t="s">
        <v>122</v>
      </c>
      <c r="H1921" t="str">
        <f>IFERROR(ROUND(COUNTIFS(Tasks!$A:$A,$A1921,Tasks!$B:$B,$B1921,Tasks!$C:$C,$G1921,Tasks!$I:$I,"&lt;="&amp;INDEX(Weeks!$D:$D,MATCH($C1921,Weeks!$A:$A,0)),Tasks!$I:$I,"&lt;&gt;")/COUNTIFS(Tasks!$A:$A,$A1921,Tasks!$B:$B,$B1921,Tasks!$C:$C,$G1921)*100,0),"")</f>
        <v/>
      </c>
    </row>
    <row r="1922" spans="1:8" ht="15" hidden="1" customHeight="1">
      <c r="A1922" t="s">
        <v>102</v>
      </c>
      <c r="B1922" t="s">
        <v>105</v>
      </c>
      <c r="C1922">
        <v>49</v>
      </c>
      <c r="D1922">
        <v>12</v>
      </c>
      <c r="E1922">
        <v>1</v>
      </c>
      <c r="F1922">
        <v>3</v>
      </c>
      <c r="G1922" t="s">
        <v>122</v>
      </c>
      <c r="H1922" t="str">
        <f>IFERROR(ROUND(COUNTIFS(Tasks!$A:$A,$A1922,Tasks!$B:$B,$B1922,Tasks!$C:$C,$G1922,Tasks!$I:$I,"&lt;="&amp;INDEX(Weeks!$D:$D,MATCH($C1922,Weeks!$A:$A,0)),Tasks!$I:$I,"&lt;&gt;")/COUNTIFS(Tasks!$A:$A,$A1922,Tasks!$B:$B,$B1922,Tasks!$C:$C,$G1922)*100,0),"")</f>
        <v/>
      </c>
    </row>
    <row r="1923" spans="1:8" ht="15" hidden="1" customHeight="1">
      <c r="A1923" t="s">
        <v>102</v>
      </c>
      <c r="B1923" t="s">
        <v>105</v>
      </c>
      <c r="C1923">
        <v>50</v>
      </c>
      <c r="D1923">
        <v>12</v>
      </c>
      <c r="E1923">
        <v>2</v>
      </c>
      <c r="F1923">
        <v>3</v>
      </c>
      <c r="G1923" t="s">
        <v>122</v>
      </c>
      <c r="H1923" t="str">
        <f>IFERROR(ROUND(COUNTIFS(Tasks!$A:$A,$A1923,Tasks!$B:$B,$B1923,Tasks!$C:$C,$G1923,Tasks!$I:$I,"&lt;="&amp;INDEX(Weeks!$D:$D,MATCH($C1923,Weeks!$A:$A,0)),Tasks!$I:$I,"&lt;&gt;")/COUNTIFS(Tasks!$A:$A,$A1923,Tasks!$B:$B,$B1923,Tasks!$C:$C,$G1923)*100,0),"")</f>
        <v/>
      </c>
    </row>
    <row r="1924" spans="1:8" ht="15" hidden="1" customHeight="1">
      <c r="A1924" t="s">
        <v>102</v>
      </c>
      <c r="B1924" t="s">
        <v>105</v>
      </c>
      <c r="C1924">
        <v>51</v>
      </c>
      <c r="D1924">
        <v>12</v>
      </c>
      <c r="E1924">
        <v>3</v>
      </c>
      <c r="F1924">
        <v>3</v>
      </c>
      <c r="G1924" t="s">
        <v>122</v>
      </c>
      <c r="H1924" t="str">
        <f>IFERROR(ROUND(COUNTIFS(Tasks!$A:$A,$A1924,Tasks!$B:$B,$B1924,Tasks!$C:$C,$G1924,Tasks!$I:$I,"&lt;="&amp;INDEX(Weeks!$D:$D,MATCH($C1924,Weeks!$A:$A,0)),Tasks!$I:$I,"&lt;&gt;")/COUNTIFS(Tasks!$A:$A,$A1924,Tasks!$B:$B,$B1924,Tasks!$C:$C,$G1924)*100,0),"")</f>
        <v/>
      </c>
    </row>
    <row r="1925" spans="1:8" ht="15" hidden="1" customHeight="1">
      <c r="A1925" t="s">
        <v>102</v>
      </c>
      <c r="B1925" t="s">
        <v>105</v>
      </c>
      <c r="C1925">
        <v>52</v>
      </c>
      <c r="D1925">
        <v>12</v>
      </c>
      <c r="E1925">
        <v>4</v>
      </c>
      <c r="F1925">
        <v>3</v>
      </c>
      <c r="G1925" t="s">
        <v>122</v>
      </c>
      <c r="H1925" t="str">
        <f>IFERROR(ROUND(COUNTIFS(Tasks!$A:$A,$A1925,Tasks!$B:$B,$B1925,Tasks!$C:$C,$G1925,Tasks!$I:$I,"&lt;="&amp;INDEX(Weeks!$D:$D,MATCH($C1925,Weeks!$A:$A,0)),Tasks!$I:$I,"&lt;&gt;")/COUNTIFS(Tasks!$A:$A,$A1925,Tasks!$B:$B,$B1925,Tasks!$C:$C,$G1925)*100,0),"")</f>
        <v/>
      </c>
    </row>
    <row r="1926" spans="1:8" ht="15" hidden="1" customHeight="1">
      <c r="A1926" t="s">
        <v>102</v>
      </c>
      <c r="B1926" t="s">
        <v>105</v>
      </c>
      <c r="C1926">
        <v>1</v>
      </c>
      <c r="D1926">
        <v>1</v>
      </c>
      <c r="E1926">
        <v>1</v>
      </c>
      <c r="F1926">
        <v>4</v>
      </c>
      <c r="G1926" t="s">
        <v>123</v>
      </c>
      <c r="H1926" t="str">
        <f>IFERROR(ROUND(COUNTIFS(Tasks!$A:$A,$A1926,Tasks!$B:$B,$B1926,Tasks!$C:$C,$G1926,Tasks!$I:$I,"&lt;="&amp;INDEX(Weeks!$D:$D,MATCH($C1926,Weeks!$A:$A,0)),Tasks!$I:$I,"&lt;&gt;")/COUNTIFS(Tasks!$A:$A,$A1926,Tasks!$B:$B,$B1926,Tasks!$C:$C,$G1926)*100,0),"")</f>
        <v/>
      </c>
    </row>
    <row r="1927" spans="1:8" ht="15" hidden="1" customHeight="1">
      <c r="A1927" t="s">
        <v>102</v>
      </c>
      <c r="B1927" t="s">
        <v>105</v>
      </c>
      <c r="C1927">
        <v>2</v>
      </c>
      <c r="D1927">
        <v>1</v>
      </c>
      <c r="E1927">
        <v>2</v>
      </c>
      <c r="F1927">
        <v>4</v>
      </c>
      <c r="G1927" t="s">
        <v>123</v>
      </c>
      <c r="H1927" t="str">
        <f>IFERROR(ROUND(COUNTIFS(Tasks!$A:$A,$A1927,Tasks!$B:$B,$B1927,Tasks!$C:$C,$G1927,Tasks!$I:$I,"&lt;="&amp;INDEX(Weeks!$D:$D,MATCH($C1927,Weeks!$A:$A,0)),Tasks!$I:$I,"&lt;&gt;")/COUNTIFS(Tasks!$A:$A,$A1927,Tasks!$B:$B,$B1927,Tasks!$C:$C,$G1927)*100,0),"")</f>
        <v/>
      </c>
    </row>
    <row r="1928" spans="1:8" ht="15" hidden="1" customHeight="1">
      <c r="A1928" t="s">
        <v>102</v>
      </c>
      <c r="B1928" t="s">
        <v>105</v>
      </c>
      <c r="C1928">
        <v>3</v>
      </c>
      <c r="D1928">
        <v>1</v>
      </c>
      <c r="E1928">
        <v>3</v>
      </c>
      <c r="F1928">
        <v>4</v>
      </c>
      <c r="G1928" t="s">
        <v>123</v>
      </c>
      <c r="H1928" t="str">
        <f>IFERROR(ROUND(COUNTIFS(Tasks!$A:$A,$A1928,Tasks!$B:$B,$B1928,Tasks!$C:$C,$G1928,Tasks!$I:$I,"&lt;="&amp;INDEX(Weeks!$D:$D,MATCH($C1928,Weeks!$A:$A,0)),Tasks!$I:$I,"&lt;&gt;")/COUNTIFS(Tasks!$A:$A,$A1928,Tasks!$B:$B,$B1928,Tasks!$C:$C,$G1928)*100,0),"")</f>
        <v/>
      </c>
    </row>
    <row r="1929" spans="1:8" ht="15" hidden="1" customHeight="1">
      <c r="A1929" t="s">
        <v>102</v>
      </c>
      <c r="B1929" t="s">
        <v>105</v>
      </c>
      <c r="C1929">
        <v>4</v>
      </c>
      <c r="D1929">
        <v>1</v>
      </c>
      <c r="E1929">
        <v>4</v>
      </c>
      <c r="F1929">
        <v>4</v>
      </c>
      <c r="G1929" t="s">
        <v>123</v>
      </c>
      <c r="H1929" t="str">
        <f>IFERROR(ROUND(COUNTIFS(Tasks!$A:$A,$A1929,Tasks!$B:$B,$B1929,Tasks!$C:$C,$G1929,Tasks!$I:$I,"&lt;="&amp;INDEX(Weeks!$D:$D,MATCH($C1929,Weeks!$A:$A,0)),Tasks!$I:$I,"&lt;&gt;")/COUNTIFS(Tasks!$A:$A,$A1929,Tasks!$B:$B,$B1929,Tasks!$C:$C,$G1929)*100,0),"")</f>
        <v/>
      </c>
    </row>
    <row r="1930" spans="1:8" ht="15" hidden="1" customHeight="1">
      <c r="A1930" t="s">
        <v>102</v>
      </c>
      <c r="B1930" t="s">
        <v>105</v>
      </c>
      <c r="C1930">
        <v>5</v>
      </c>
      <c r="D1930">
        <v>1</v>
      </c>
      <c r="E1930">
        <v>5</v>
      </c>
      <c r="F1930">
        <v>4</v>
      </c>
      <c r="G1930" t="s">
        <v>123</v>
      </c>
      <c r="H1930" t="str">
        <f>IFERROR(ROUND(COUNTIFS(Tasks!$A:$A,$A1930,Tasks!$B:$B,$B1930,Tasks!$C:$C,$G1930,Tasks!$I:$I,"&lt;="&amp;INDEX(Weeks!$D:$D,MATCH($C1930,Weeks!$A:$A,0)),Tasks!$I:$I,"&lt;&gt;")/COUNTIFS(Tasks!$A:$A,$A1930,Tasks!$B:$B,$B1930,Tasks!$C:$C,$G1930)*100,0),"")</f>
        <v/>
      </c>
    </row>
    <row r="1931" spans="1:8" ht="15" hidden="1" customHeight="1">
      <c r="A1931" t="s">
        <v>102</v>
      </c>
      <c r="B1931" t="s">
        <v>105</v>
      </c>
      <c r="C1931">
        <v>6</v>
      </c>
      <c r="D1931">
        <v>2</v>
      </c>
      <c r="E1931">
        <v>1</v>
      </c>
      <c r="F1931">
        <v>4</v>
      </c>
      <c r="G1931" t="s">
        <v>123</v>
      </c>
      <c r="H1931" t="str">
        <f>IFERROR(ROUND(COUNTIFS(Tasks!$A:$A,$A1931,Tasks!$B:$B,$B1931,Tasks!$C:$C,$G1931,Tasks!$I:$I,"&lt;="&amp;INDEX(Weeks!$D:$D,MATCH($C1931,Weeks!$A:$A,0)),Tasks!$I:$I,"&lt;&gt;")/COUNTIFS(Tasks!$A:$A,$A1931,Tasks!$B:$B,$B1931,Tasks!$C:$C,$G1931)*100,0),"")</f>
        <v/>
      </c>
    </row>
    <row r="1932" spans="1:8" ht="15" hidden="1" customHeight="1">
      <c r="A1932" t="s">
        <v>102</v>
      </c>
      <c r="B1932" t="s">
        <v>105</v>
      </c>
      <c r="C1932">
        <v>7</v>
      </c>
      <c r="D1932">
        <v>2</v>
      </c>
      <c r="E1932">
        <v>2</v>
      </c>
      <c r="F1932">
        <v>4</v>
      </c>
      <c r="G1932" t="s">
        <v>123</v>
      </c>
      <c r="H1932" t="str">
        <f>IFERROR(ROUND(COUNTIFS(Tasks!$A:$A,$A1932,Tasks!$B:$B,$B1932,Tasks!$C:$C,$G1932,Tasks!$I:$I,"&lt;="&amp;INDEX(Weeks!$D:$D,MATCH($C1932,Weeks!$A:$A,0)),Tasks!$I:$I,"&lt;&gt;")/COUNTIFS(Tasks!$A:$A,$A1932,Tasks!$B:$B,$B1932,Tasks!$C:$C,$G1932)*100,0),"")</f>
        <v/>
      </c>
    </row>
    <row r="1933" spans="1:8" ht="15" hidden="1" customHeight="1">
      <c r="A1933" t="s">
        <v>102</v>
      </c>
      <c r="B1933" t="s">
        <v>105</v>
      </c>
      <c r="C1933">
        <v>8</v>
      </c>
      <c r="D1933">
        <v>2</v>
      </c>
      <c r="E1933">
        <v>3</v>
      </c>
      <c r="F1933">
        <v>4</v>
      </c>
      <c r="G1933" t="s">
        <v>123</v>
      </c>
      <c r="H1933" t="str">
        <f>IFERROR(ROUND(COUNTIFS(Tasks!$A:$A,$A1933,Tasks!$B:$B,$B1933,Tasks!$C:$C,$G1933,Tasks!$I:$I,"&lt;="&amp;INDEX(Weeks!$D:$D,MATCH($C1933,Weeks!$A:$A,0)),Tasks!$I:$I,"&lt;&gt;")/COUNTIFS(Tasks!$A:$A,$A1933,Tasks!$B:$B,$B1933,Tasks!$C:$C,$G1933)*100,0),"")</f>
        <v/>
      </c>
    </row>
    <row r="1934" spans="1:8" ht="15" hidden="1" customHeight="1">
      <c r="A1934" t="s">
        <v>102</v>
      </c>
      <c r="B1934" t="s">
        <v>105</v>
      </c>
      <c r="C1934">
        <v>9</v>
      </c>
      <c r="D1934">
        <v>2</v>
      </c>
      <c r="E1934">
        <v>4</v>
      </c>
      <c r="F1934">
        <v>4</v>
      </c>
      <c r="G1934" t="s">
        <v>123</v>
      </c>
      <c r="H1934" t="str">
        <f>IFERROR(ROUND(COUNTIFS(Tasks!$A:$A,$A1934,Tasks!$B:$B,$B1934,Tasks!$C:$C,$G1934,Tasks!$I:$I,"&lt;="&amp;INDEX(Weeks!$D:$D,MATCH($C1934,Weeks!$A:$A,0)),Tasks!$I:$I,"&lt;&gt;")/COUNTIFS(Tasks!$A:$A,$A1934,Tasks!$B:$B,$B1934,Tasks!$C:$C,$G1934)*100,0),"")</f>
        <v/>
      </c>
    </row>
    <row r="1935" spans="1:8" ht="15" hidden="1" customHeight="1">
      <c r="A1935" t="s">
        <v>102</v>
      </c>
      <c r="B1935" t="s">
        <v>105</v>
      </c>
      <c r="C1935">
        <v>10</v>
      </c>
      <c r="D1935">
        <v>3</v>
      </c>
      <c r="E1935">
        <v>1</v>
      </c>
      <c r="F1935">
        <v>4</v>
      </c>
      <c r="G1935" t="s">
        <v>123</v>
      </c>
      <c r="H1935" t="str">
        <f>IFERROR(ROUND(COUNTIFS(Tasks!$A:$A,$A1935,Tasks!$B:$B,$B1935,Tasks!$C:$C,$G1935,Tasks!$I:$I,"&lt;="&amp;INDEX(Weeks!$D:$D,MATCH($C1935,Weeks!$A:$A,0)),Tasks!$I:$I,"&lt;&gt;")/COUNTIFS(Tasks!$A:$A,$A1935,Tasks!$B:$B,$B1935,Tasks!$C:$C,$G1935)*100,0),"")</f>
        <v/>
      </c>
    </row>
    <row r="1936" spans="1:8" ht="15" hidden="1" customHeight="1">
      <c r="A1936" t="s">
        <v>102</v>
      </c>
      <c r="B1936" t="s">
        <v>105</v>
      </c>
      <c r="C1936">
        <v>11</v>
      </c>
      <c r="D1936">
        <v>3</v>
      </c>
      <c r="E1936">
        <v>2</v>
      </c>
      <c r="F1936">
        <v>4</v>
      </c>
      <c r="G1936" t="s">
        <v>123</v>
      </c>
      <c r="H1936" t="str">
        <f>IFERROR(ROUND(COUNTIFS(Tasks!$A:$A,$A1936,Tasks!$B:$B,$B1936,Tasks!$C:$C,$G1936,Tasks!$I:$I,"&lt;="&amp;INDEX(Weeks!$D:$D,MATCH($C1936,Weeks!$A:$A,0)),Tasks!$I:$I,"&lt;&gt;")/COUNTIFS(Tasks!$A:$A,$A1936,Tasks!$B:$B,$B1936,Tasks!$C:$C,$G1936)*100,0),"")</f>
        <v/>
      </c>
    </row>
    <row r="1937" spans="1:8" ht="15" hidden="1" customHeight="1">
      <c r="A1937" t="s">
        <v>102</v>
      </c>
      <c r="B1937" t="s">
        <v>105</v>
      </c>
      <c r="C1937">
        <v>12</v>
      </c>
      <c r="D1937">
        <v>3</v>
      </c>
      <c r="E1937">
        <v>3</v>
      </c>
      <c r="F1937">
        <v>4</v>
      </c>
      <c r="G1937" t="s">
        <v>123</v>
      </c>
      <c r="H1937" t="str">
        <f>IFERROR(ROUND(COUNTIFS(Tasks!$A:$A,$A1937,Tasks!$B:$B,$B1937,Tasks!$C:$C,$G1937,Tasks!$I:$I,"&lt;="&amp;INDEX(Weeks!$D:$D,MATCH($C1937,Weeks!$A:$A,0)),Tasks!$I:$I,"&lt;&gt;")/COUNTIFS(Tasks!$A:$A,$A1937,Tasks!$B:$B,$B1937,Tasks!$C:$C,$G1937)*100,0),"")</f>
        <v/>
      </c>
    </row>
    <row r="1938" spans="1:8" ht="15" hidden="1" customHeight="1">
      <c r="A1938" t="s">
        <v>102</v>
      </c>
      <c r="B1938" t="s">
        <v>105</v>
      </c>
      <c r="C1938">
        <v>13</v>
      </c>
      <c r="D1938">
        <v>3</v>
      </c>
      <c r="E1938">
        <v>4</v>
      </c>
      <c r="F1938">
        <v>4</v>
      </c>
      <c r="G1938" t="s">
        <v>123</v>
      </c>
      <c r="H1938" t="str">
        <f>IFERROR(ROUND(COUNTIFS(Tasks!$A:$A,$A1938,Tasks!$B:$B,$B1938,Tasks!$C:$C,$G1938,Tasks!$I:$I,"&lt;="&amp;INDEX(Weeks!$D:$D,MATCH($C1938,Weeks!$A:$A,0)),Tasks!$I:$I,"&lt;&gt;")/COUNTIFS(Tasks!$A:$A,$A1938,Tasks!$B:$B,$B1938,Tasks!$C:$C,$G1938)*100,0),"")</f>
        <v/>
      </c>
    </row>
    <row r="1939" spans="1:8" ht="15" hidden="1" customHeight="1">
      <c r="A1939" t="s">
        <v>102</v>
      </c>
      <c r="B1939" t="s">
        <v>105</v>
      </c>
      <c r="C1939">
        <v>14</v>
      </c>
      <c r="D1939">
        <v>4</v>
      </c>
      <c r="E1939">
        <v>1</v>
      </c>
      <c r="F1939">
        <v>4</v>
      </c>
      <c r="G1939" t="s">
        <v>123</v>
      </c>
      <c r="H1939" t="str">
        <f>IFERROR(ROUND(COUNTIFS(Tasks!$A:$A,$A1939,Tasks!$B:$B,$B1939,Tasks!$C:$C,$G1939,Tasks!$I:$I,"&lt;="&amp;INDEX(Weeks!$D:$D,MATCH($C1939,Weeks!$A:$A,0)),Tasks!$I:$I,"&lt;&gt;")/COUNTIFS(Tasks!$A:$A,$A1939,Tasks!$B:$B,$B1939,Tasks!$C:$C,$G1939)*100,0),"")</f>
        <v/>
      </c>
    </row>
    <row r="1940" spans="1:8" ht="15" hidden="1" customHeight="1">
      <c r="A1940" t="s">
        <v>102</v>
      </c>
      <c r="B1940" t="s">
        <v>105</v>
      </c>
      <c r="C1940">
        <v>15</v>
      </c>
      <c r="D1940">
        <v>4</v>
      </c>
      <c r="E1940">
        <v>2</v>
      </c>
      <c r="F1940">
        <v>4</v>
      </c>
      <c r="G1940" t="s">
        <v>123</v>
      </c>
      <c r="H1940" t="str">
        <f>IFERROR(ROUND(COUNTIFS(Tasks!$A:$A,$A1940,Tasks!$B:$B,$B1940,Tasks!$C:$C,$G1940,Tasks!$I:$I,"&lt;="&amp;INDEX(Weeks!$D:$D,MATCH($C1940,Weeks!$A:$A,0)),Tasks!$I:$I,"&lt;&gt;")/COUNTIFS(Tasks!$A:$A,$A1940,Tasks!$B:$B,$B1940,Tasks!$C:$C,$G1940)*100,0),"")</f>
        <v/>
      </c>
    </row>
    <row r="1941" spans="1:8" ht="15" hidden="1" customHeight="1">
      <c r="A1941" t="s">
        <v>102</v>
      </c>
      <c r="B1941" t="s">
        <v>105</v>
      </c>
      <c r="C1941">
        <v>16</v>
      </c>
      <c r="D1941">
        <v>4</v>
      </c>
      <c r="E1941">
        <v>3</v>
      </c>
      <c r="F1941">
        <v>4</v>
      </c>
      <c r="G1941" t="s">
        <v>123</v>
      </c>
      <c r="H1941" t="str">
        <f>IFERROR(ROUND(COUNTIFS(Tasks!$A:$A,$A1941,Tasks!$B:$B,$B1941,Tasks!$C:$C,$G1941,Tasks!$I:$I,"&lt;="&amp;INDEX(Weeks!$D:$D,MATCH($C1941,Weeks!$A:$A,0)),Tasks!$I:$I,"&lt;&gt;")/COUNTIFS(Tasks!$A:$A,$A1941,Tasks!$B:$B,$B1941,Tasks!$C:$C,$G1941)*100,0),"")</f>
        <v/>
      </c>
    </row>
    <row r="1942" spans="1:8" ht="15" hidden="1" customHeight="1">
      <c r="A1942" t="s">
        <v>102</v>
      </c>
      <c r="B1942" t="s">
        <v>105</v>
      </c>
      <c r="C1942">
        <v>17</v>
      </c>
      <c r="D1942">
        <v>4</v>
      </c>
      <c r="E1942">
        <v>4</v>
      </c>
      <c r="F1942">
        <v>4</v>
      </c>
      <c r="G1942" t="s">
        <v>123</v>
      </c>
      <c r="H1942" t="str">
        <f>IFERROR(ROUND(COUNTIFS(Tasks!$A:$A,$A1942,Tasks!$B:$B,$B1942,Tasks!$C:$C,$G1942,Tasks!$I:$I,"&lt;="&amp;INDEX(Weeks!$D:$D,MATCH($C1942,Weeks!$A:$A,0)),Tasks!$I:$I,"&lt;&gt;")/COUNTIFS(Tasks!$A:$A,$A1942,Tasks!$B:$B,$B1942,Tasks!$C:$C,$G1942)*100,0),"")</f>
        <v/>
      </c>
    </row>
    <row r="1943" spans="1:8" ht="15" hidden="1" customHeight="1">
      <c r="A1943" t="s">
        <v>102</v>
      </c>
      <c r="B1943" t="s">
        <v>105</v>
      </c>
      <c r="C1943">
        <v>18</v>
      </c>
      <c r="D1943">
        <v>5</v>
      </c>
      <c r="E1943">
        <v>1</v>
      </c>
      <c r="F1943">
        <v>4</v>
      </c>
      <c r="G1943" t="s">
        <v>123</v>
      </c>
      <c r="H1943" t="str">
        <f>IFERROR(ROUND(COUNTIFS(Tasks!$A:$A,$A1943,Tasks!$B:$B,$B1943,Tasks!$C:$C,$G1943,Tasks!$I:$I,"&lt;="&amp;INDEX(Weeks!$D:$D,MATCH($C1943,Weeks!$A:$A,0)),Tasks!$I:$I,"&lt;&gt;")/COUNTIFS(Tasks!$A:$A,$A1943,Tasks!$B:$B,$B1943,Tasks!$C:$C,$G1943)*100,0),"")</f>
        <v/>
      </c>
    </row>
    <row r="1944" spans="1:8" ht="15" hidden="1" customHeight="1">
      <c r="A1944" t="s">
        <v>102</v>
      </c>
      <c r="B1944" t="s">
        <v>105</v>
      </c>
      <c r="C1944">
        <v>19</v>
      </c>
      <c r="D1944">
        <v>5</v>
      </c>
      <c r="E1944">
        <v>2</v>
      </c>
      <c r="F1944">
        <v>4</v>
      </c>
      <c r="G1944" t="s">
        <v>123</v>
      </c>
      <c r="H1944" t="str">
        <f>IFERROR(ROUND(COUNTIFS(Tasks!$A:$A,$A1944,Tasks!$B:$B,$B1944,Tasks!$C:$C,$G1944,Tasks!$I:$I,"&lt;="&amp;INDEX(Weeks!$D:$D,MATCH($C1944,Weeks!$A:$A,0)),Tasks!$I:$I,"&lt;&gt;")/COUNTIFS(Tasks!$A:$A,$A1944,Tasks!$B:$B,$B1944,Tasks!$C:$C,$G1944)*100,0),"")</f>
        <v/>
      </c>
    </row>
    <row r="1945" spans="1:8" ht="15" hidden="1" customHeight="1">
      <c r="A1945" t="s">
        <v>102</v>
      </c>
      <c r="B1945" t="s">
        <v>105</v>
      </c>
      <c r="C1945">
        <v>20</v>
      </c>
      <c r="D1945">
        <v>5</v>
      </c>
      <c r="E1945">
        <v>3</v>
      </c>
      <c r="F1945">
        <v>4</v>
      </c>
      <c r="G1945" t="s">
        <v>123</v>
      </c>
      <c r="H1945" t="str">
        <f>IFERROR(ROUND(COUNTIFS(Tasks!$A:$A,$A1945,Tasks!$B:$B,$B1945,Tasks!$C:$C,$G1945,Tasks!$I:$I,"&lt;="&amp;INDEX(Weeks!$D:$D,MATCH($C1945,Weeks!$A:$A,0)),Tasks!$I:$I,"&lt;&gt;")/COUNTIFS(Tasks!$A:$A,$A1945,Tasks!$B:$B,$B1945,Tasks!$C:$C,$G1945)*100,0),"")</f>
        <v/>
      </c>
    </row>
    <row r="1946" spans="1:8" ht="15" hidden="1" customHeight="1">
      <c r="A1946" t="s">
        <v>102</v>
      </c>
      <c r="B1946" t="s">
        <v>105</v>
      </c>
      <c r="C1946">
        <v>21</v>
      </c>
      <c r="D1946">
        <v>5</v>
      </c>
      <c r="E1946">
        <v>4</v>
      </c>
      <c r="F1946">
        <v>4</v>
      </c>
      <c r="G1946" t="s">
        <v>123</v>
      </c>
      <c r="H1946" t="str">
        <f>IFERROR(ROUND(COUNTIFS(Tasks!$A:$A,$A1946,Tasks!$B:$B,$B1946,Tasks!$C:$C,$G1946,Tasks!$I:$I,"&lt;="&amp;INDEX(Weeks!$D:$D,MATCH($C1946,Weeks!$A:$A,0)),Tasks!$I:$I,"&lt;&gt;")/COUNTIFS(Tasks!$A:$A,$A1946,Tasks!$B:$B,$B1946,Tasks!$C:$C,$G1946)*100,0),"")</f>
        <v/>
      </c>
    </row>
    <row r="1947" spans="1:8" ht="15" hidden="1" customHeight="1">
      <c r="A1947" t="s">
        <v>102</v>
      </c>
      <c r="B1947" t="s">
        <v>105</v>
      </c>
      <c r="C1947">
        <v>22</v>
      </c>
      <c r="D1947">
        <v>5</v>
      </c>
      <c r="E1947">
        <v>5</v>
      </c>
      <c r="F1947">
        <v>4</v>
      </c>
      <c r="G1947" t="s">
        <v>123</v>
      </c>
      <c r="H1947" t="str">
        <f>IFERROR(ROUND(COUNTIFS(Tasks!$A:$A,$A1947,Tasks!$B:$B,$B1947,Tasks!$C:$C,$G1947,Tasks!$I:$I,"&lt;="&amp;INDEX(Weeks!$D:$D,MATCH($C1947,Weeks!$A:$A,0)),Tasks!$I:$I,"&lt;&gt;")/COUNTIFS(Tasks!$A:$A,$A1947,Tasks!$B:$B,$B1947,Tasks!$C:$C,$G1947)*100,0),"")</f>
        <v/>
      </c>
    </row>
    <row r="1948" spans="1:8" ht="15" hidden="1" customHeight="1">
      <c r="A1948" t="s">
        <v>102</v>
      </c>
      <c r="B1948" t="s">
        <v>105</v>
      </c>
      <c r="C1948">
        <v>23</v>
      </c>
      <c r="D1948">
        <v>6</v>
      </c>
      <c r="E1948">
        <v>1</v>
      </c>
      <c r="F1948">
        <v>4</v>
      </c>
      <c r="G1948" t="s">
        <v>123</v>
      </c>
      <c r="H1948" t="str">
        <f>IFERROR(ROUND(COUNTIFS(Tasks!$A:$A,$A1948,Tasks!$B:$B,$B1948,Tasks!$C:$C,$G1948,Tasks!$I:$I,"&lt;="&amp;INDEX(Weeks!$D:$D,MATCH($C1948,Weeks!$A:$A,0)),Tasks!$I:$I,"&lt;&gt;")/COUNTIFS(Tasks!$A:$A,$A1948,Tasks!$B:$B,$B1948,Tasks!$C:$C,$G1948)*100,0),"")</f>
        <v/>
      </c>
    </row>
    <row r="1949" spans="1:8" ht="15" hidden="1" customHeight="1">
      <c r="A1949" t="s">
        <v>102</v>
      </c>
      <c r="B1949" t="s">
        <v>105</v>
      </c>
      <c r="C1949">
        <v>24</v>
      </c>
      <c r="D1949">
        <v>6</v>
      </c>
      <c r="E1949">
        <v>2</v>
      </c>
      <c r="F1949">
        <v>4</v>
      </c>
      <c r="G1949" t="s">
        <v>123</v>
      </c>
      <c r="H1949" t="str">
        <f>IFERROR(ROUND(COUNTIFS(Tasks!$A:$A,$A1949,Tasks!$B:$B,$B1949,Tasks!$C:$C,$G1949,Tasks!$I:$I,"&lt;="&amp;INDEX(Weeks!$D:$D,MATCH($C1949,Weeks!$A:$A,0)),Tasks!$I:$I,"&lt;&gt;")/COUNTIFS(Tasks!$A:$A,$A1949,Tasks!$B:$B,$B1949,Tasks!$C:$C,$G1949)*100,0),"")</f>
        <v/>
      </c>
    </row>
    <row r="1950" spans="1:8" ht="15" hidden="1" customHeight="1">
      <c r="A1950" t="s">
        <v>102</v>
      </c>
      <c r="B1950" t="s">
        <v>105</v>
      </c>
      <c r="C1950">
        <v>25</v>
      </c>
      <c r="D1950">
        <v>6</v>
      </c>
      <c r="E1950">
        <v>3</v>
      </c>
      <c r="F1950">
        <v>4</v>
      </c>
      <c r="G1950" t="s">
        <v>123</v>
      </c>
      <c r="H1950" t="str">
        <f>IFERROR(ROUND(COUNTIFS(Tasks!$A:$A,$A1950,Tasks!$B:$B,$B1950,Tasks!$C:$C,$G1950,Tasks!$I:$I,"&lt;="&amp;INDEX(Weeks!$D:$D,MATCH($C1950,Weeks!$A:$A,0)),Tasks!$I:$I,"&lt;&gt;")/COUNTIFS(Tasks!$A:$A,$A1950,Tasks!$B:$B,$B1950,Tasks!$C:$C,$G1950)*100,0),"")</f>
        <v/>
      </c>
    </row>
    <row r="1951" spans="1:8" ht="15" hidden="1" customHeight="1">
      <c r="A1951" t="s">
        <v>102</v>
      </c>
      <c r="B1951" t="s">
        <v>105</v>
      </c>
      <c r="C1951">
        <v>26</v>
      </c>
      <c r="D1951">
        <v>6</v>
      </c>
      <c r="E1951">
        <v>4</v>
      </c>
      <c r="F1951">
        <v>4</v>
      </c>
      <c r="G1951" t="s">
        <v>123</v>
      </c>
      <c r="H1951" t="str">
        <f>IFERROR(ROUND(COUNTIFS(Tasks!$A:$A,$A1951,Tasks!$B:$B,$B1951,Tasks!$C:$C,$G1951,Tasks!$I:$I,"&lt;="&amp;INDEX(Weeks!$D:$D,MATCH($C1951,Weeks!$A:$A,0)),Tasks!$I:$I,"&lt;&gt;")/COUNTIFS(Tasks!$A:$A,$A1951,Tasks!$B:$B,$B1951,Tasks!$C:$C,$G1951)*100,0),"")</f>
        <v/>
      </c>
    </row>
    <row r="1952" spans="1:8" ht="15" hidden="1" customHeight="1">
      <c r="A1952" t="s">
        <v>102</v>
      </c>
      <c r="B1952" t="s">
        <v>105</v>
      </c>
      <c r="C1952">
        <v>27</v>
      </c>
      <c r="D1952">
        <v>7</v>
      </c>
      <c r="E1952">
        <v>1</v>
      </c>
      <c r="F1952">
        <v>4</v>
      </c>
      <c r="G1952" t="s">
        <v>123</v>
      </c>
      <c r="H1952" t="str">
        <f>IFERROR(ROUND(COUNTIFS(Tasks!$A:$A,$A1952,Tasks!$B:$B,$B1952,Tasks!$C:$C,$G1952,Tasks!$I:$I,"&lt;="&amp;INDEX(Weeks!$D:$D,MATCH($C1952,Weeks!$A:$A,0)),Tasks!$I:$I,"&lt;&gt;")/COUNTIFS(Tasks!$A:$A,$A1952,Tasks!$B:$B,$B1952,Tasks!$C:$C,$G1952)*100,0),"")</f>
        <v/>
      </c>
    </row>
    <row r="1953" spans="1:8" ht="15" hidden="1" customHeight="1">
      <c r="A1953" t="s">
        <v>102</v>
      </c>
      <c r="B1953" t="s">
        <v>105</v>
      </c>
      <c r="C1953">
        <v>28</v>
      </c>
      <c r="D1953">
        <v>7</v>
      </c>
      <c r="E1953">
        <v>2</v>
      </c>
      <c r="F1953">
        <v>4</v>
      </c>
      <c r="G1953" t="s">
        <v>123</v>
      </c>
      <c r="H1953" t="str">
        <f>IFERROR(ROUND(COUNTIFS(Tasks!$A:$A,$A1953,Tasks!$B:$B,$B1953,Tasks!$C:$C,$G1953,Tasks!$I:$I,"&lt;="&amp;INDEX(Weeks!$D:$D,MATCH($C1953,Weeks!$A:$A,0)),Tasks!$I:$I,"&lt;&gt;")/COUNTIFS(Tasks!$A:$A,$A1953,Tasks!$B:$B,$B1953,Tasks!$C:$C,$G1953)*100,0),"")</f>
        <v/>
      </c>
    </row>
    <row r="1954" spans="1:8" ht="15" hidden="1" customHeight="1">
      <c r="A1954" t="s">
        <v>102</v>
      </c>
      <c r="B1954" t="s">
        <v>105</v>
      </c>
      <c r="C1954">
        <v>29</v>
      </c>
      <c r="D1954">
        <v>7</v>
      </c>
      <c r="E1954">
        <v>3</v>
      </c>
      <c r="F1954">
        <v>4</v>
      </c>
      <c r="G1954" t="s">
        <v>123</v>
      </c>
      <c r="H1954" t="str">
        <f>IFERROR(ROUND(COUNTIFS(Tasks!$A:$A,$A1954,Tasks!$B:$B,$B1954,Tasks!$C:$C,$G1954,Tasks!$I:$I,"&lt;="&amp;INDEX(Weeks!$D:$D,MATCH($C1954,Weeks!$A:$A,0)),Tasks!$I:$I,"&lt;&gt;")/COUNTIFS(Tasks!$A:$A,$A1954,Tasks!$B:$B,$B1954,Tasks!$C:$C,$G1954)*100,0),"")</f>
        <v/>
      </c>
    </row>
    <row r="1955" spans="1:8" ht="15" hidden="1" customHeight="1">
      <c r="A1955" t="s">
        <v>102</v>
      </c>
      <c r="B1955" t="s">
        <v>105</v>
      </c>
      <c r="C1955">
        <v>30</v>
      </c>
      <c r="D1955">
        <v>7</v>
      </c>
      <c r="E1955">
        <v>4</v>
      </c>
      <c r="F1955">
        <v>4</v>
      </c>
      <c r="G1955" t="s">
        <v>123</v>
      </c>
      <c r="H1955" t="str">
        <f>IFERROR(ROUND(COUNTIFS(Tasks!$A:$A,$A1955,Tasks!$B:$B,$B1955,Tasks!$C:$C,$G1955,Tasks!$I:$I,"&lt;="&amp;INDEX(Weeks!$D:$D,MATCH($C1955,Weeks!$A:$A,0)),Tasks!$I:$I,"&lt;&gt;")/COUNTIFS(Tasks!$A:$A,$A1955,Tasks!$B:$B,$B1955,Tasks!$C:$C,$G1955)*100,0),"")</f>
        <v/>
      </c>
    </row>
    <row r="1956" spans="1:8" ht="15" hidden="1" customHeight="1">
      <c r="A1956" t="s">
        <v>102</v>
      </c>
      <c r="B1956" t="s">
        <v>105</v>
      </c>
      <c r="C1956">
        <v>31</v>
      </c>
      <c r="D1956">
        <v>8</v>
      </c>
      <c r="E1956">
        <v>1</v>
      </c>
      <c r="F1956">
        <v>4</v>
      </c>
      <c r="G1956" t="s">
        <v>123</v>
      </c>
      <c r="H1956" t="str">
        <f>IFERROR(ROUND(COUNTIFS(Tasks!$A:$A,$A1956,Tasks!$B:$B,$B1956,Tasks!$C:$C,$G1956,Tasks!$I:$I,"&lt;="&amp;INDEX(Weeks!$D:$D,MATCH($C1956,Weeks!$A:$A,0)),Tasks!$I:$I,"&lt;&gt;")/COUNTIFS(Tasks!$A:$A,$A1956,Tasks!$B:$B,$B1956,Tasks!$C:$C,$G1956)*100,0),"")</f>
        <v/>
      </c>
    </row>
    <row r="1957" spans="1:8" ht="15" hidden="1" customHeight="1">
      <c r="A1957" t="s">
        <v>102</v>
      </c>
      <c r="B1957" t="s">
        <v>105</v>
      </c>
      <c r="C1957">
        <v>32</v>
      </c>
      <c r="D1957">
        <v>8</v>
      </c>
      <c r="E1957">
        <v>2</v>
      </c>
      <c r="F1957">
        <v>4</v>
      </c>
      <c r="G1957" t="s">
        <v>123</v>
      </c>
      <c r="H1957" t="str">
        <f>IFERROR(ROUND(COUNTIFS(Tasks!$A:$A,$A1957,Tasks!$B:$B,$B1957,Tasks!$C:$C,$G1957,Tasks!$I:$I,"&lt;="&amp;INDEX(Weeks!$D:$D,MATCH($C1957,Weeks!$A:$A,0)),Tasks!$I:$I,"&lt;&gt;")/COUNTIFS(Tasks!$A:$A,$A1957,Tasks!$B:$B,$B1957,Tasks!$C:$C,$G1957)*100,0),"")</f>
        <v/>
      </c>
    </row>
    <row r="1958" spans="1:8" ht="15" hidden="1" customHeight="1">
      <c r="A1958" t="s">
        <v>102</v>
      </c>
      <c r="B1958" t="s">
        <v>105</v>
      </c>
      <c r="C1958">
        <v>33</v>
      </c>
      <c r="D1958">
        <v>8</v>
      </c>
      <c r="E1958">
        <v>3</v>
      </c>
      <c r="F1958">
        <v>4</v>
      </c>
      <c r="G1958" t="s">
        <v>123</v>
      </c>
      <c r="H1958" t="str">
        <f>IFERROR(ROUND(COUNTIFS(Tasks!$A:$A,$A1958,Tasks!$B:$B,$B1958,Tasks!$C:$C,$G1958,Tasks!$I:$I,"&lt;="&amp;INDEX(Weeks!$D:$D,MATCH($C1958,Weeks!$A:$A,0)),Tasks!$I:$I,"&lt;&gt;")/COUNTIFS(Tasks!$A:$A,$A1958,Tasks!$B:$B,$B1958,Tasks!$C:$C,$G1958)*100,0),"")</f>
        <v/>
      </c>
    </row>
    <row r="1959" spans="1:8" ht="15" hidden="1" customHeight="1">
      <c r="A1959" t="s">
        <v>102</v>
      </c>
      <c r="B1959" t="s">
        <v>105</v>
      </c>
      <c r="C1959">
        <v>34</v>
      </c>
      <c r="D1959">
        <v>8</v>
      </c>
      <c r="E1959">
        <v>4</v>
      </c>
      <c r="F1959">
        <v>4</v>
      </c>
      <c r="G1959" t="s">
        <v>123</v>
      </c>
      <c r="H1959" t="str">
        <f>IFERROR(ROUND(COUNTIFS(Tasks!$A:$A,$A1959,Tasks!$B:$B,$B1959,Tasks!$C:$C,$G1959,Tasks!$I:$I,"&lt;="&amp;INDEX(Weeks!$D:$D,MATCH($C1959,Weeks!$A:$A,0)),Tasks!$I:$I,"&lt;&gt;")/COUNTIFS(Tasks!$A:$A,$A1959,Tasks!$B:$B,$B1959,Tasks!$C:$C,$G1959)*100,0),"")</f>
        <v/>
      </c>
    </row>
    <row r="1960" spans="1:8" ht="15" hidden="1" customHeight="1">
      <c r="A1960" t="s">
        <v>102</v>
      </c>
      <c r="B1960" t="s">
        <v>105</v>
      </c>
      <c r="C1960">
        <v>35</v>
      </c>
      <c r="D1960">
        <v>8</v>
      </c>
      <c r="E1960">
        <v>5</v>
      </c>
      <c r="F1960">
        <v>4</v>
      </c>
      <c r="G1960" t="s">
        <v>123</v>
      </c>
      <c r="H1960" t="str">
        <f>IFERROR(ROUND(COUNTIFS(Tasks!$A:$A,$A1960,Tasks!$B:$B,$B1960,Tasks!$C:$C,$G1960,Tasks!$I:$I,"&lt;="&amp;INDEX(Weeks!$D:$D,MATCH($C1960,Weeks!$A:$A,0)),Tasks!$I:$I,"&lt;&gt;")/COUNTIFS(Tasks!$A:$A,$A1960,Tasks!$B:$B,$B1960,Tasks!$C:$C,$G1960)*100,0),"")</f>
        <v/>
      </c>
    </row>
    <row r="1961" spans="1:8" ht="15" hidden="1" customHeight="1">
      <c r="A1961" t="s">
        <v>102</v>
      </c>
      <c r="B1961" t="s">
        <v>105</v>
      </c>
      <c r="C1961">
        <v>36</v>
      </c>
      <c r="D1961">
        <v>9</v>
      </c>
      <c r="E1961">
        <v>1</v>
      </c>
      <c r="F1961">
        <v>4</v>
      </c>
      <c r="G1961" t="s">
        <v>123</v>
      </c>
      <c r="H1961" t="str">
        <f>IFERROR(ROUND(COUNTIFS(Tasks!$A:$A,$A1961,Tasks!$B:$B,$B1961,Tasks!$C:$C,$G1961,Tasks!$I:$I,"&lt;="&amp;INDEX(Weeks!$D:$D,MATCH($C1961,Weeks!$A:$A,0)),Tasks!$I:$I,"&lt;&gt;")/COUNTIFS(Tasks!$A:$A,$A1961,Tasks!$B:$B,$B1961,Tasks!$C:$C,$G1961)*100,0),"")</f>
        <v/>
      </c>
    </row>
    <row r="1962" spans="1:8" ht="15" hidden="1" customHeight="1">
      <c r="A1962" t="s">
        <v>102</v>
      </c>
      <c r="B1962" t="s">
        <v>105</v>
      </c>
      <c r="C1962">
        <v>37</v>
      </c>
      <c r="D1962">
        <v>9</v>
      </c>
      <c r="E1962">
        <v>2</v>
      </c>
      <c r="F1962">
        <v>4</v>
      </c>
      <c r="G1962" t="s">
        <v>123</v>
      </c>
      <c r="H1962" t="str">
        <f>IFERROR(ROUND(COUNTIFS(Tasks!$A:$A,$A1962,Tasks!$B:$B,$B1962,Tasks!$C:$C,$G1962,Tasks!$I:$I,"&lt;="&amp;INDEX(Weeks!$D:$D,MATCH($C1962,Weeks!$A:$A,0)),Tasks!$I:$I,"&lt;&gt;")/COUNTIFS(Tasks!$A:$A,$A1962,Tasks!$B:$B,$B1962,Tasks!$C:$C,$G1962)*100,0),"")</f>
        <v/>
      </c>
    </row>
    <row r="1963" spans="1:8" ht="15" hidden="1" customHeight="1">
      <c r="A1963" t="s">
        <v>102</v>
      </c>
      <c r="B1963" t="s">
        <v>105</v>
      </c>
      <c r="C1963">
        <v>38</v>
      </c>
      <c r="D1963">
        <v>9</v>
      </c>
      <c r="E1963">
        <v>3</v>
      </c>
      <c r="F1963">
        <v>4</v>
      </c>
      <c r="G1963" t="s">
        <v>123</v>
      </c>
      <c r="H1963" t="str">
        <f>IFERROR(ROUND(COUNTIFS(Tasks!$A:$A,$A1963,Tasks!$B:$B,$B1963,Tasks!$C:$C,$G1963,Tasks!$I:$I,"&lt;="&amp;INDEX(Weeks!$D:$D,MATCH($C1963,Weeks!$A:$A,0)),Tasks!$I:$I,"&lt;&gt;")/COUNTIFS(Tasks!$A:$A,$A1963,Tasks!$B:$B,$B1963,Tasks!$C:$C,$G1963)*100,0),"")</f>
        <v/>
      </c>
    </row>
    <row r="1964" spans="1:8" ht="15" hidden="1" customHeight="1">
      <c r="A1964" t="s">
        <v>102</v>
      </c>
      <c r="B1964" t="s">
        <v>105</v>
      </c>
      <c r="C1964">
        <v>39</v>
      </c>
      <c r="D1964">
        <v>9</v>
      </c>
      <c r="E1964">
        <v>4</v>
      </c>
      <c r="F1964">
        <v>4</v>
      </c>
      <c r="G1964" t="s">
        <v>123</v>
      </c>
      <c r="H1964" t="str">
        <f>IFERROR(ROUND(COUNTIFS(Tasks!$A:$A,$A1964,Tasks!$B:$B,$B1964,Tasks!$C:$C,$G1964,Tasks!$I:$I,"&lt;="&amp;INDEX(Weeks!$D:$D,MATCH($C1964,Weeks!$A:$A,0)),Tasks!$I:$I,"&lt;&gt;")/COUNTIFS(Tasks!$A:$A,$A1964,Tasks!$B:$B,$B1964,Tasks!$C:$C,$G1964)*100,0),"")</f>
        <v/>
      </c>
    </row>
    <row r="1965" spans="1:8" ht="15" hidden="1" customHeight="1">
      <c r="A1965" t="s">
        <v>102</v>
      </c>
      <c r="B1965" t="s">
        <v>105</v>
      </c>
      <c r="C1965">
        <v>40</v>
      </c>
      <c r="D1965">
        <v>10</v>
      </c>
      <c r="E1965">
        <v>1</v>
      </c>
      <c r="F1965">
        <v>4</v>
      </c>
      <c r="G1965" t="s">
        <v>123</v>
      </c>
      <c r="H1965" t="str">
        <f>IFERROR(ROUND(COUNTIFS(Tasks!$A:$A,$A1965,Tasks!$B:$B,$B1965,Tasks!$C:$C,$G1965,Tasks!$I:$I,"&lt;="&amp;INDEX(Weeks!$D:$D,MATCH($C1965,Weeks!$A:$A,0)),Tasks!$I:$I,"&lt;&gt;")/COUNTIFS(Tasks!$A:$A,$A1965,Tasks!$B:$B,$B1965,Tasks!$C:$C,$G1965)*100,0),"")</f>
        <v/>
      </c>
    </row>
    <row r="1966" spans="1:8" ht="15" hidden="1" customHeight="1">
      <c r="A1966" t="s">
        <v>102</v>
      </c>
      <c r="B1966" t="s">
        <v>105</v>
      </c>
      <c r="C1966">
        <v>41</v>
      </c>
      <c r="D1966">
        <v>10</v>
      </c>
      <c r="E1966">
        <v>2</v>
      </c>
      <c r="F1966">
        <v>4</v>
      </c>
      <c r="G1966" t="s">
        <v>123</v>
      </c>
      <c r="H1966" t="str">
        <f>IFERROR(ROUND(COUNTIFS(Tasks!$A:$A,$A1966,Tasks!$B:$B,$B1966,Tasks!$C:$C,$G1966,Tasks!$I:$I,"&lt;="&amp;INDEX(Weeks!$D:$D,MATCH($C1966,Weeks!$A:$A,0)),Tasks!$I:$I,"&lt;&gt;")/COUNTIFS(Tasks!$A:$A,$A1966,Tasks!$B:$B,$B1966,Tasks!$C:$C,$G1966)*100,0),"")</f>
        <v/>
      </c>
    </row>
    <row r="1967" spans="1:8" ht="15" hidden="1" customHeight="1">
      <c r="A1967" t="s">
        <v>102</v>
      </c>
      <c r="B1967" t="s">
        <v>105</v>
      </c>
      <c r="C1967">
        <v>42</v>
      </c>
      <c r="D1967">
        <v>10</v>
      </c>
      <c r="E1967">
        <v>3</v>
      </c>
      <c r="F1967">
        <v>4</v>
      </c>
      <c r="G1967" t="s">
        <v>123</v>
      </c>
      <c r="H1967" t="str">
        <f>IFERROR(ROUND(COUNTIFS(Tasks!$A:$A,$A1967,Tasks!$B:$B,$B1967,Tasks!$C:$C,$G1967,Tasks!$I:$I,"&lt;="&amp;INDEX(Weeks!$D:$D,MATCH($C1967,Weeks!$A:$A,0)),Tasks!$I:$I,"&lt;&gt;")/COUNTIFS(Tasks!$A:$A,$A1967,Tasks!$B:$B,$B1967,Tasks!$C:$C,$G1967)*100,0),"")</f>
        <v/>
      </c>
    </row>
    <row r="1968" spans="1:8" ht="15" hidden="1" customHeight="1">
      <c r="A1968" t="s">
        <v>102</v>
      </c>
      <c r="B1968" t="s">
        <v>105</v>
      </c>
      <c r="C1968">
        <v>43</v>
      </c>
      <c r="D1968">
        <v>10</v>
      </c>
      <c r="E1968">
        <v>4</v>
      </c>
      <c r="F1968">
        <v>4</v>
      </c>
      <c r="G1968" t="s">
        <v>123</v>
      </c>
      <c r="H1968" t="str">
        <f>IFERROR(ROUND(COUNTIFS(Tasks!$A:$A,$A1968,Tasks!$B:$B,$B1968,Tasks!$C:$C,$G1968,Tasks!$I:$I,"&lt;="&amp;INDEX(Weeks!$D:$D,MATCH($C1968,Weeks!$A:$A,0)),Tasks!$I:$I,"&lt;&gt;")/COUNTIFS(Tasks!$A:$A,$A1968,Tasks!$B:$B,$B1968,Tasks!$C:$C,$G1968)*100,0),"")</f>
        <v/>
      </c>
    </row>
    <row r="1969" spans="1:8" ht="15" hidden="1" customHeight="1">
      <c r="A1969" t="s">
        <v>102</v>
      </c>
      <c r="B1969" t="s">
        <v>105</v>
      </c>
      <c r="C1969">
        <v>44</v>
      </c>
      <c r="D1969">
        <v>10</v>
      </c>
      <c r="E1969">
        <v>5</v>
      </c>
      <c r="F1969">
        <v>4</v>
      </c>
      <c r="G1969" t="s">
        <v>123</v>
      </c>
      <c r="H1969" t="str">
        <f>IFERROR(ROUND(COUNTIFS(Tasks!$A:$A,$A1969,Tasks!$B:$B,$B1969,Tasks!$C:$C,$G1969,Tasks!$I:$I,"&lt;="&amp;INDEX(Weeks!$D:$D,MATCH($C1969,Weeks!$A:$A,0)),Tasks!$I:$I,"&lt;&gt;")/COUNTIFS(Tasks!$A:$A,$A1969,Tasks!$B:$B,$B1969,Tasks!$C:$C,$G1969)*100,0),"")</f>
        <v/>
      </c>
    </row>
    <row r="1970" spans="1:8" ht="15" hidden="1" customHeight="1">
      <c r="A1970" t="s">
        <v>102</v>
      </c>
      <c r="B1970" t="s">
        <v>105</v>
      </c>
      <c r="C1970">
        <v>45</v>
      </c>
      <c r="D1970">
        <v>11</v>
      </c>
      <c r="E1970">
        <v>1</v>
      </c>
      <c r="F1970">
        <v>4</v>
      </c>
      <c r="G1970" t="s">
        <v>123</v>
      </c>
      <c r="H1970" t="str">
        <f>IFERROR(ROUND(COUNTIFS(Tasks!$A:$A,$A1970,Tasks!$B:$B,$B1970,Tasks!$C:$C,$G1970,Tasks!$I:$I,"&lt;="&amp;INDEX(Weeks!$D:$D,MATCH($C1970,Weeks!$A:$A,0)),Tasks!$I:$I,"&lt;&gt;")/COUNTIFS(Tasks!$A:$A,$A1970,Tasks!$B:$B,$B1970,Tasks!$C:$C,$G1970)*100,0),"")</f>
        <v/>
      </c>
    </row>
    <row r="1971" spans="1:8" ht="15" hidden="1" customHeight="1">
      <c r="A1971" t="s">
        <v>102</v>
      </c>
      <c r="B1971" t="s">
        <v>105</v>
      </c>
      <c r="C1971">
        <v>46</v>
      </c>
      <c r="D1971">
        <v>11</v>
      </c>
      <c r="E1971">
        <v>2</v>
      </c>
      <c r="F1971">
        <v>4</v>
      </c>
      <c r="G1971" t="s">
        <v>123</v>
      </c>
      <c r="H1971" t="str">
        <f>IFERROR(ROUND(COUNTIFS(Tasks!$A:$A,$A1971,Tasks!$B:$B,$B1971,Tasks!$C:$C,$G1971,Tasks!$I:$I,"&lt;="&amp;INDEX(Weeks!$D:$D,MATCH($C1971,Weeks!$A:$A,0)),Tasks!$I:$I,"&lt;&gt;")/COUNTIFS(Tasks!$A:$A,$A1971,Tasks!$B:$B,$B1971,Tasks!$C:$C,$G1971)*100,0),"")</f>
        <v/>
      </c>
    </row>
    <row r="1972" spans="1:8" ht="15" hidden="1" customHeight="1">
      <c r="A1972" t="s">
        <v>102</v>
      </c>
      <c r="B1972" t="s">
        <v>105</v>
      </c>
      <c r="C1972">
        <v>47</v>
      </c>
      <c r="D1972">
        <v>11</v>
      </c>
      <c r="E1972">
        <v>3</v>
      </c>
      <c r="F1972">
        <v>4</v>
      </c>
      <c r="G1972" t="s">
        <v>123</v>
      </c>
      <c r="H1972" t="str">
        <f>IFERROR(ROUND(COUNTIFS(Tasks!$A:$A,$A1972,Tasks!$B:$B,$B1972,Tasks!$C:$C,$G1972,Tasks!$I:$I,"&lt;="&amp;INDEX(Weeks!$D:$D,MATCH($C1972,Weeks!$A:$A,0)),Tasks!$I:$I,"&lt;&gt;")/COUNTIFS(Tasks!$A:$A,$A1972,Tasks!$B:$B,$B1972,Tasks!$C:$C,$G1972)*100,0),"")</f>
        <v/>
      </c>
    </row>
    <row r="1973" spans="1:8" ht="15" hidden="1" customHeight="1">
      <c r="A1973" t="s">
        <v>102</v>
      </c>
      <c r="B1973" t="s">
        <v>105</v>
      </c>
      <c r="C1973">
        <v>48</v>
      </c>
      <c r="D1973">
        <v>11</v>
      </c>
      <c r="E1973">
        <v>4</v>
      </c>
      <c r="F1973">
        <v>4</v>
      </c>
      <c r="G1973" t="s">
        <v>123</v>
      </c>
      <c r="H1973" t="str">
        <f>IFERROR(ROUND(COUNTIFS(Tasks!$A:$A,$A1973,Tasks!$B:$B,$B1973,Tasks!$C:$C,$G1973,Tasks!$I:$I,"&lt;="&amp;INDEX(Weeks!$D:$D,MATCH($C1973,Weeks!$A:$A,0)),Tasks!$I:$I,"&lt;&gt;")/COUNTIFS(Tasks!$A:$A,$A1973,Tasks!$B:$B,$B1973,Tasks!$C:$C,$G1973)*100,0),"")</f>
        <v/>
      </c>
    </row>
    <row r="1974" spans="1:8" ht="15" hidden="1" customHeight="1">
      <c r="A1974" t="s">
        <v>102</v>
      </c>
      <c r="B1974" t="s">
        <v>105</v>
      </c>
      <c r="C1974">
        <v>49</v>
      </c>
      <c r="D1974">
        <v>12</v>
      </c>
      <c r="E1974">
        <v>1</v>
      </c>
      <c r="F1974">
        <v>4</v>
      </c>
      <c r="G1974" t="s">
        <v>123</v>
      </c>
      <c r="H1974" t="str">
        <f>IFERROR(ROUND(COUNTIFS(Tasks!$A:$A,$A1974,Tasks!$B:$B,$B1974,Tasks!$C:$C,$G1974,Tasks!$I:$I,"&lt;="&amp;INDEX(Weeks!$D:$D,MATCH($C1974,Weeks!$A:$A,0)),Tasks!$I:$I,"&lt;&gt;")/COUNTIFS(Tasks!$A:$A,$A1974,Tasks!$B:$B,$B1974,Tasks!$C:$C,$G1974)*100,0),"")</f>
        <v/>
      </c>
    </row>
    <row r="1975" spans="1:8" ht="15" hidden="1" customHeight="1">
      <c r="A1975" t="s">
        <v>102</v>
      </c>
      <c r="B1975" t="s">
        <v>105</v>
      </c>
      <c r="C1975">
        <v>50</v>
      </c>
      <c r="D1975">
        <v>12</v>
      </c>
      <c r="E1975">
        <v>2</v>
      </c>
      <c r="F1975">
        <v>4</v>
      </c>
      <c r="G1975" t="s">
        <v>123</v>
      </c>
      <c r="H1975" t="str">
        <f>IFERROR(ROUND(COUNTIFS(Tasks!$A:$A,$A1975,Tasks!$B:$B,$B1975,Tasks!$C:$C,$G1975,Tasks!$I:$I,"&lt;="&amp;INDEX(Weeks!$D:$D,MATCH($C1975,Weeks!$A:$A,0)),Tasks!$I:$I,"&lt;&gt;")/COUNTIFS(Tasks!$A:$A,$A1975,Tasks!$B:$B,$B1975,Tasks!$C:$C,$G1975)*100,0),"")</f>
        <v/>
      </c>
    </row>
    <row r="1976" spans="1:8" ht="15" hidden="1" customHeight="1">
      <c r="A1976" t="s">
        <v>102</v>
      </c>
      <c r="B1976" t="s">
        <v>105</v>
      </c>
      <c r="C1976">
        <v>51</v>
      </c>
      <c r="D1976">
        <v>12</v>
      </c>
      <c r="E1976">
        <v>3</v>
      </c>
      <c r="F1976">
        <v>4</v>
      </c>
      <c r="G1976" t="s">
        <v>123</v>
      </c>
      <c r="H1976" t="str">
        <f>IFERROR(ROUND(COUNTIFS(Tasks!$A:$A,$A1976,Tasks!$B:$B,$B1976,Tasks!$C:$C,$G1976,Tasks!$I:$I,"&lt;="&amp;INDEX(Weeks!$D:$D,MATCH($C1976,Weeks!$A:$A,0)),Tasks!$I:$I,"&lt;&gt;")/COUNTIFS(Tasks!$A:$A,$A1976,Tasks!$B:$B,$B1976,Tasks!$C:$C,$G1976)*100,0),"")</f>
        <v/>
      </c>
    </row>
    <row r="1977" spans="1:8" ht="15" hidden="1" customHeight="1">
      <c r="A1977" t="s">
        <v>102</v>
      </c>
      <c r="B1977" t="s">
        <v>105</v>
      </c>
      <c r="C1977">
        <v>52</v>
      </c>
      <c r="D1977">
        <v>12</v>
      </c>
      <c r="E1977">
        <v>4</v>
      </c>
      <c r="F1977">
        <v>4</v>
      </c>
      <c r="G1977" t="s">
        <v>123</v>
      </c>
      <c r="H1977" t="str">
        <f>IFERROR(ROUND(COUNTIFS(Tasks!$A:$A,$A1977,Tasks!$B:$B,$B1977,Tasks!$C:$C,$G1977,Tasks!$I:$I,"&lt;="&amp;INDEX(Weeks!$D:$D,MATCH($C1977,Weeks!$A:$A,0)),Tasks!$I:$I,"&lt;&gt;")/COUNTIFS(Tasks!$A:$A,$A1977,Tasks!$B:$B,$B1977,Tasks!$C:$C,$G1977)*100,0),"")</f>
        <v/>
      </c>
    </row>
    <row r="1978" spans="1:8" ht="15" hidden="1" customHeight="1">
      <c r="A1978" t="s">
        <v>102</v>
      </c>
      <c r="B1978" t="s">
        <v>104</v>
      </c>
      <c r="C1978">
        <v>1</v>
      </c>
      <c r="D1978">
        <v>1</v>
      </c>
      <c r="E1978">
        <v>1</v>
      </c>
      <c r="F1978">
        <v>1</v>
      </c>
      <c r="G1978" t="s">
        <v>120</v>
      </c>
      <c r="H1978" t="str">
        <f>IFERROR(ROUND(COUNTIFS(Tasks!$A:$A,$A1978,Tasks!$B:$B,$B1978,Tasks!$C:$C,$G1978,Tasks!$I:$I,"&lt;="&amp;INDEX(Weeks!$D:$D,MATCH($C1978,Weeks!$A:$A,0)),Tasks!$I:$I,"&lt;&gt;")/COUNTIFS(Tasks!$A:$A,$A1978,Tasks!$B:$B,$B1978,Tasks!$C:$C,$G1978)*100,0),"")</f>
        <v/>
      </c>
    </row>
    <row r="1979" spans="1:8" ht="15" hidden="1" customHeight="1">
      <c r="A1979" t="s">
        <v>102</v>
      </c>
      <c r="B1979" t="s">
        <v>104</v>
      </c>
      <c r="C1979">
        <v>2</v>
      </c>
      <c r="D1979">
        <v>1</v>
      </c>
      <c r="E1979">
        <v>2</v>
      </c>
      <c r="F1979">
        <v>1</v>
      </c>
      <c r="G1979" t="s">
        <v>120</v>
      </c>
      <c r="H1979" t="str">
        <f>IFERROR(ROUND(COUNTIFS(Tasks!$A:$A,$A1979,Tasks!$B:$B,$B1979,Tasks!$C:$C,$G1979,Tasks!$I:$I,"&lt;="&amp;INDEX(Weeks!$D:$D,MATCH($C1979,Weeks!$A:$A,0)),Tasks!$I:$I,"&lt;&gt;")/COUNTIFS(Tasks!$A:$A,$A1979,Tasks!$B:$B,$B1979,Tasks!$C:$C,$G1979)*100,0),"")</f>
        <v/>
      </c>
    </row>
    <row r="1980" spans="1:8" ht="15" hidden="1" customHeight="1">
      <c r="A1980" t="s">
        <v>102</v>
      </c>
      <c r="B1980" t="s">
        <v>104</v>
      </c>
      <c r="C1980">
        <v>3</v>
      </c>
      <c r="D1980">
        <v>1</v>
      </c>
      <c r="E1980">
        <v>3</v>
      </c>
      <c r="F1980">
        <v>1</v>
      </c>
      <c r="G1980" t="s">
        <v>120</v>
      </c>
      <c r="H1980" t="str">
        <f>IFERROR(ROUND(COUNTIFS(Tasks!$A:$A,$A1980,Tasks!$B:$B,$B1980,Tasks!$C:$C,$G1980,Tasks!$I:$I,"&lt;="&amp;INDEX(Weeks!$D:$D,MATCH($C1980,Weeks!$A:$A,0)),Tasks!$I:$I,"&lt;&gt;")/COUNTIFS(Tasks!$A:$A,$A1980,Tasks!$B:$B,$B1980,Tasks!$C:$C,$G1980)*100,0),"")</f>
        <v/>
      </c>
    </row>
    <row r="1981" spans="1:8" ht="15" hidden="1" customHeight="1">
      <c r="A1981" t="s">
        <v>102</v>
      </c>
      <c r="B1981" t="s">
        <v>104</v>
      </c>
      <c r="C1981">
        <v>4</v>
      </c>
      <c r="D1981">
        <v>1</v>
      </c>
      <c r="E1981">
        <v>4</v>
      </c>
      <c r="F1981">
        <v>1</v>
      </c>
      <c r="G1981" t="s">
        <v>120</v>
      </c>
      <c r="H1981" t="str">
        <f>IFERROR(ROUND(COUNTIFS(Tasks!$A:$A,$A1981,Tasks!$B:$B,$B1981,Tasks!$C:$C,$G1981,Tasks!$I:$I,"&lt;="&amp;INDEX(Weeks!$D:$D,MATCH($C1981,Weeks!$A:$A,0)),Tasks!$I:$I,"&lt;&gt;")/COUNTIFS(Tasks!$A:$A,$A1981,Tasks!$B:$B,$B1981,Tasks!$C:$C,$G1981)*100,0),"")</f>
        <v/>
      </c>
    </row>
    <row r="1982" spans="1:8" ht="15" hidden="1" customHeight="1">
      <c r="A1982" t="s">
        <v>102</v>
      </c>
      <c r="B1982" t="s">
        <v>104</v>
      </c>
      <c r="C1982">
        <v>5</v>
      </c>
      <c r="D1982">
        <v>1</v>
      </c>
      <c r="E1982">
        <v>5</v>
      </c>
      <c r="F1982">
        <v>1</v>
      </c>
      <c r="G1982" t="s">
        <v>120</v>
      </c>
      <c r="H1982" t="str">
        <f>IFERROR(ROUND(COUNTIFS(Tasks!$A:$A,$A1982,Tasks!$B:$B,$B1982,Tasks!$C:$C,$G1982,Tasks!$I:$I,"&lt;="&amp;INDEX(Weeks!$D:$D,MATCH($C1982,Weeks!$A:$A,0)),Tasks!$I:$I,"&lt;&gt;")/COUNTIFS(Tasks!$A:$A,$A1982,Tasks!$B:$B,$B1982,Tasks!$C:$C,$G1982)*100,0),"")</f>
        <v/>
      </c>
    </row>
    <row r="1983" spans="1:8" ht="15" hidden="1" customHeight="1">
      <c r="A1983" t="s">
        <v>102</v>
      </c>
      <c r="B1983" t="s">
        <v>104</v>
      </c>
      <c r="C1983">
        <v>6</v>
      </c>
      <c r="D1983">
        <v>2</v>
      </c>
      <c r="E1983">
        <v>1</v>
      </c>
      <c r="F1983">
        <v>1</v>
      </c>
      <c r="G1983" t="s">
        <v>120</v>
      </c>
      <c r="H1983" t="str">
        <f>IFERROR(ROUND(COUNTIFS(Tasks!$A:$A,$A1983,Tasks!$B:$B,$B1983,Tasks!$C:$C,$G1983,Tasks!$I:$I,"&lt;="&amp;INDEX(Weeks!$D:$D,MATCH($C1983,Weeks!$A:$A,0)),Tasks!$I:$I,"&lt;&gt;")/COUNTIFS(Tasks!$A:$A,$A1983,Tasks!$B:$B,$B1983,Tasks!$C:$C,$G1983)*100,0),"")</f>
        <v/>
      </c>
    </row>
    <row r="1984" spans="1:8" ht="15" hidden="1" customHeight="1">
      <c r="A1984" t="s">
        <v>102</v>
      </c>
      <c r="B1984" t="s">
        <v>104</v>
      </c>
      <c r="C1984">
        <v>7</v>
      </c>
      <c r="D1984">
        <v>2</v>
      </c>
      <c r="E1984">
        <v>2</v>
      </c>
      <c r="F1984">
        <v>1</v>
      </c>
      <c r="G1984" t="s">
        <v>120</v>
      </c>
      <c r="H1984" t="str">
        <f>IFERROR(ROUND(COUNTIFS(Tasks!$A:$A,$A1984,Tasks!$B:$B,$B1984,Tasks!$C:$C,$G1984,Tasks!$I:$I,"&lt;="&amp;INDEX(Weeks!$D:$D,MATCH($C1984,Weeks!$A:$A,0)),Tasks!$I:$I,"&lt;&gt;")/COUNTIFS(Tasks!$A:$A,$A1984,Tasks!$B:$B,$B1984,Tasks!$C:$C,$G1984)*100,0),"")</f>
        <v/>
      </c>
    </row>
    <row r="1985" spans="1:8" ht="15" hidden="1" customHeight="1">
      <c r="A1985" t="s">
        <v>102</v>
      </c>
      <c r="B1985" t="s">
        <v>104</v>
      </c>
      <c r="C1985">
        <v>8</v>
      </c>
      <c r="D1985">
        <v>2</v>
      </c>
      <c r="E1985">
        <v>3</v>
      </c>
      <c r="F1985">
        <v>1</v>
      </c>
      <c r="G1985" t="s">
        <v>120</v>
      </c>
      <c r="H1985" t="str">
        <f>IFERROR(ROUND(COUNTIFS(Tasks!$A:$A,$A1985,Tasks!$B:$B,$B1985,Tasks!$C:$C,$G1985,Tasks!$I:$I,"&lt;="&amp;INDEX(Weeks!$D:$D,MATCH($C1985,Weeks!$A:$A,0)),Tasks!$I:$I,"&lt;&gt;")/COUNTIFS(Tasks!$A:$A,$A1985,Tasks!$B:$B,$B1985,Tasks!$C:$C,$G1985)*100,0),"")</f>
        <v/>
      </c>
    </row>
    <row r="1986" spans="1:8" ht="15" hidden="1" customHeight="1">
      <c r="A1986" t="s">
        <v>102</v>
      </c>
      <c r="B1986" t="s">
        <v>104</v>
      </c>
      <c r="C1986">
        <v>9</v>
      </c>
      <c r="D1986">
        <v>2</v>
      </c>
      <c r="E1986">
        <v>4</v>
      </c>
      <c r="F1986">
        <v>1</v>
      </c>
      <c r="G1986" t="s">
        <v>120</v>
      </c>
      <c r="H1986" t="str">
        <f>IFERROR(ROUND(COUNTIFS(Tasks!$A:$A,$A1986,Tasks!$B:$B,$B1986,Tasks!$C:$C,$G1986,Tasks!$I:$I,"&lt;="&amp;INDEX(Weeks!$D:$D,MATCH($C1986,Weeks!$A:$A,0)),Tasks!$I:$I,"&lt;&gt;")/COUNTIFS(Tasks!$A:$A,$A1986,Tasks!$B:$B,$B1986,Tasks!$C:$C,$G1986)*100,0),"")</f>
        <v/>
      </c>
    </row>
    <row r="1987" spans="1:8" ht="15" hidden="1" customHeight="1">
      <c r="A1987" t="s">
        <v>102</v>
      </c>
      <c r="B1987" t="s">
        <v>104</v>
      </c>
      <c r="C1987">
        <v>10</v>
      </c>
      <c r="D1987">
        <v>3</v>
      </c>
      <c r="E1987">
        <v>1</v>
      </c>
      <c r="F1987">
        <v>1</v>
      </c>
      <c r="G1987" t="s">
        <v>120</v>
      </c>
      <c r="H1987" t="str">
        <f>IFERROR(ROUND(COUNTIFS(Tasks!$A:$A,$A1987,Tasks!$B:$B,$B1987,Tasks!$C:$C,$G1987,Tasks!$I:$I,"&lt;="&amp;INDEX(Weeks!$D:$D,MATCH($C1987,Weeks!$A:$A,0)),Tasks!$I:$I,"&lt;&gt;")/COUNTIFS(Tasks!$A:$A,$A1987,Tasks!$B:$B,$B1987,Tasks!$C:$C,$G1987)*100,0),"")</f>
        <v/>
      </c>
    </row>
    <row r="1988" spans="1:8" ht="15" hidden="1" customHeight="1">
      <c r="A1988" t="s">
        <v>102</v>
      </c>
      <c r="B1988" t="s">
        <v>104</v>
      </c>
      <c r="C1988">
        <v>11</v>
      </c>
      <c r="D1988">
        <v>3</v>
      </c>
      <c r="E1988">
        <v>2</v>
      </c>
      <c r="F1988">
        <v>1</v>
      </c>
      <c r="G1988" t="s">
        <v>120</v>
      </c>
      <c r="H1988" t="str">
        <f>IFERROR(ROUND(COUNTIFS(Tasks!$A:$A,$A1988,Tasks!$B:$B,$B1988,Tasks!$C:$C,$G1988,Tasks!$I:$I,"&lt;="&amp;INDEX(Weeks!$D:$D,MATCH($C1988,Weeks!$A:$A,0)),Tasks!$I:$I,"&lt;&gt;")/COUNTIFS(Tasks!$A:$A,$A1988,Tasks!$B:$B,$B1988,Tasks!$C:$C,$G1988)*100,0),"")</f>
        <v/>
      </c>
    </row>
    <row r="1989" spans="1:8" ht="15" hidden="1" customHeight="1">
      <c r="A1989" t="s">
        <v>102</v>
      </c>
      <c r="B1989" t="s">
        <v>104</v>
      </c>
      <c r="C1989">
        <v>12</v>
      </c>
      <c r="D1989">
        <v>3</v>
      </c>
      <c r="E1989">
        <v>3</v>
      </c>
      <c r="F1989">
        <v>1</v>
      </c>
      <c r="G1989" t="s">
        <v>120</v>
      </c>
      <c r="H1989" t="str">
        <f>IFERROR(ROUND(COUNTIFS(Tasks!$A:$A,$A1989,Tasks!$B:$B,$B1989,Tasks!$C:$C,$G1989,Tasks!$I:$I,"&lt;="&amp;INDEX(Weeks!$D:$D,MATCH($C1989,Weeks!$A:$A,0)),Tasks!$I:$I,"&lt;&gt;")/COUNTIFS(Tasks!$A:$A,$A1989,Tasks!$B:$B,$B1989,Tasks!$C:$C,$G1989)*100,0),"")</f>
        <v/>
      </c>
    </row>
    <row r="1990" spans="1:8" ht="15" hidden="1" customHeight="1">
      <c r="A1990" t="s">
        <v>102</v>
      </c>
      <c r="B1990" t="s">
        <v>104</v>
      </c>
      <c r="C1990">
        <v>13</v>
      </c>
      <c r="D1990">
        <v>3</v>
      </c>
      <c r="E1990">
        <v>4</v>
      </c>
      <c r="F1990">
        <v>1</v>
      </c>
      <c r="G1990" t="s">
        <v>120</v>
      </c>
      <c r="H1990" t="str">
        <f>IFERROR(ROUND(COUNTIFS(Tasks!$A:$A,$A1990,Tasks!$B:$B,$B1990,Tasks!$C:$C,$G1990,Tasks!$I:$I,"&lt;="&amp;INDEX(Weeks!$D:$D,MATCH($C1990,Weeks!$A:$A,0)),Tasks!$I:$I,"&lt;&gt;")/COUNTIFS(Tasks!$A:$A,$A1990,Tasks!$B:$B,$B1990,Tasks!$C:$C,$G1990)*100,0),"")</f>
        <v/>
      </c>
    </row>
    <row r="1991" spans="1:8" ht="15" hidden="1" customHeight="1">
      <c r="A1991" t="s">
        <v>102</v>
      </c>
      <c r="B1991" t="s">
        <v>104</v>
      </c>
      <c r="C1991">
        <v>14</v>
      </c>
      <c r="D1991">
        <v>4</v>
      </c>
      <c r="E1991">
        <v>1</v>
      </c>
      <c r="F1991">
        <v>1</v>
      </c>
      <c r="G1991" t="s">
        <v>120</v>
      </c>
      <c r="H1991" t="str">
        <f>IFERROR(ROUND(COUNTIFS(Tasks!$A:$A,$A1991,Tasks!$B:$B,$B1991,Tasks!$C:$C,$G1991,Tasks!$I:$I,"&lt;="&amp;INDEX(Weeks!$D:$D,MATCH($C1991,Weeks!$A:$A,0)),Tasks!$I:$I,"&lt;&gt;")/COUNTIFS(Tasks!$A:$A,$A1991,Tasks!$B:$B,$B1991,Tasks!$C:$C,$G1991)*100,0),"")</f>
        <v/>
      </c>
    </row>
    <row r="1992" spans="1:8" ht="15" hidden="1" customHeight="1">
      <c r="A1992" t="s">
        <v>102</v>
      </c>
      <c r="B1992" t="s">
        <v>104</v>
      </c>
      <c r="C1992">
        <v>15</v>
      </c>
      <c r="D1992">
        <v>4</v>
      </c>
      <c r="E1992">
        <v>2</v>
      </c>
      <c r="F1992">
        <v>1</v>
      </c>
      <c r="G1992" t="s">
        <v>120</v>
      </c>
      <c r="H1992" t="str">
        <f>IFERROR(ROUND(COUNTIFS(Tasks!$A:$A,$A1992,Tasks!$B:$B,$B1992,Tasks!$C:$C,$G1992,Tasks!$I:$I,"&lt;="&amp;INDEX(Weeks!$D:$D,MATCH($C1992,Weeks!$A:$A,0)),Tasks!$I:$I,"&lt;&gt;")/COUNTIFS(Tasks!$A:$A,$A1992,Tasks!$B:$B,$B1992,Tasks!$C:$C,$G1992)*100,0),"")</f>
        <v/>
      </c>
    </row>
    <row r="1993" spans="1:8" ht="15" hidden="1" customHeight="1">
      <c r="A1993" t="s">
        <v>102</v>
      </c>
      <c r="B1993" t="s">
        <v>104</v>
      </c>
      <c r="C1993">
        <v>16</v>
      </c>
      <c r="D1993">
        <v>4</v>
      </c>
      <c r="E1993">
        <v>3</v>
      </c>
      <c r="F1993">
        <v>1</v>
      </c>
      <c r="G1993" t="s">
        <v>120</v>
      </c>
      <c r="H1993" t="str">
        <f>IFERROR(ROUND(COUNTIFS(Tasks!$A:$A,$A1993,Tasks!$B:$B,$B1993,Tasks!$C:$C,$G1993,Tasks!$I:$I,"&lt;="&amp;INDEX(Weeks!$D:$D,MATCH($C1993,Weeks!$A:$A,0)),Tasks!$I:$I,"&lt;&gt;")/COUNTIFS(Tasks!$A:$A,$A1993,Tasks!$B:$B,$B1993,Tasks!$C:$C,$G1993)*100,0),"")</f>
        <v/>
      </c>
    </row>
    <row r="1994" spans="1:8" ht="15" hidden="1" customHeight="1">
      <c r="A1994" t="s">
        <v>102</v>
      </c>
      <c r="B1994" t="s">
        <v>104</v>
      </c>
      <c r="C1994">
        <v>17</v>
      </c>
      <c r="D1994">
        <v>4</v>
      </c>
      <c r="E1994">
        <v>4</v>
      </c>
      <c r="F1994">
        <v>1</v>
      </c>
      <c r="G1994" t="s">
        <v>120</v>
      </c>
      <c r="H1994" t="str">
        <f>IFERROR(ROUND(COUNTIFS(Tasks!$A:$A,$A1994,Tasks!$B:$B,$B1994,Tasks!$C:$C,$G1994,Tasks!$I:$I,"&lt;="&amp;INDEX(Weeks!$D:$D,MATCH($C1994,Weeks!$A:$A,0)),Tasks!$I:$I,"&lt;&gt;")/COUNTIFS(Tasks!$A:$A,$A1994,Tasks!$B:$B,$B1994,Tasks!$C:$C,$G1994)*100,0),"")</f>
        <v/>
      </c>
    </row>
    <row r="1995" spans="1:8" ht="15" hidden="1" customHeight="1">
      <c r="A1995" t="s">
        <v>102</v>
      </c>
      <c r="B1995" t="s">
        <v>104</v>
      </c>
      <c r="C1995">
        <v>18</v>
      </c>
      <c r="D1995">
        <v>5</v>
      </c>
      <c r="E1995">
        <v>1</v>
      </c>
      <c r="F1995">
        <v>1</v>
      </c>
      <c r="G1995" t="s">
        <v>120</v>
      </c>
      <c r="H1995" t="str">
        <f>IFERROR(ROUND(COUNTIFS(Tasks!$A:$A,$A1995,Tasks!$B:$B,$B1995,Tasks!$C:$C,$G1995,Tasks!$I:$I,"&lt;="&amp;INDEX(Weeks!$D:$D,MATCH($C1995,Weeks!$A:$A,0)),Tasks!$I:$I,"&lt;&gt;")/COUNTIFS(Tasks!$A:$A,$A1995,Tasks!$B:$B,$B1995,Tasks!$C:$C,$G1995)*100,0),"")</f>
        <v/>
      </c>
    </row>
    <row r="1996" spans="1:8" ht="15" hidden="1" customHeight="1">
      <c r="A1996" t="s">
        <v>102</v>
      </c>
      <c r="B1996" t="s">
        <v>104</v>
      </c>
      <c r="C1996">
        <v>19</v>
      </c>
      <c r="D1996">
        <v>5</v>
      </c>
      <c r="E1996">
        <v>2</v>
      </c>
      <c r="F1996">
        <v>1</v>
      </c>
      <c r="G1996" t="s">
        <v>120</v>
      </c>
      <c r="H1996" t="str">
        <f>IFERROR(ROUND(COUNTIFS(Tasks!$A:$A,$A1996,Tasks!$B:$B,$B1996,Tasks!$C:$C,$G1996,Tasks!$I:$I,"&lt;="&amp;INDEX(Weeks!$D:$D,MATCH($C1996,Weeks!$A:$A,0)),Tasks!$I:$I,"&lt;&gt;")/COUNTIFS(Tasks!$A:$A,$A1996,Tasks!$B:$B,$B1996,Tasks!$C:$C,$G1996)*100,0),"")</f>
        <v/>
      </c>
    </row>
    <row r="1997" spans="1:8" ht="15" hidden="1" customHeight="1">
      <c r="A1997" t="s">
        <v>102</v>
      </c>
      <c r="B1997" t="s">
        <v>104</v>
      </c>
      <c r="C1997">
        <v>20</v>
      </c>
      <c r="D1997">
        <v>5</v>
      </c>
      <c r="E1997">
        <v>3</v>
      </c>
      <c r="F1997">
        <v>1</v>
      </c>
      <c r="G1997" t="s">
        <v>120</v>
      </c>
      <c r="H1997" t="str">
        <f>IFERROR(ROUND(COUNTIFS(Tasks!$A:$A,$A1997,Tasks!$B:$B,$B1997,Tasks!$C:$C,$G1997,Tasks!$I:$I,"&lt;="&amp;INDEX(Weeks!$D:$D,MATCH($C1997,Weeks!$A:$A,0)),Tasks!$I:$I,"&lt;&gt;")/COUNTIFS(Tasks!$A:$A,$A1997,Tasks!$B:$B,$B1997,Tasks!$C:$C,$G1997)*100,0),"")</f>
        <v/>
      </c>
    </row>
    <row r="1998" spans="1:8" ht="15" hidden="1" customHeight="1">
      <c r="A1998" t="s">
        <v>102</v>
      </c>
      <c r="B1998" t="s">
        <v>104</v>
      </c>
      <c r="C1998">
        <v>21</v>
      </c>
      <c r="D1998">
        <v>5</v>
      </c>
      <c r="E1998">
        <v>4</v>
      </c>
      <c r="F1998">
        <v>1</v>
      </c>
      <c r="G1998" t="s">
        <v>120</v>
      </c>
      <c r="H1998" t="str">
        <f>IFERROR(ROUND(COUNTIFS(Tasks!$A:$A,$A1998,Tasks!$B:$B,$B1998,Tasks!$C:$C,$G1998,Tasks!$I:$I,"&lt;="&amp;INDEX(Weeks!$D:$D,MATCH($C1998,Weeks!$A:$A,0)),Tasks!$I:$I,"&lt;&gt;")/COUNTIFS(Tasks!$A:$A,$A1998,Tasks!$B:$B,$B1998,Tasks!$C:$C,$G1998)*100,0),"")</f>
        <v/>
      </c>
    </row>
    <row r="1999" spans="1:8" ht="15" hidden="1" customHeight="1">
      <c r="A1999" t="s">
        <v>102</v>
      </c>
      <c r="B1999" t="s">
        <v>104</v>
      </c>
      <c r="C1999">
        <v>22</v>
      </c>
      <c r="D1999">
        <v>5</v>
      </c>
      <c r="E1999">
        <v>5</v>
      </c>
      <c r="F1999">
        <v>1</v>
      </c>
      <c r="G1999" t="s">
        <v>120</v>
      </c>
      <c r="H1999" t="str">
        <f>IFERROR(ROUND(COUNTIFS(Tasks!$A:$A,$A1999,Tasks!$B:$B,$B1999,Tasks!$C:$C,$G1999,Tasks!$I:$I,"&lt;="&amp;INDEX(Weeks!$D:$D,MATCH($C1999,Weeks!$A:$A,0)),Tasks!$I:$I,"&lt;&gt;")/COUNTIFS(Tasks!$A:$A,$A1999,Tasks!$B:$B,$B1999,Tasks!$C:$C,$G1999)*100,0),"")</f>
        <v/>
      </c>
    </row>
    <row r="2000" spans="1:8" ht="15" hidden="1" customHeight="1">
      <c r="A2000" t="s">
        <v>102</v>
      </c>
      <c r="B2000" t="s">
        <v>104</v>
      </c>
      <c r="C2000">
        <v>23</v>
      </c>
      <c r="D2000">
        <v>6</v>
      </c>
      <c r="E2000">
        <v>1</v>
      </c>
      <c r="F2000">
        <v>1</v>
      </c>
      <c r="G2000" t="s">
        <v>120</v>
      </c>
      <c r="H2000" t="str">
        <f>IFERROR(ROUND(COUNTIFS(Tasks!$A:$A,$A2000,Tasks!$B:$B,$B2000,Tasks!$C:$C,$G2000,Tasks!$I:$I,"&lt;="&amp;INDEX(Weeks!$D:$D,MATCH($C2000,Weeks!$A:$A,0)),Tasks!$I:$I,"&lt;&gt;")/COUNTIFS(Tasks!$A:$A,$A2000,Tasks!$B:$B,$B2000,Tasks!$C:$C,$G2000)*100,0),"")</f>
        <v/>
      </c>
    </row>
    <row r="2001" spans="1:8" ht="15" hidden="1" customHeight="1">
      <c r="A2001" t="s">
        <v>102</v>
      </c>
      <c r="B2001" t="s">
        <v>104</v>
      </c>
      <c r="C2001">
        <v>24</v>
      </c>
      <c r="D2001">
        <v>6</v>
      </c>
      <c r="E2001">
        <v>2</v>
      </c>
      <c r="F2001">
        <v>1</v>
      </c>
      <c r="G2001" t="s">
        <v>120</v>
      </c>
      <c r="H2001" t="str">
        <f>IFERROR(ROUND(COUNTIFS(Tasks!$A:$A,$A2001,Tasks!$B:$B,$B2001,Tasks!$C:$C,$G2001,Tasks!$I:$I,"&lt;="&amp;INDEX(Weeks!$D:$D,MATCH($C2001,Weeks!$A:$A,0)),Tasks!$I:$I,"&lt;&gt;")/COUNTIFS(Tasks!$A:$A,$A2001,Tasks!$B:$B,$B2001,Tasks!$C:$C,$G2001)*100,0),"")</f>
        <v/>
      </c>
    </row>
    <row r="2002" spans="1:8" ht="15" hidden="1" customHeight="1">
      <c r="A2002" t="s">
        <v>102</v>
      </c>
      <c r="B2002" t="s">
        <v>104</v>
      </c>
      <c r="C2002">
        <v>25</v>
      </c>
      <c r="D2002">
        <v>6</v>
      </c>
      <c r="E2002">
        <v>3</v>
      </c>
      <c r="F2002">
        <v>1</v>
      </c>
      <c r="G2002" t="s">
        <v>120</v>
      </c>
      <c r="H2002" t="str">
        <f>IFERROR(ROUND(COUNTIFS(Tasks!$A:$A,$A2002,Tasks!$B:$B,$B2002,Tasks!$C:$C,$G2002,Tasks!$I:$I,"&lt;="&amp;INDEX(Weeks!$D:$D,MATCH($C2002,Weeks!$A:$A,0)),Tasks!$I:$I,"&lt;&gt;")/COUNTIFS(Tasks!$A:$A,$A2002,Tasks!$B:$B,$B2002,Tasks!$C:$C,$G2002)*100,0),"")</f>
        <v/>
      </c>
    </row>
    <row r="2003" spans="1:8" ht="15" hidden="1" customHeight="1">
      <c r="A2003" t="s">
        <v>102</v>
      </c>
      <c r="B2003" t="s">
        <v>104</v>
      </c>
      <c r="C2003">
        <v>26</v>
      </c>
      <c r="D2003">
        <v>6</v>
      </c>
      <c r="E2003">
        <v>4</v>
      </c>
      <c r="F2003">
        <v>1</v>
      </c>
      <c r="G2003" t="s">
        <v>120</v>
      </c>
      <c r="H2003" t="str">
        <f>IFERROR(ROUND(COUNTIFS(Tasks!$A:$A,$A2003,Tasks!$B:$B,$B2003,Tasks!$C:$C,$G2003,Tasks!$I:$I,"&lt;="&amp;INDEX(Weeks!$D:$D,MATCH($C2003,Weeks!$A:$A,0)),Tasks!$I:$I,"&lt;&gt;")/COUNTIFS(Tasks!$A:$A,$A2003,Tasks!$B:$B,$B2003,Tasks!$C:$C,$G2003)*100,0),"")</f>
        <v/>
      </c>
    </row>
    <row r="2004" spans="1:8" ht="15" hidden="1" customHeight="1">
      <c r="A2004" t="s">
        <v>102</v>
      </c>
      <c r="B2004" t="s">
        <v>104</v>
      </c>
      <c r="C2004">
        <v>27</v>
      </c>
      <c r="D2004">
        <v>7</v>
      </c>
      <c r="E2004">
        <v>1</v>
      </c>
      <c r="F2004">
        <v>1</v>
      </c>
      <c r="G2004" t="s">
        <v>120</v>
      </c>
      <c r="H2004" t="str">
        <f>IFERROR(ROUND(COUNTIFS(Tasks!$A:$A,$A2004,Tasks!$B:$B,$B2004,Tasks!$C:$C,$G2004,Tasks!$I:$I,"&lt;="&amp;INDEX(Weeks!$D:$D,MATCH($C2004,Weeks!$A:$A,0)),Tasks!$I:$I,"&lt;&gt;")/COUNTIFS(Tasks!$A:$A,$A2004,Tasks!$B:$B,$B2004,Tasks!$C:$C,$G2004)*100,0),"")</f>
        <v/>
      </c>
    </row>
    <row r="2005" spans="1:8" ht="15" hidden="1" customHeight="1">
      <c r="A2005" t="s">
        <v>102</v>
      </c>
      <c r="B2005" t="s">
        <v>104</v>
      </c>
      <c r="C2005">
        <v>28</v>
      </c>
      <c r="D2005">
        <v>7</v>
      </c>
      <c r="E2005">
        <v>2</v>
      </c>
      <c r="F2005">
        <v>1</v>
      </c>
      <c r="G2005" t="s">
        <v>120</v>
      </c>
      <c r="H2005" t="str">
        <f>IFERROR(ROUND(COUNTIFS(Tasks!$A:$A,$A2005,Tasks!$B:$B,$B2005,Tasks!$C:$C,$G2005,Tasks!$I:$I,"&lt;="&amp;INDEX(Weeks!$D:$D,MATCH($C2005,Weeks!$A:$A,0)),Tasks!$I:$I,"&lt;&gt;")/COUNTIFS(Tasks!$A:$A,$A2005,Tasks!$B:$B,$B2005,Tasks!$C:$C,$G2005)*100,0),"")</f>
        <v/>
      </c>
    </row>
    <row r="2006" spans="1:8" ht="15" hidden="1" customHeight="1">
      <c r="A2006" t="s">
        <v>102</v>
      </c>
      <c r="B2006" t="s">
        <v>104</v>
      </c>
      <c r="C2006">
        <v>29</v>
      </c>
      <c r="D2006">
        <v>7</v>
      </c>
      <c r="E2006">
        <v>3</v>
      </c>
      <c r="F2006">
        <v>1</v>
      </c>
      <c r="G2006" t="s">
        <v>120</v>
      </c>
      <c r="H2006" t="str">
        <f>IFERROR(ROUND(COUNTIFS(Tasks!$A:$A,$A2006,Tasks!$B:$B,$B2006,Tasks!$C:$C,$G2006,Tasks!$I:$I,"&lt;="&amp;INDEX(Weeks!$D:$D,MATCH($C2006,Weeks!$A:$A,0)),Tasks!$I:$I,"&lt;&gt;")/COUNTIFS(Tasks!$A:$A,$A2006,Tasks!$B:$B,$B2006,Tasks!$C:$C,$G2006)*100,0),"")</f>
        <v/>
      </c>
    </row>
    <row r="2007" spans="1:8" ht="15" hidden="1" customHeight="1">
      <c r="A2007" t="s">
        <v>102</v>
      </c>
      <c r="B2007" t="s">
        <v>104</v>
      </c>
      <c r="C2007">
        <v>30</v>
      </c>
      <c r="D2007">
        <v>7</v>
      </c>
      <c r="E2007">
        <v>4</v>
      </c>
      <c r="F2007">
        <v>1</v>
      </c>
      <c r="G2007" t="s">
        <v>120</v>
      </c>
      <c r="H2007" t="str">
        <f>IFERROR(ROUND(COUNTIFS(Tasks!$A:$A,$A2007,Tasks!$B:$B,$B2007,Tasks!$C:$C,$G2007,Tasks!$I:$I,"&lt;="&amp;INDEX(Weeks!$D:$D,MATCH($C2007,Weeks!$A:$A,0)),Tasks!$I:$I,"&lt;&gt;")/COUNTIFS(Tasks!$A:$A,$A2007,Tasks!$B:$B,$B2007,Tasks!$C:$C,$G2007)*100,0),"")</f>
        <v/>
      </c>
    </row>
    <row r="2008" spans="1:8" ht="15" hidden="1" customHeight="1">
      <c r="A2008" t="s">
        <v>102</v>
      </c>
      <c r="B2008" t="s">
        <v>104</v>
      </c>
      <c r="C2008">
        <v>31</v>
      </c>
      <c r="D2008">
        <v>8</v>
      </c>
      <c r="E2008">
        <v>1</v>
      </c>
      <c r="F2008">
        <v>1</v>
      </c>
      <c r="G2008" t="s">
        <v>120</v>
      </c>
      <c r="H2008" t="str">
        <f>IFERROR(ROUND(COUNTIFS(Tasks!$A:$A,$A2008,Tasks!$B:$B,$B2008,Tasks!$C:$C,$G2008,Tasks!$I:$I,"&lt;="&amp;INDEX(Weeks!$D:$D,MATCH($C2008,Weeks!$A:$A,0)),Tasks!$I:$I,"&lt;&gt;")/COUNTIFS(Tasks!$A:$A,$A2008,Tasks!$B:$B,$B2008,Tasks!$C:$C,$G2008)*100,0),"")</f>
        <v/>
      </c>
    </row>
    <row r="2009" spans="1:8" ht="15" hidden="1" customHeight="1">
      <c r="A2009" t="s">
        <v>102</v>
      </c>
      <c r="B2009" t="s">
        <v>104</v>
      </c>
      <c r="C2009">
        <v>32</v>
      </c>
      <c r="D2009">
        <v>8</v>
      </c>
      <c r="E2009">
        <v>2</v>
      </c>
      <c r="F2009">
        <v>1</v>
      </c>
      <c r="G2009" t="s">
        <v>120</v>
      </c>
      <c r="H2009" t="str">
        <f>IFERROR(ROUND(COUNTIFS(Tasks!$A:$A,$A2009,Tasks!$B:$B,$B2009,Tasks!$C:$C,$G2009,Tasks!$I:$I,"&lt;="&amp;INDEX(Weeks!$D:$D,MATCH($C2009,Weeks!$A:$A,0)),Tasks!$I:$I,"&lt;&gt;")/COUNTIFS(Tasks!$A:$A,$A2009,Tasks!$B:$B,$B2009,Tasks!$C:$C,$G2009)*100,0),"")</f>
        <v/>
      </c>
    </row>
    <row r="2010" spans="1:8" ht="15" hidden="1" customHeight="1">
      <c r="A2010" t="s">
        <v>102</v>
      </c>
      <c r="B2010" t="s">
        <v>104</v>
      </c>
      <c r="C2010">
        <v>33</v>
      </c>
      <c r="D2010">
        <v>8</v>
      </c>
      <c r="E2010">
        <v>3</v>
      </c>
      <c r="F2010">
        <v>1</v>
      </c>
      <c r="G2010" t="s">
        <v>120</v>
      </c>
      <c r="H2010" t="str">
        <f>IFERROR(ROUND(COUNTIFS(Tasks!$A:$A,$A2010,Tasks!$B:$B,$B2010,Tasks!$C:$C,$G2010,Tasks!$I:$I,"&lt;="&amp;INDEX(Weeks!$D:$D,MATCH($C2010,Weeks!$A:$A,0)),Tasks!$I:$I,"&lt;&gt;")/COUNTIFS(Tasks!$A:$A,$A2010,Tasks!$B:$B,$B2010,Tasks!$C:$C,$G2010)*100,0),"")</f>
        <v/>
      </c>
    </row>
    <row r="2011" spans="1:8" ht="15" hidden="1" customHeight="1">
      <c r="A2011" t="s">
        <v>102</v>
      </c>
      <c r="B2011" t="s">
        <v>104</v>
      </c>
      <c r="C2011">
        <v>34</v>
      </c>
      <c r="D2011">
        <v>8</v>
      </c>
      <c r="E2011">
        <v>4</v>
      </c>
      <c r="F2011">
        <v>1</v>
      </c>
      <c r="G2011" t="s">
        <v>120</v>
      </c>
      <c r="H2011" t="str">
        <f>IFERROR(ROUND(COUNTIFS(Tasks!$A:$A,$A2011,Tasks!$B:$B,$B2011,Tasks!$C:$C,$G2011,Tasks!$I:$I,"&lt;="&amp;INDEX(Weeks!$D:$D,MATCH($C2011,Weeks!$A:$A,0)),Tasks!$I:$I,"&lt;&gt;")/COUNTIFS(Tasks!$A:$A,$A2011,Tasks!$B:$B,$B2011,Tasks!$C:$C,$G2011)*100,0),"")</f>
        <v/>
      </c>
    </row>
    <row r="2012" spans="1:8" ht="15" hidden="1" customHeight="1">
      <c r="A2012" t="s">
        <v>102</v>
      </c>
      <c r="B2012" t="s">
        <v>104</v>
      </c>
      <c r="C2012">
        <v>35</v>
      </c>
      <c r="D2012">
        <v>8</v>
      </c>
      <c r="E2012">
        <v>5</v>
      </c>
      <c r="F2012">
        <v>1</v>
      </c>
      <c r="G2012" t="s">
        <v>120</v>
      </c>
      <c r="H2012" t="str">
        <f>IFERROR(ROUND(COUNTIFS(Tasks!$A:$A,$A2012,Tasks!$B:$B,$B2012,Tasks!$C:$C,$G2012,Tasks!$I:$I,"&lt;="&amp;INDEX(Weeks!$D:$D,MATCH($C2012,Weeks!$A:$A,0)),Tasks!$I:$I,"&lt;&gt;")/COUNTIFS(Tasks!$A:$A,$A2012,Tasks!$B:$B,$B2012,Tasks!$C:$C,$G2012)*100,0),"")</f>
        <v/>
      </c>
    </row>
    <row r="2013" spans="1:8" ht="15" hidden="1" customHeight="1">
      <c r="A2013" t="s">
        <v>102</v>
      </c>
      <c r="B2013" t="s">
        <v>104</v>
      </c>
      <c r="C2013">
        <v>36</v>
      </c>
      <c r="D2013">
        <v>9</v>
      </c>
      <c r="E2013">
        <v>1</v>
      </c>
      <c r="F2013">
        <v>1</v>
      </c>
      <c r="G2013" t="s">
        <v>120</v>
      </c>
      <c r="H2013" t="str">
        <f>IFERROR(ROUND(COUNTIFS(Tasks!$A:$A,$A2013,Tasks!$B:$B,$B2013,Tasks!$C:$C,$G2013,Tasks!$I:$I,"&lt;="&amp;INDEX(Weeks!$D:$D,MATCH($C2013,Weeks!$A:$A,0)),Tasks!$I:$I,"&lt;&gt;")/COUNTIFS(Tasks!$A:$A,$A2013,Tasks!$B:$B,$B2013,Tasks!$C:$C,$G2013)*100,0),"")</f>
        <v/>
      </c>
    </row>
    <row r="2014" spans="1:8" ht="15" hidden="1" customHeight="1">
      <c r="A2014" t="s">
        <v>102</v>
      </c>
      <c r="B2014" t="s">
        <v>104</v>
      </c>
      <c r="C2014">
        <v>37</v>
      </c>
      <c r="D2014">
        <v>9</v>
      </c>
      <c r="E2014">
        <v>2</v>
      </c>
      <c r="F2014">
        <v>1</v>
      </c>
      <c r="G2014" t="s">
        <v>120</v>
      </c>
      <c r="H2014" t="str">
        <f>IFERROR(ROUND(COUNTIFS(Tasks!$A:$A,$A2014,Tasks!$B:$B,$B2014,Tasks!$C:$C,$G2014,Tasks!$I:$I,"&lt;="&amp;INDEX(Weeks!$D:$D,MATCH($C2014,Weeks!$A:$A,0)),Tasks!$I:$I,"&lt;&gt;")/COUNTIFS(Tasks!$A:$A,$A2014,Tasks!$B:$B,$B2014,Tasks!$C:$C,$G2014)*100,0),"")</f>
        <v/>
      </c>
    </row>
    <row r="2015" spans="1:8" ht="15" hidden="1" customHeight="1">
      <c r="A2015" t="s">
        <v>102</v>
      </c>
      <c r="B2015" t="s">
        <v>104</v>
      </c>
      <c r="C2015">
        <v>38</v>
      </c>
      <c r="D2015">
        <v>9</v>
      </c>
      <c r="E2015">
        <v>3</v>
      </c>
      <c r="F2015">
        <v>1</v>
      </c>
      <c r="G2015" t="s">
        <v>120</v>
      </c>
      <c r="H2015" t="str">
        <f>IFERROR(ROUND(COUNTIFS(Tasks!$A:$A,$A2015,Tasks!$B:$B,$B2015,Tasks!$C:$C,$G2015,Tasks!$I:$I,"&lt;="&amp;INDEX(Weeks!$D:$D,MATCH($C2015,Weeks!$A:$A,0)),Tasks!$I:$I,"&lt;&gt;")/COUNTIFS(Tasks!$A:$A,$A2015,Tasks!$B:$B,$B2015,Tasks!$C:$C,$G2015)*100,0),"")</f>
        <v/>
      </c>
    </row>
    <row r="2016" spans="1:8" ht="15" hidden="1" customHeight="1">
      <c r="A2016" t="s">
        <v>102</v>
      </c>
      <c r="B2016" t="s">
        <v>104</v>
      </c>
      <c r="C2016">
        <v>39</v>
      </c>
      <c r="D2016">
        <v>9</v>
      </c>
      <c r="E2016">
        <v>4</v>
      </c>
      <c r="F2016">
        <v>1</v>
      </c>
      <c r="G2016" t="s">
        <v>120</v>
      </c>
      <c r="H2016" t="str">
        <f>IFERROR(ROUND(COUNTIFS(Tasks!$A:$A,$A2016,Tasks!$B:$B,$B2016,Tasks!$C:$C,$G2016,Tasks!$I:$I,"&lt;="&amp;INDEX(Weeks!$D:$D,MATCH($C2016,Weeks!$A:$A,0)),Tasks!$I:$I,"&lt;&gt;")/COUNTIFS(Tasks!$A:$A,$A2016,Tasks!$B:$B,$B2016,Tasks!$C:$C,$G2016)*100,0),"")</f>
        <v/>
      </c>
    </row>
    <row r="2017" spans="1:8" ht="15" hidden="1" customHeight="1">
      <c r="A2017" t="s">
        <v>102</v>
      </c>
      <c r="B2017" t="s">
        <v>104</v>
      </c>
      <c r="C2017">
        <v>40</v>
      </c>
      <c r="D2017">
        <v>10</v>
      </c>
      <c r="E2017">
        <v>1</v>
      </c>
      <c r="F2017">
        <v>1</v>
      </c>
      <c r="G2017" t="s">
        <v>120</v>
      </c>
      <c r="H2017" t="str">
        <f>IFERROR(ROUND(COUNTIFS(Tasks!$A:$A,$A2017,Tasks!$B:$B,$B2017,Tasks!$C:$C,$G2017,Tasks!$I:$I,"&lt;="&amp;INDEX(Weeks!$D:$D,MATCH($C2017,Weeks!$A:$A,0)),Tasks!$I:$I,"&lt;&gt;")/COUNTIFS(Tasks!$A:$A,$A2017,Tasks!$B:$B,$B2017,Tasks!$C:$C,$G2017)*100,0),"")</f>
        <v/>
      </c>
    </row>
    <row r="2018" spans="1:8" ht="15" hidden="1" customHeight="1">
      <c r="A2018" t="s">
        <v>102</v>
      </c>
      <c r="B2018" t="s">
        <v>104</v>
      </c>
      <c r="C2018">
        <v>41</v>
      </c>
      <c r="D2018">
        <v>10</v>
      </c>
      <c r="E2018">
        <v>2</v>
      </c>
      <c r="F2018">
        <v>1</v>
      </c>
      <c r="G2018" t="s">
        <v>120</v>
      </c>
      <c r="H2018" t="str">
        <f>IFERROR(ROUND(COUNTIFS(Tasks!$A:$A,$A2018,Tasks!$B:$B,$B2018,Tasks!$C:$C,$G2018,Tasks!$I:$I,"&lt;="&amp;INDEX(Weeks!$D:$D,MATCH($C2018,Weeks!$A:$A,0)),Tasks!$I:$I,"&lt;&gt;")/COUNTIFS(Tasks!$A:$A,$A2018,Tasks!$B:$B,$B2018,Tasks!$C:$C,$G2018)*100,0),"")</f>
        <v/>
      </c>
    </row>
    <row r="2019" spans="1:8" ht="15" hidden="1" customHeight="1">
      <c r="A2019" t="s">
        <v>102</v>
      </c>
      <c r="B2019" t="s">
        <v>104</v>
      </c>
      <c r="C2019">
        <v>42</v>
      </c>
      <c r="D2019">
        <v>10</v>
      </c>
      <c r="E2019">
        <v>3</v>
      </c>
      <c r="F2019">
        <v>1</v>
      </c>
      <c r="G2019" t="s">
        <v>120</v>
      </c>
      <c r="H2019" t="str">
        <f>IFERROR(ROUND(COUNTIFS(Tasks!$A:$A,$A2019,Tasks!$B:$B,$B2019,Tasks!$C:$C,$G2019,Tasks!$I:$I,"&lt;="&amp;INDEX(Weeks!$D:$D,MATCH($C2019,Weeks!$A:$A,0)),Tasks!$I:$I,"&lt;&gt;")/COUNTIFS(Tasks!$A:$A,$A2019,Tasks!$B:$B,$B2019,Tasks!$C:$C,$G2019)*100,0),"")</f>
        <v/>
      </c>
    </row>
    <row r="2020" spans="1:8" ht="15" hidden="1" customHeight="1">
      <c r="A2020" t="s">
        <v>102</v>
      </c>
      <c r="B2020" t="s">
        <v>104</v>
      </c>
      <c r="C2020">
        <v>43</v>
      </c>
      <c r="D2020">
        <v>10</v>
      </c>
      <c r="E2020">
        <v>4</v>
      </c>
      <c r="F2020">
        <v>1</v>
      </c>
      <c r="G2020" t="s">
        <v>120</v>
      </c>
      <c r="H2020" t="str">
        <f>IFERROR(ROUND(COUNTIFS(Tasks!$A:$A,$A2020,Tasks!$B:$B,$B2020,Tasks!$C:$C,$G2020,Tasks!$I:$I,"&lt;="&amp;INDEX(Weeks!$D:$D,MATCH($C2020,Weeks!$A:$A,0)),Tasks!$I:$I,"&lt;&gt;")/COUNTIFS(Tasks!$A:$A,$A2020,Tasks!$B:$B,$B2020,Tasks!$C:$C,$G2020)*100,0),"")</f>
        <v/>
      </c>
    </row>
    <row r="2021" spans="1:8" ht="15" hidden="1" customHeight="1">
      <c r="A2021" t="s">
        <v>102</v>
      </c>
      <c r="B2021" t="s">
        <v>104</v>
      </c>
      <c r="C2021">
        <v>44</v>
      </c>
      <c r="D2021">
        <v>10</v>
      </c>
      <c r="E2021">
        <v>5</v>
      </c>
      <c r="F2021">
        <v>1</v>
      </c>
      <c r="G2021" t="s">
        <v>120</v>
      </c>
      <c r="H2021" t="str">
        <f>IFERROR(ROUND(COUNTIFS(Tasks!$A:$A,$A2021,Tasks!$B:$B,$B2021,Tasks!$C:$C,$G2021,Tasks!$I:$I,"&lt;="&amp;INDEX(Weeks!$D:$D,MATCH($C2021,Weeks!$A:$A,0)),Tasks!$I:$I,"&lt;&gt;")/COUNTIFS(Tasks!$A:$A,$A2021,Tasks!$B:$B,$B2021,Tasks!$C:$C,$G2021)*100,0),"")</f>
        <v/>
      </c>
    </row>
    <row r="2022" spans="1:8" ht="15" hidden="1" customHeight="1">
      <c r="A2022" t="s">
        <v>102</v>
      </c>
      <c r="B2022" t="s">
        <v>104</v>
      </c>
      <c r="C2022">
        <v>45</v>
      </c>
      <c r="D2022">
        <v>11</v>
      </c>
      <c r="E2022">
        <v>1</v>
      </c>
      <c r="F2022">
        <v>1</v>
      </c>
      <c r="G2022" t="s">
        <v>120</v>
      </c>
      <c r="H2022" t="str">
        <f>IFERROR(ROUND(COUNTIFS(Tasks!$A:$A,$A2022,Tasks!$B:$B,$B2022,Tasks!$C:$C,$G2022,Tasks!$I:$I,"&lt;="&amp;INDEX(Weeks!$D:$D,MATCH($C2022,Weeks!$A:$A,0)),Tasks!$I:$I,"&lt;&gt;")/COUNTIFS(Tasks!$A:$A,$A2022,Tasks!$B:$B,$B2022,Tasks!$C:$C,$G2022)*100,0),"")</f>
        <v/>
      </c>
    </row>
    <row r="2023" spans="1:8" ht="15" hidden="1" customHeight="1">
      <c r="A2023" t="s">
        <v>102</v>
      </c>
      <c r="B2023" t="s">
        <v>104</v>
      </c>
      <c r="C2023">
        <v>46</v>
      </c>
      <c r="D2023">
        <v>11</v>
      </c>
      <c r="E2023">
        <v>2</v>
      </c>
      <c r="F2023">
        <v>1</v>
      </c>
      <c r="G2023" t="s">
        <v>120</v>
      </c>
      <c r="H2023" t="str">
        <f>IFERROR(ROUND(COUNTIFS(Tasks!$A:$A,$A2023,Tasks!$B:$B,$B2023,Tasks!$C:$C,$G2023,Tasks!$I:$I,"&lt;="&amp;INDEX(Weeks!$D:$D,MATCH($C2023,Weeks!$A:$A,0)),Tasks!$I:$I,"&lt;&gt;")/COUNTIFS(Tasks!$A:$A,$A2023,Tasks!$B:$B,$B2023,Tasks!$C:$C,$G2023)*100,0),"")</f>
        <v/>
      </c>
    </row>
    <row r="2024" spans="1:8" ht="15" hidden="1" customHeight="1">
      <c r="A2024" t="s">
        <v>102</v>
      </c>
      <c r="B2024" t="s">
        <v>104</v>
      </c>
      <c r="C2024">
        <v>47</v>
      </c>
      <c r="D2024">
        <v>11</v>
      </c>
      <c r="E2024">
        <v>3</v>
      </c>
      <c r="F2024">
        <v>1</v>
      </c>
      <c r="G2024" t="s">
        <v>120</v>
      </c>
      <c r="H2024" t="str">
        <f>IFERROR(ROUND(COUNTIFS(Tasks!$A:$A,$A2024,Tasks!$B:$B,$B2024,Tasks!$C:$C,$G2024,Tasks!$I:$I,"&lt;="&amp;INDEX(Weeks!$D:$D,MATCH($C2024,Weeks!$A:$A,0)),Tasks!$I:$I,"&lt;&gt;")/COUNTIFS(Tasks!$A:$A,$A2024,Tasks!$B:$B,$B2024,Tasks!$C:$C,$G2024)*100,0),"")</f>
        <v/>
      </c>
    </row>
    <row r="2025" spans="1:8" ht="15" hidden="1" customHeight="1">
      <c r="A2025" t="s">
        <v>102</v>
      </c>
      <c r="B2025" t="s">
        <v>104</v>
      </c>
      <c r="C2025">
        <v>48</v>
      </c>
      <c r="D2025">
        <v>11</v>
      </c>
      <c r="E2025">
        <v>4</v>
      </c>
      <c r="F2025">
        <v>1</v>
      </c>
      <c r="G2025" t="s">
        <v>120</v>
      </c>
      <c r="H2025" t="str">
        <f>IFERROR(ROUND(COUNTIFS(Tasks!$A:$A,$A2025,Tasks!$B:$B,$B2025,Tasks!$C:$C,$G2025,Tasks!$I:$I,"&lt;="&amp;INDEX(Weeks!$D:$D,MATCH($C2025,Weeks!$A:$A,0)),Tasks!$I:$I,"&lt;&gt;")/COUNTIFS(Tasks!$A:$A,$A2025,Tasks!$B:$B,$B2025,Tasks!$C:$C,$G2025)*100,0),"")</f>
        <v/>
      </c>
    </row>
    <row r="2026" spans="1:8" ht="15" hidden="1" customHeight="1">
      <c r="A2026" t="s">
        <v>102</v>
      </c>
      <c r="B2026" t="s">
        <v>104</v>
      </c>
      <c r="C2026">
        <v>49</v>
      </c>
      <c r="D2026">
        <v>12</v>
      </c>
      <c r="E2026">
        <v>1</v>
      </c>
      <c r="F2026">
        <v>1</v>
      </c>
      <c r="G2026" t="s">
        <v>120</v>
      </c>
      <c r="H2026" t="str">
        <f>IFERROR(ROUND(COUNTIFS(Tasks!$A:$A,$A2026,Tasks!$B:$B,$B2026,Tasks!$C:$C,$G2026,Tasks!$I:$I,"&lt;="&amp;INDEX(Weeks!$D:$D,MATCH($C2026,Weeks!$A:$A,0)),Tasks!$I:$I,"&lt;&gt;")/COUNTIFS(Tasks!$A:$A,$A2026,Tasks!$B:$B,$B2026,Tasks!$C:$C,$G2026)*100,0),"")</f>
        <v/>
      </c>
    </row>
    <row r="2027" spans="1:8" ht="15" hidden="1" customHeight="1">
      <c r="A2027" t="s">
        <v>102</v>
      </c>
      <c r="B2027" t="s">
        <v>104</v>
      </c>
      <c r="C2027">
        <v>50</v>
      </c>
      <c r="D2027">
        <v>12</v>
      </c>
      <c r="E2027">
        <v>2</v>
      </c>
      <c r="F2027">
        <v>1</v>
      </c>
      <c r="G2027" t="s">
        <v>120</v>
      </c>
      <c r="H2027" t="str">
        <f>IFERROR(ROUND(COUNTIFS(Tasks!$A:$A,$A2027,Tasks!$B:$B,$B2027,Tasks!$C:$C,$G2027,Tasks!$I:$I,"&lt;="&amp;INDEX(Weeks!$D:$D,MATCH($C2027,Weeks!$A:$A,0)),Tasks!$I:$I,"&lt;&gt;")/COUNTIFS(Tasks!$A:$A,$A2027,Tasks!$B:$B,$B2027,Tasks!$C:$C,$G2027)*100,0),"")</f>
        <v/>
      </c>
    </row>
    <row r="2028" spans="1:8" ht="15" hidden="1" customHeight="1">
      <c r="A2028" t="s">
        <v>102</v>
      </c>
      <c r="B2028" t="s">
        <v>104</v>
      </c>
      <c r="C2028">
        <v>51</v>
      </c>
      <c r="D2028">
        <v>12</v>
      </c>
      <c r="E2028">
        <v>3</v>
      </c>
      <c r="F2028">
        <v>1</v>
      </c>
      <c r="G2028" t="s">
        <v>120</v>
      </c>
      <c r="H2028" t="str">
        <f>IFERROR(ROUND(COUNTIFS(Tasks!$A:$A,$A2028,Tasks!$B:$B,$B2028,Tasks!$C:$C,$G2028,Tasks!$I:$I,"&lt;="&amp;INDEX(Weeks!$D:$D,MATCH($C2028,Weeks!$A:$A,0)),Tasks!$I:$I,"&lt;&gt;")/COUNTIFS(Tasks!$A:$A,$A2028,Tasks!$B:$B,$B2028,Tasks!$C:$C,$G2028)*100,0),"")</f>
        <v/>
      </c>
    </row>
    <row r="2029" spans="1:8" ht="15" hidden="1" customHeight="1">
      <c r="A2029" t="s">
        <v>102</v>
      </c>
      <c r="B2029" t="s">
        <v>104</v>
      </c>
      <c r="C2029">
        <v>52</v>
      </c>
      <c r="D2029">
        <v>12</v>
      </c>
      <c r="E2029">
        <v>4</v>
      </c>
      <c r="F2029">
        <v>1</v>
      </c>
      <c r="G2029" t="s">
        <v>120</v>
      </c>
      <c r="H2029" t="str">
        <f>IFERROR(ROUND(COUNTIFS(Tasks!$A:$A,$A2029,Tasks!$B:$B,$B2029,Tasks!$C:$C,$G2029,Tasks!$I:$I,"&lt;="&amp;INDEX(Weeks!$D:$D,MATCH($C2029,Weeks!$A:$A,0)),Tasks!$I:$I,"&lt;&gt;")/COUNTIFS(Tasks!$A:$A,$A2029,Tasks!$B:$B,$B2029,Tasks!$C:$C,$G2029)*100,0),"")</f>
        <v/>
      </c>
    </row>
    <row r="2030" spans="1:8" ht="15" hidden="1" customHeight="1">
      <c r="A2030" t="s">
        <v>102</v>
      </c>
      <c r="B2030" t="s">
        <v>104</v>
      </c>
      <c r="C2030">
        <v>1</v>
      </c>
      <c r="D2030">
        <v>1</v>
      </c>
      <c r="E2030">
        <v>1</v>
      </c>
      <c r="F2030">
        <v>2</v>
      </c>
      <c r="G2030" t="s">
        <v>121</v>
      </c>
      <c r="H2030" t="str">
        <f>IFERROR(ROUND(COUNTIFS(Tasks!$A:$A,$A2030,Tasks!$B:$B,$B2030,Tasks!$C:$C,$G2030,Tasks!$I:$I,"&lt;="&amp;INDEX(Weeks!$D:$D,MATCH($C2030,Weeks!$A:$A,0)),Tasks!$I:$I,"&lt;&gt;")/COUNTIFS(Tasks!$A:$A,$A2030,Tasks!$B:$B,$B2030,Tasks!$C:$C,$G2030)*100,0),"")</f>
        <v/>
      </c>
    </row>
    <row r="2031" spans="1:8" ht="15" hidden="1" customHeight="1">
      <c r="A2031" t="s">
        <v>102</v>
      </c>
      <c r="B2031" t="s">
        <v>104</v>
      </c>
      <c r="C2031">
        <v>2</v>
      </c>
      <c r="D2031">
        <v>1</v>
      </c>
      <c r="E2031">
        <v>2</v>
      </c>
      <c r="F2031">
        <v>2</v>
      </c>
      <c r="G2031" t="s">
        <v>121</v>
      </c>
      <c r="H2031" t="str">
        <f>IFERROR(ROUND(COUNTIFS(Tasks!$A:$A,$A2031,Tasks!$B:$B,$B2031,Tasks!$C:$C,$G2031,Tasks!$I:$I,"&lt;="&amp;INDEX(Weeks!$D:$D,MATCH($C2031,Weeks!$A:$A,0)),Tasks!$I:$I,"&lt;&gt;")/COUNTIFS(Tasks!$A:$A,$A2031,Tasks!$B:$B,$B2031,Tasks!$C:$C,$G2031)*100,0),"")</f>
        <v/>
      </c>
    </row>
    <row r="2032" spans="1:8" ht="15" hidden="1" customHeight="1">
      <c r="A2032" t="s">
        <v>102</v>
      </c>
      <c r="B2032" t="s">
        <v>104</v>
      </c>
      <c r="C2032">
        <v>3</v>
      </c>
      <c r="D2032">
        <v>1</v>
      </c>
      <c r="E2032">
        <v>3</v>
      </c>
      <c r="F2032">
        <v>2</v>
      </c>
      <c r="G2032" t="s">
        <v>121</v>
      </c>
      <c r="H2032" t="str">
        <f>IFERROR(ROUND(COUNTIFS(Tasks!$A:$A,$A2032,Tasks!$B:$B,$B2032,Tasks!$C:$C,$G2032,Tasks!$I:$I,"&lt;="&amp;INDEX(Weeks!$D:$D,MATCH($C2032,Weeks!$A:$A,0)),Tasks!$I:$I,"&lt;&gt;")/COUNTIFS(Tasks!$A:$A,$A2032,Tasks!$B:$B,$B2032,Tasks!$C:$C,$G2032)*100,0),"")</f>
        <v/>
      </c>
    </row>
    <row r="2033" spans="1:8" ht="15" hidden="1" customHeight="1">
      <c r="A2033" t="s">
        <v>102</v>
      </c>
      <c r="B2033" t="s">
        <v>104</v>
      </c>
      <c r="C2033">
        <v>4</v>
      </c>
      <c r="D2033">
        <v>1</v>
      </c>
      <c r="E2033">
        <v>4</v>
      </c>
      <c r="F2033">
        <v>2</v>
      </c>
      <c r="G2033" t="s">
        <v>121</v>
      </c>
      <c r="H2033" t="str">
        <f>IFERROR(ROUND(COUNTIFS(Tasks!$A:$A,$A2033,Tasks!$B:$B,$B2033,Tasks!$C:$C,$G2033,Tasks!$I:$I,"&lt;="&amp;INDEX(Weeks!$D:$D,MATCH($C2033,Weeks!$A:$A,0)),Tasks!$I:$I,"&lt;&gt;")/COUNTIFS(Tasks!$A:$A,$A2033,Tasks!$B:$B,$B2033,Tasks!$C:$C,$G2033)*100,0),"")</f>
        <v/>
      </c>
    </row>
    <row r="2034" spans="1:8" ht="15" hidden="1" customHeight="1">
      <c r="A2034" t="s">
        <v>102</v>
      </c>
      <c r="B2034" t="s">
        <v>104</v>
      </c>
      <c r="C2034">
        <v>5</v>
      </c>
      <c r="D2034">
        <v>1</v>
      </c>
      <c r="E2034">
        <v>5</v>
      </c>
      <c r="F2034">
        <v>2</v>
      </c>
      <c r="G2034" t="s">
        <v>121</v>
      </c>
      <c r="H2034" t="str">
        <f>IFERROR(ROUND(COUNTIFS(Tasks!$A:$A,$A2034,Tasks!$B:$B,$B2034,Tasks!$C:$C,$G2034,Tasks!$I:$I,"&lt;="&amp;INDEX(Weeks!$D:$D,MATCH($C2034,Weeks!$A:$A,0)),Tasks!$I:$I,"&lt;&gt;")/COUNTIFS(Tasks!$A:$A,$A2034,Tasks!$B:$B,$B2034,Tasks!$C:$C,$G2034)*100,0),"")</f>
        <v/>
      </c>
    </row>
    <row r="2035" spans="1:8" ht="15" hidden="1" customHeight="1">
      <c r="A2035" t="s">
        <v>102</v>
      </c>
      <c r="B2035" t="s">
        <v>104</v>
      </c>
      <c r="C2035">
        <v>6</v>
      </c>
      <c r="D2035">
        <v>2</v>
      </c>
      <c r="E2035">
        <v>1</v>
      </c>
      <c r="F2035">
        <v>2</v>
      </c>
      <c r="G2035" t="s">
        <v>121</v>
      </c>
      <c r="H2035" t="str">
        <f>IFERROR(ROUND(COUNTIFS(Tasks!$A:$A,$A2035,Tasks!$B:$B,$B2035,Tasks!$C:$C,$G2035,Tasks!$I:$I,"&lt;="&amp;INDEX(Weeks!$D:$D,MATCH($C2035,Weeks!$A:$A,0)),Tasks!$I:$I,"&lt;&gt;")/COUNTIFS(Tasks!$A:$A,$A2035,Tasks!$B:$B,$B2035,Tasks!$C:$C,$G2035)*100,0),"")</f>
        <v/>
      </c>
    </row>
    <row r="2036" spans="1:8" ht="15" hidden="1" customHeight="1">
      <c r="A2036" t="s">
        <v>102</v>
      </c>
      <c r="B2036" t="s">
        <v>104</v>
      </c>
      <c r="C2036">
        <v>7</v>
      </c>
      <c r="D2036">
        <v>2</v>
      </c>
      <c r="E2036">
        <v>2</v>
      </c>
      <c r="F2036">
        <v>2</v>
      </c>
      <c r="G2036" t="s">
        <v>121</v>
      </c>
      <c r="H2036" t="str">
        <f>IFERROR(ROUND(COUNTIFS(Tasks!$A:$A,$A2036,Tasks!$B:$B,$B2036,Tasks!$C:$C,$G2036,Tasks!$I:$I,"&lt;="&amp;INDEX(Weeks!$D:$D,MATCH($C2036,Weeks!$A:$A,0)),Tasks!$I:$I,"&lt;&gt;")/COUNTIFS(Tasks!$A:$A,$A2036,Tasks!$B:$B,$B2036,Tasks!$C:$C,$G2036)*100,0),"")</f>
        <v/>
      </c>
    </row>
    <row r="2037" spans="1:8" ht="15" hidden="1" customHeight="1">
      <c r="A2037" t="s">
        <v>102</v>
      </c>
      <c r="B2037" t="s">
        <v>104</v>
      </c>
      <c r="C2037">
        <v>8</v>
      </c>
      <c r="D2037">
        <v>2</v>
      </c>
      <c r="E2037">
        <v>3</v>
      </c>
      <c r="F2037">
        <v>2</v>
      </c>
      <c r="G2037" t="s">
        <v>121</v>
      </c>
      <c r="H2037" t="str">
        <f>IFERROR(ROUND(COUNTIFS(Tasks!$A:$A,$A2037,Tasks!$B:$B,$B2037,Tasks!$C:$C,$G2037,Tasks!$I:$I,"&lt;="&amp;INDEX(Weeks!$D:$D,MATCH($C2037,Weeks!$A:$A,0)),Tasks!$I:$I,"&lt;&gt;")/COUNTIFS(Tasks!$A:$A,$A2037,Tasks!$B:$B,$B2037,Tasks!$C:$C,$G2037)*100,0),"")</f>
        <v/>
      </c>
    </row>
    <row r="2038" spans="1:8" ht="15" hidden="1" customHeight="1">
      <c r="A2038" t="s">
        <v>102</v>
      </c>
      <c r="B2038" t="s">
        <v>104</v>
      </c>
      <c r="C2038">
        <v>9</v>
      </c>
      <c r="D2038">
        <v>2</v>
      </c>
      <c r="E2038">
        <v>4</v>
      </c>
      <c r="F2038">
        <v>2</v>
      </c>
      <c r="G2038" t="s">
        <v>121</v>
      </c>
      <c r="H2038" t="str">
        <f>IFERROR(ROUND(COUNTIFS(Tasks!$A:$A,$A2038,Tasks!$B:$B,$B2038,Tasks!$C:$C,$G2038,Tasks!$I:$I,"&lt;="&amp;INDEX(Weeks!$D:$D,MATCH($C2038,Weeks!$A:$A,0)),Tasks!$I:$I,"&lt;&gt;")/COUNTIFS(Tasks!$A:$A,$A2038,Tasks!$B:$B,$B2038,Tasks!$C:$C,$G2038)*100,0),"")</f>
        <v/>
      </c>
    </row>
    <row r="2039" spans="1:8" ht="15" hidden="1" customHeight="1">
      <c r="A2039" t="s">
        <v>102</v>
      </c>
      <c r="B2039" t="s">
        <v>104</v>
      </c>
      <c r="C2039">
        <v>10</v>
      </c>
      <c r="D2039">
        <v>3</v>
      </c>
      <c r="E2039">
        <v>1</v>
      </c>
      <c r="F2039">
        <v>2</v>
      </c>
      <c r="G2039" t="s">
        <v>121</v>
      </c>
      <c r="H2039" t="str">
        <f>IFERROR(ROUND(COUNTIFS(Tasks!$A:$A,$A2039,Tasks!$B:$B,$B2039,Tasks!$C:$C,$G2039,Tasks!$I:$I,"&lt;="&amp;INDEX(Weeks!$D:$D,MATCH($C2039,Weeks!$A:$A,0)),Tasks!$I:$I,"&lt;&gt;")/COUNTIFS(Tasks!$A:$A,$A2039,Tasks!$B:$B,$B2039,Tasks!$C:$C,$G2039)*100,0),"")</f>
        <v/>
      </c>
    </row>
    <row r="2040" spans="1:8" ht="15" hidden="1" customHeight="1">
      <c r="A2040" t="s">
        <v>102</v>
      </c>
      <c r="B2040" t="s">
        <v>104</v>
      </c>
      <c r="C2040">
        <v>11</v>
      </c>
      <c r="D2040">
        <v>3</v>
      </c>
      <c r="E2040">
        <v>2</v>
      </c>
      <c r="F2040">
        <v>2</v>
      </c>
      <c r="G2040" t="s">
        <v>121</v>
      </c>
      <c r="H2040" t="str">
        <f>IFERROR(ROUND(COUNTIFS(Tasks!$A:$A,$A2040,Tasks!$B:$B,$B2040,Tasks!$C:$C,$G2040,Tasks!$I:$I,"&lt;="&amp;INDEX(Weeks!$D:$D,MATCH($C2040,Weeks!$A:$A,0)),Tasks!$I:$I,"&lt;&gt;")/COUNTIFS(Tasks!$A:$A,$A2040,Tasks!$B:$B,$B2040,Tasks!$C:$C,$G2040)*100,0),"")</f>
        <v/>
      </c>
    </row>
    <row r="2041" spans="1:8" ht="15" hidden="1" customHeight="1">
      <c r="A2041" t="s">
        <v>102</v>
      </c>
      <c r="B2041" t="s">
        <v>104</v>
      </c>
      <c r="C2041">
        <v>12</v>
      </c>
      <c r="D2041">
        <v>3</v>
      </c>
      <c r="E2041">
        <v>3</v>
      </c>
      <c r="F2041">
        <v>2</v>
      </c>
      <c r="G2041" t="s">
        <v>121</v>
      </c>
      <c r="H2041" t="str">
        <f>IFERROR(ROUND(COUNTIFS(Tasks!$A:$A,$A2041,Tasks!$B:$B,$B2041,Tasks!$C:$C,$G2041,Tasks!$I:$I,"&lt;="&amp;INDEX(Weeks!$D:$D,MATCH($C2041,Weeks!$A:$A,0)),Tasks!$I:$I,"&lt;&gt;")/COUNTIFS(Tasks!$A:$A,$A2041,Tasks!$B:$B,$B2041,Tasks!$C:$C,$G2041)*100,0),"")</f>
        <v/>
      </c>
    </row>
    <row r="2042" spans="1:8" ht="15" hidden="1" customHeight="1">
      <c r="A2042" t="s">
        <v>102</v>
      </c>
      <c r="B2042" t="s">
        <v>104</v>
      </c>
      <c r="C2042">
        <v>13</v>
      </c>
      <c r="D2042">
        <v>3</v>
      </c>
      <c r="E2042">
        <v>4</v>
      </c>
      <c r="F2042">
        <v>2</v>
      </c>
      <c r="G2042" t="s">
        <v>121</v>
      </c>
      <c r="H2042" t="str">
        <f>IFERROR(ROUND(COUNTIFS(Tasks!$A:$A,$A2042,Tasks!$B:$B,$B2042,Tasks!$C:$C,$G2042,Tasks!$I:$I,"&lt;="&amp;INDEX(Weeks!$D:$D,MATCH($C2042,Weeks!$A:$A,0)),Tasks!$I:$I,"&lt;&gt;")/COUNTIFS(Tasks!$A:$A,$A2042,Tasks!$B:$B,$B2042,Tasks!$C:$C,$G2042)*100,0),"")</f>
        <v/>
      </c>
    </row>
    <row r="2043" spans="1:8" ht="15" hidden="1" customHeight="1">
      <c r="A2043" t="s">
        <v>102</v>
      </c>
      <c r="B2043" t="s">
        <v>104</v>
      </c>
      <c r="C2043">
        <v>14</v>
      </c>
      <c r="D2043">
        <v>4</v>
      </c>
      <c r="E2043">
        <v>1</v>
      </c>
      <c r="F2043">
        <v>2</v>
      </c>
      <c r="G2043" t="s">
        <v>121</v>
      </c>
      <c r="H2043" t="str">
        <f>IFERROR(ROUND(COUNTIFS(Tasks!$A:$A,$A2043,Tasks!$B:$B,$B2043,Tasks!$C:$C,$G2043,Tasks!$I:$I,"&lt;="&amp;INDEX(Weeks!$D:$D,MATCH($C2043,Weeks!$A:$A,0)),Tasks!$I:$I,"&lt;&gt;")/COUNTIFS(Tasks!$A:$A,$A2043,Tasks!$B:$B,$B2043,Tasks!$C:$C,$G2043)*100,0),"")</f>
        <v/>
      </c>
    </row>
    <row r="2044" spans="1:8" ht="15" hidden="1" customHeight="1">
      <c r="A2044" t="s">
        <v>102</v>
      </c>
      <c r="B2044" t="s">
        <v>104</v>
      </c>
      <c r="C2044">
        <v>15</v>
      </c>
      <c r="D2044">
        <v>4</v>
      </c>
      <c r="E2044">
        <v>2</v>
      </c>
      <c r="F2044">
        <v>2</v>
      </c>
      <c r="G2044" t="s">
        <v>121</v>
      </c>
      <c r="H2044" t="str">
        <f>IFERROR(ROUND(COUNTIFS(Tasks!$A:$A,$A2044,Tasks!$B:$B,$B2044,Tasks!$C:$C,$G2044,Tasks!$I:$I,"&lt;="&amp;INDEX(Weeks!$D:$D,MATCH($C2044,Weeks!$A:$A,0)),Tasks!$I:$I,"&lt;&gt;")/COUNTIFS(Tasks!$A:$A,$A2044,Tasks!$B:$B,$B2044,Tasks!$C:$C,$G2044)*100,0),"")</f>
        <v/>
      </c>
    </row>
    <row r="2045" spans="1:8" ht="15" hidden="1" customHeight="1">
      <c r="A2045" t="s">
        <v>102</v>
      </c>
      <c r="B2045" t="s">
        <v>104</v>
      </c>
      <c r="C2045">
        <v>16</v>
      </c>
      <c r="D2045">
        <v>4</v>
      </c>
      <c r="E2045">
        <v>3</v>
      </c>
      <c r="F2045">
        <v>2</v>
      </c>
      <c r="G2045" t="s">
        <v>121</v>
      </c>
      <c r="H2045" t="str">
        <f>IFERROR(ROUND(COUNTIFS(Tasks!$A:$A,$A2045,Tasks!$B:$B,$B2045,Tasks!$C:$C,$G2045,Tasks!$I:$I,"&lt;="&amp;INDEX(Weeks!$D:$D,MATCH($C2045,Weeks!$A:$A,0)),Tasks!$I:$I,"&lt;&gt;")/COUNTIFS(Tasks!$A:$A,$A2045,Tasks!$B:$B,$B2045,Tasks!$C:$C,$G2045)*100,0),"")</f>
        <v/>
      </c>
    </row>
    <row r="2046" spans="1:8" ht="15" hidden="1" customHeight="1">
      <c r="A2046" t="s">
        <v>102</v>
      </c>
      <c r="B2046" t="s">
        <v>104</v>
      </c>
      <c r="C2046">
        <v>17</v>
      </c>
      <c r="D2046">
        <v>4</v>
      </c>
      <c r="E2046">
        <v>4</v>
      </c>
      <c r="F2046">
        <v>2</v>
      </c>
      <c r="G2046" t="s">
        <v>121</v>
      </c>
      <c r="H2046" t="str">
        <f>IFERROR(ROUND(COUNTIFS(Tasks!$A:$A,$A2046,Tasks!$B:$B,$B2046,Tasks!$C:$C,$G2046,Tasks!$I:$I,"&lt;="&amp;INDEX(Weeks!$D:$D,MATCH($C2046,Weeks!$A:$A,0)),Tasks!$I:$I,"&lt;&gt;")/COUNTIFS(Tasks!$A:$A,$A2046,Tasks!$B:$B,$B2046,Tasks!$C:$C,$G2046)*100,0),"")</f>
        <v/>
      </c>
    </row>
    <row r="2047" spans="1:8" ht="15" hidden="1" customHeight="1">
      <c r="A2047" t="s">
        <v>102</v>
      </c>
      <c r="B2047" t="s">
        <v>104</v>
      </c>
      <c r="C2047">
        <v>18</v>
      </c>
      <c r="D2047">
        <v>5</v>
      </c>
      <c r="E2047">
        <v>1</v>
      </c>
      <c r="F2047">
        <v>2</v>
      </c>
      <c r="G2047" t="s">
        <v>121</v>
      </c>
      <c r="H2047" t="str">
        <f>IFERROR(ROUND(COUNTIFS(Tasks!$A:$A,$A2047,Tasks!$B:$B,$B2047,Tasks!$C:$C,$G2047,Tasks!$I:$I,"&lt;="&amp;INDEX(Weeks!$D:$D,MATCH($C2047,Weeks!$A:$A,0)),Tasks!$I:$I,"&lt;&gt;")/COUNTIFS(Tasks!$A:$A,$A2047,Tasks!$B:$B,$B2047,Tasks!$C:$C,$G2047)*100,0),"")</f>
        <v/>
      </c>
    </row>
    <row r="2048" spans="1:8" ht="15" hidden="1" customHeight="1">
      <c r="A2048" t="s">
        <v>102</v>
      </c>
      <c r="B2048" t="s">
        <v>104</v>
      </c>
      <c r="C2048">
        <v>19</v>
      </c>
      <c r="D2048">
        <v>5</v>
      </c>
      <c r="E2048">
        <v>2</v>
      </c>
      <c r="F2048">
        <v>2</v>
      </c>
      <c r="G2048" t="s">
        <v>121</v>
      </c>
      <c r="H2048" t="str">
        <f>IFERROR(ROUND(COUNTIFS(Tasks!$A:$A,$A2048,Tasks!$B:$B,$B2048,Tasks!$C:$C,$G2048,Tasks!$I:$I,"&lt;="&amp;INDEX(Weeks!$D:$D,MATCH($C2048,Weeks!$A:$A,0)),Tasks!$I:$I,"&lt;&gt;")/COUNTIFS(Tasks!$A:$A,$A2048,Tasks!$B:$B,$B2048,Tasks!$C:$C,$G2048)*100,0),"")</f>
        <v/>
      </c>
    </row>
    <row r="2049" spans="1:8" ht="15" hidden="1" customHeight="1">
      <c r="A2049" t="s">
        <v>102</v>
      </c>
      <c r="B2049" t="s">
        <v>104</v>
      </c>
      <c r="C2049">
        <v>20</v>
      </c>
      <c r="D2049">
        <v>5</v>
      </c>
      <c r="E2049">
        <v>3</v>
      </c>
      <c r="F2049">
        <v>2</v>
      </c>
      <c r="G2049" t="s">
        <v>121</v>
      </c>
      <c r="H2049" t="str">
        <f>IFERROR(ROUND(COUNTIFS(Tasks!$A:$A,$A2049,Tasks!$B:$B,$B2049,Tasks!$C:$C,$G2049,Tasks!$I:$I,"&lt;="&amp;INDEX(Weeks!$D:$D,MATCH($C2049,Weeks!$A:$A,0)),Tasks!$I:$I,"&lt;&gt;")/COUNTIFS(Tasks!$A:$A,$A2049,Tasks!$B:$B,$B2049,Tasks!$C:$C,$G2049)*100,0),"")</f>
        <v/>
      </c>
    </row>
    <row r="2050" spans="1:8" ht="15" hidden="1" customHeight="1">
      <c r="A2050" t="s">
        <v>102</v>
      </c>
      <c r="B2050" t="s">
        <v>104</v>
      </c>
      <c r="C2050">
        <v>21</v>
      </c>
      <c r="D2050">
        <v>5</v>
      </c>
      <c r="E2050">
        <v>4</v>
      </c>
      <c r="F2050">
        <v>2</v>
      </c>
      <c r="G2050" t="s">
        <v>121</v>
      </c>
      <c r="H2050" t="str">
        <f>IFERROR(ROUND(COUNTIFS(Tasks!$A:$A,$A2050,Tasks!$B:$B,$B2050,Tasks!$C:$C,$G2050,Tasks!$I:$I,"&lt;="&amp;INDEX(Weeks!$D:$D,MATCH($C2050,Weeks!$A:$A,0)),Tasks!$I:$I,"&lt;&gt;")/COUNTIFS(Tasks!$A:$A,$A2050,Tasks!$B:$B,$B2050,Tasks!$C:$C,$G2050)*100,0),"")</f>
        <v/>
      </c>
    </row>
    <row r="2051" spans="1:8" ht="15" hidden="1" customHeight="1">
      <c r="A2051" t="s">
        <v>102</v>
      </c>
      <c r="B2051" t="s">
        <v>104</v>
      </c>
      <c r="C2051">
        <v>22</v>
      </c>
      <c r="D2051">
        <v>5</v>
      </c>
      <c r="E2051">
        <v>5</v>
      </c>
      <c r="F2051">
        <v>2</v>
      </c>
      <c r="G2051" t="s">
        <v>121</v>
      </c>
      <c r="H2051" t="str">
        <f>IFERROR(ROUND(COUNTIFS(Tasks!$A:$A,$A2051,Tasks!$B:$B,$B2051,Tasks!$C:$C,$G2051,Tasks!$I:$I,"&lt;="&amp;INDEX(Weeks!$D:$D,MATCH($C2051,Weeks!$A:$A,0)),Tasks!$I:$I,"&lt;&gt;")/COUNTIFS(Tasks!$A:$A,$A2051,Tasks!$B:$B,$B2051,Tasks!$C:$C,$G2051)*100,0),"")</f>
        <v/>
      </c>
    </row>
    <row r="2052" spans="1:8" ht="15" hidden="1" customHeight="1">
      <c r="A2052" t="s">
        <v>102</v>
      </c>
      <c r="B2052" t="s">
        <v>104</v>
      </c>
      <c r="C2052">
        <v>23</v>
      </c>
      <c r="D2052">
        <v>6</v>
      </c>
      <c r="E2052">
        <v>1</v>
      </c>
      <c r="F2052">
        <v>2</v>
      </c>
      <c r="G2052" t="s">
        <v>121</v>
      </c>
      <c r="H2052" t="str">
        <f>IFERROR(ROUND(COUNTIFS(Tasks!$A:$A,$A2052,Tasks!$B:$B,$B2052,Tasks!$C:$C,$G2052,Tasks!$I:$I,"&lt;="&amp;INDEX(Weeks!$D:$D,MATCH($C2052,Weeks!$A:$A,0)),Tasks!$I:$I,"&lt;&gt;")/COUNTIFS(Tasks!$A:$A,$A2052,Tasks!$B:$B,$B2052,Tasks!$C:$C,$G2052)*100,0),"")</f>
        <v/>
      </c>
    </row>
    <row r="2053" spans="1:8" ht="15" hidden="1" customHeight="1">
      <c r="A2053" t="s">
        <v>102</v>
      </c>
      <c r="B2053" t="s">
        <v>104</v>
      </c>
      <c r="C2053">
        <v>24</v>
      </c>
      <c r="D2053">
        <v>6</v>
      </c>
      <c r="E2053">
        <v>2</v>
      </c>
      <c r="F2053">
        <v>2</v>
      </c>
      <c r="G2053" t="s">
        <v>121</v>
      </c>
      <c r="H2053" t="str">
        <f>IFERROR(ROUND(COUNTIFS(Tasks!$A:$A,$A2053,Tasks!$B:$B,$B2053,Tasks!$C:$C,$G2053,Tasks!$I:$I,"&lt;="&amp;INDEX(Weeks!$D:$D,MATCH($C2053,Weeks!$A:$A,0)),Tasks!$I:$I,"&lt;&gt;")/COUNTIFS(Tasks!$A:$A,$A2053,Tasks!$B:$B,$B2053,Tasks!$C:$C,$G2053)*100,0),"")</f>
        <v/>
      </c>
    </row>
    <row r="2054" spans="1:8" ht="15" hidden="1" customHeight="1">
      <c r="A2054" t="s">
        <v>102</v>
      </c>
      <c r="B2054" t="s">
        <v>104</v>
      </c>
      <c r="C2054">
        <v>25</v>
      </c>
      <c r="D2054">
        <v>6</v>
      </c>
      <c r="E2054">
        <v>3</v>
      </c>
      <c r="F2054">
        <v>2</v>
      </c>
      <c r="G2054" t="s">
        <v>121</v>
      </c>
      <c r="H2054" t="str">
        <f>IFERROR(ROUND(COUNTIFS(Tasks!$A:$A,$A2054,Tasks!$B:$B,$B2054,Tasks!$C:$C,$G2054,Tasks!$I:$I,"&lt;="&amp;INDEX(Weeks!$D:$D,MATCH($C2054,Weeks!$A:$A,0)),Tasks!$I:$I,"&lt;&gt;")/COUNTIFS(Tasks!$A:$A,$A2054,Tasks!$B:$B,$B2054,Tasks!$C:$C,$G2054)*100,0),"")</f>
        <v/>
      </c>
    </row>
    <row r="2055" spans="1:8" ht="15" hidden="1" customHeight="1">
      <c r="A2055" t="s">
        <v>102</v>
      </c>
      <c r="B2055" t="s">
        <v>104</v>
      </c>
      <c r="C2055">
        <v>26</v>
      </c>
      <c r="D2055">
        <v>6</v>
      </c>
      <c r="E2055">
        <v>4</v>
      </c>
      <c r="F2055">
        <v>2</v>
      </c>
      <c r="G2055" t="s">
        <v>121</v>
      </c>
      <c r="H2055" t="str">
        <f>IFERROR(ROUND(COUNTIFS(Tasks!$A:$A,$A2055,Tasks!$B:$B,$B2055,Tasks!$C:$C,$G2055,Tasks!$I:$I,"&lt;="&amp;INDEX(Weeks!$D:$D,MATCH($C2055,Weeks!$A:$A,0)),Tasks!$I:$I,"&lt;&gt;")/COUNTIFS(Tasks!$A:$A,$A2055,Tasks!$B:$B,$B2055,Tasks!$C:$C,$G2055)*100,0),"")</f>
        <v/>
      </c>
    </row>
    <row r="2056" spans="1:8" ht="15" hidden="1" customHeight="1">
      <c r="A2056" t="s">
        <v>102</v>
      </c>
      <c r="B2056" t="s">
        <v>104</v>
      </c>
      <c r="C2056">
        <v>27</v>
      </c>
      <c r="D2056">
        <v>7</v>
      </c>
      <c r="E2056">
        <v>1</v>
      </c>
      <c r="F2056">
        <v>2</v>
      </c>
      <c r="G2056" t="s">
        <v>121</v>
      </c>
      <c r="H2056" t="str">
        <f>IFERROR(ROUND(COUNTIFS(Tasks!$A:$A,$A2056,Tasks!$B:$B,$B2056,Tasks!$C:$C,$G2056,Tasks!$I:$I,"&lt;="&amp;INDEX(Weeks!$D:$D,MATCH($C2056,Weeks!$A:$A,0)),Tasks!$I:$I,"&lt;&gt;")/COUNTIFS(Tasks!$A:$A,$A2056,Tasks!$B:$B,$B2056,Tasks!$C:$C,$G2056)*100,0),"")</f>
        <v/>
      </c>
    </row>
    <row r="2057" spans="1:8" ht="15" hidden="1" customHeight="1">
      <c r="A2057" t="s">
        <v>102</v>
      </c>
      <c r="B2057" t="s">
        <v>104</v>
      </c>
      <c r="C2057">
        <v>28</v>
      </c>
      <c r="D2057">
        <v>7</v>
      </c>
      <c r="E2057">
        <v>2</v>
      </c>
      <c r="F2057">
        <v>2</v>
      </c>
      <c r="G2057" t="s">
        <v>121</v>
      </c>
      <c r="H2057" t="str">
        <f>IFERROR(ROUND(COUNTIFS(Tasks!$A:$A,$A2057,Tasks!$B:$B,$B2057,Tasks!$C:$C,$G2057,Tasks!$I:$I,"&lt;="&amp;INDEX(Weeks!$D:$D,MATCH($C2057,Weeks!$A:$A,0)),Tasks!$I:$I,"&lt;&gt;")/COUNTIFS(Tasks!$A:$A,$A2057,Tasks!$B:$B,$B2057,Tasks!$C:$C,$G2057)*100,0),"")</f>
        <v/>
      </c>
    </row>
    <row r="2058" spans="1:8" ht="15" hidden="1" customHeight="1">
      <c r="A2058" t="s">
        <v>102</v>
      </c>
      <c r="B2058" t="s">
        <v>104</v>
      </c>
      <c r="C2058">
        <v>29</v>
      </c>
      <c r="D2058">
        <v>7</v>
      </c>
      <c r="E2058">
        <v>3</v>
      </c>
      <c r="F2058">
        <v>2</v>
      </c>
      <c r="G2058" t="s">
        <v>121</v>
      </c>
      <c r="H2058" t="str">
        <f>IFERROR(ROUND(COUNTIFS(Tasks!$A:$A,$A2058,Tasks!$B:$B,$B2058,Tasks!$C:$C,$G2058,Tasks!$I:$I,"&lt;="&amp;INDEX(Weeks!$D:$D,MATCH($C2058,Weeks!$A:$A,0)),Tasks!$I:$I,"&lt;&gt;")/COUNTIFS(Tasks!$A:$A,$A2058,Tasks!$B:$B,$B2058,Tasks!$C:$C,$G2058)*100,0),"")</f>
        <v/>
      </c>
    </row>
    <row r="2059" spans="1:8" ht="15" hidden="1" customHeight="1">
      <c r="A2059" t="s">
        <v>102</v>
      </c>
      <c r="B2059" t="s">
        <v>104</v>
      </c>
      <c r="C2059">
        <v>30</v>
      </c>
      <c r="D2059">
        <v>7</v>
      </c>
      <c r="E2059">
        <v>4</v>
      </c>
      <c r="F2059">
        <v>2</v>
      </c>
      <c r="G2059" t="s">
        <v>121</v>
      </c>
      <c r="H2059" t="str">
        <f>IFERROR(ROUND(COUNTIFS(Tasks!$A:$A,$A2059,Tasks!$B:$B,$B2059,Tasks!$C:$C,$G2059,Tasks!$I:$I,"&lt;="&amp;INDEX(Weeks!$D:$D,MATCH($C2059,Weeks!$A:$A,0)),Tasks!$I:$I,"&lt;&gt;")/COUNTIFS(Tasks!$A:$A,$A2059,Tasks!$B:$B,$B2059,Tasks!$C:$C,$G2059)*100,0),"")</f>
        <v/>
      </c>
    </row>
    <row r="2060" spans="1:8" ht="15" hidden="1" customHeight="1">
      <c r="A2060" t="s">
        <v>102</v>
      </c>
      <c r="B2060" t="s">
        <v>104</v>
      </c>
      <c r="C2060">
        <v>31</v>
      </c>
      <c r="D2060">
        <v>8</v>
      </c>
      <c r="E2060">
        <v>1</v>
      </c>
      <c r="F2060">
        <v>2</v>
      </c>
      <c r="G2060" t="s">
        <v>121</v>
      </c>
      <c r="H2060" t="str">
        <f>IFERROR(ROUND(COUNTIFS(Tasks!$A:$A,$A2060,Tasks!$B:$B,$B2060,Tasks!$C:$C,$G2060,Tasks!$I:$I,"&lt;="&amp;INDEX(Weeks!$D:$D,MATCH($C2060,Weeks!$A:$A,0)),Tasks!$I:$I,"&lt;&gt;")/COUNTIFS(Tasks!$A:$A,$A2060,Tasks!$B:$B,$B2060,Tasks!$C:$C,$G2060)*100,0),"")</f>
        <v/>
      </c>
    </row>
    <row r="2061" spans="1:8" ht="15" hidden="1" customHeight="1">
      <c r="A2061" t="s">
        <v>102</v>
      </c>
      <c r="B2061" t="s">
        <v>104</v>
      </c>
      <c r="C2061">
        <v>32</v>
      </c>
      <c r="D2061">
        <v>8</v>
      </c>
      <c r="E2061">
        <v>2</v>
      </c>
      <c r="F2061">
        <v>2</v>
      </c>
      <c r="G2061" t="s">
        <v>121</v>
      </c>
      <c r="H2061" t="str">
        <f>IFERROR(ROUND(COUNTIFS(Tasks!$A:$A,$A2061,Tasks!$B:$B,$B2061,Tasks!$C:$C,$G2061,Tasks!$I:$I,"&lt;="&amp;INDEX(Weeks!$D:$D,MATCH($C2061,Weeks!$A:$A,0)),Tasks!$I:$I,"&lt;&gt;")/COUNTIFS(Tasks!$A:$A,$A2061,Tasks!$B:$B,$B2061,Tasks!$C:$C,$G2061)*100,0),"")</f>
        <v/>
      </c>
    </row>
    <row r="2062" spans="1:8" ht="15" hidden="1" customHeight="1">
      <c r="A2062" t="s">
        <v>102</v>
      </c>
      <c r="B2062" t="s">
        <v>104</v>
      </c>
      <c r="C2062">
        <v>33</v>
      </c>
      <c r="D2062">
        <v>8</v>
      </c>
      <c r="E2062">
        <v>3</v>
      </c>
      <c r="F2062">
        <v>2</v>
      </c>
      <c r="G2062" t="s">
        <v>121</v>
      </c>
      <c r="H2062" t="str">
        <f>IFERROR(ROUND(COUNTIFS(Tasks!$A:$A,$A2062,Tasks!$B:$B,$B2062,Tasks!$C:$C,$G2062,Tasks!$I:$I,"&lt;="&amp;INDEX(Weeks!$D:$D,MATCH($C2062,Weeks!$A:$A,0)),Tasks!$I:$I,"&lt;&gt;")/COUNTIFS(Tasks!$A:$A,$A2062,Tasks!$B:$B,$B2062,Tasks!$C:$C,$G2062)*100,0),"")</f>
        <v/>
      </c>
    </row>
    <row r="2063" spans="1:8" ht="15" hidden="1" customHeight="1">
      <c r="A2063" t="s">
        <v>102</v>
      </c>
      <c r="B2063" t="s">
        <v>104</v>
      </c>
      <c r="C2063">
        <v>34</v>
      </c>
      <c r="D2063">
        <v>8</v>
      </c>
      <c r="E2063">
        <v>4</v>
      </c>
      <c r="F2063">
        <v>2</v>
      </c>
      <c r="G2063" t="s">
        <v>121</v>
      </c>
      <c r="H2063" t="str">
        <f>IFERROR(ROUND(COUNTIFS(Tasks!$A:$A,$A2063,Tasks!$B:$B,$B2063,Tasks!$C:$C,$G2063,Tasks!$I:$I,"&lt;="&amp;INDEX(Weeks!$D:$D,MATCH($C2063,Weeks!$A:$A,0)),Tasks!$I:$I,"&lt;&gt;")/COUNTIFS(Tasks!$A:$A,$A2063,Tasks!$B:$B,$B2063,Tasks!$C:$C,$G2063)*100,0),"")</f>
        <v/>
      </c>
    </row>
    <row r="2064" spans="1:8" ht="15" hidden="1" customHeight="1">
      <c r="A2064" t="s">
        <v>102</v>
      </c>
      <c r="B2064" t="s">
        <v>104</v>
      </c>
      <c r="C2064">
        <v>35</v>
      </c>
      <c r="D2064">
        <v>8</v>
      </c>
      <c r="E2064">
        <v>5</v>
      </c>
      <c r="F2064">
        <v>2</v>
      </c>
      <c r="G2064" t="s">
        <v>121</v>
      </c>
      <c r="H2064" t="str">
        <f>IFERROR(ROUND(COUNTIFS(Tasks!$A:$A,$A2064,Tasks!$B:$B,$B2064,Tasks!$C:$C,$G2064,Tasks!$I:$I,"&lt;="&amp;INDEX(Weeks!$D:$D,MATCH($C2064,Weeks!$A:$A,0)),Tasks!$I:$I,"&lt;&gt;")/COUNTIFS(Tasks!$A:$A,$A2064,Tasks!$B:$B,$B2064,Tasks!$C:$C,$G2064)*100,0),"")</f>
        <v/>
      </c>
    </row>
    <row r="2065" spans="1:8" ht="15" hidden="1" customHeight="1">
      <c r="A2065" t="s">
        <v>102</v>
      </c>
      <c r="B2065" t="s">
        <v>104</v>
      </c>
      <c r="C2065">
        <v>36</v>
      </c>
      <c r="D2065">
        <v>9</v>
      </c>
      <c r="E2065">
        <v>1</v>
      </c>
      <c r="F2065">
        <v>2</v>
      </c>
      <c r="G2065" t="s">
        <v>121</v>
      </c>
      <c r="H2065" t="str">
        <f>IFERROR(ROUND(COUNTIFS(Tasks!$A:$A,$A2065,Tasks!$B:$B,$B2065,Tasks!$C:$C,$G2065,Tasks!$I:$I,"&lt;="&amp;INDEX(Weeks!$D:$D,MATCH($C2065,Weeks!$A:$A,0)),Tasks!$I:$I,"&lt;&gt;")/COUNTIFS(Tasks!$A:$A,$A2065,Tasks!$B:$B,$B2065,Tasks!$C:$C,$G2065)*100,0),"")</f>
        <v/>
      </c>
    </row>
    <row r="2066" spans="1:8" ht="15" hidden="1" customHeight="1">
      <c r="A2066" t="s">
        <v>102</v>
      </c>
      <c r="B2066" t="s">
        <v>104</v>
      </c>
      <c r="C2066">
        <v>37</v>
      </c>
      <c r="D2066">
        <v>9</v>
      </c>
      <c r="E2066">
        <v>2</v>
      </c>
      <c r="F2066">
        <v>2</v>
      </c>
      <c r="G2066" t="s">
        <v>121</v>
      </c>
      <c r="H2066" t="str">
        <f>IFERROR(ROUND(COUNTIFS(Tasks!$A:$A,$A2066,Tasks!$B:$B,$B2066,Tasks!$C:$C,$G2066,Tasks!$I:$I,"&lt;="&amp;INDEX(Weeks!$D:$D,MATCH($C2066,Weeks!$A:$A,0)),Tasks!$I:$I,"&lt;&gt;")/COUNTIFS(Tasks!$A:$A,$A2066,Tasks!$B:$B,$B2066,Tasks!$C:$C,$G2066)*100,0),"")</f>
        <v/>
      </c>
    </row>
    <row r="2067" spans="1:8" ht="15" hidden="1" customHeight="1">
      <c r="A2067" t="s">
        <v>102</v>
      </c>
      <c r="B2067" t="s">
        <v>104</v>
      </c>
      <c r="C2067">
        <v>38</v>
      </c>
      <c r="D2067">
        <v>9</v>
      </c>
      <c r="E2067">
        <v>3</v>
      </c>
      <c r="F2067">
        <v>2</v>
      </c>
      <c r="G2067" t="s">
        <v>121</v>
      </c>
      <c r="H2067" t="str">
        <f>IFERROR(ROUND(COUNTIFS(Tasks!$A:$A,$A2067,Tasks!$B:$B,$B2067,Tasks!$C:$C,$G2067,Tasks!$I:$I,"&lt;="&amp;INDEX(Weeks!$D:$D,MATCH($C2067,Weeks!$A:$A,0)),Tasks!$I:$I,"&lt;&gt;")/COUNTIFS(Tasks!$A:$A,$A2067,Tasks!$B:$B,$B2067,Tasks!$C:$C,$G2067)*100,0),"")</f>
        <v/>
      </c>
    </row>
    <row r="2068" spans="1:8" ht="15" hidden="1" customHeight="1">
      <c r="A2068" t="s">
        <v>102</v>
      </c>
      <c r="B2068" t="s">
        <v>104</v>
      </c>
      <c r="C2068">
        <v>39</v>
      </c>
      <c r="D2068">
        <v>9</v>
      </c>
      <c r="E2068">
        <v>4</v>
      </c>
      <c r="F2068">
        <v>2</v>
      </c>
      <c r="G2068" t="s">
        <v>121</v>
      </c>
      <c r="H2068" t="str">
        <f>IFERROR(ROUND(COUNTIFS(Tasks!$A:$A,$A2068,Tasks!$B:$B,$B2068,Tasks!$C:$C,$G2068,Tasks!$I:$I,"&lt;="&amp;INDEX(Weeks!$D:$D,MATCH($C2068,Weeks!$A:$A,0)),Tasks!$I:$I,"&lt;&gt;")/COUNTIFS(Tasks!$A:$A,$A2068,Tasks!$B:$B,$B2068,Tasks!$C:$C,$G2068)*100,0),"")</f>
        <v/>
      </c>
    </row>
    <row r="2069" spans="1:8" ht="15" hidden="1" customHeight="1">
      <c r="A2069" t="s">
        <v>102</v>
      </c>
      <c r="B2069" t="s">
        <v>104</v>
      </c>
      <c r="C2069">
        <v>40</v>
      </c>
      <c r="D2069">
        <v>10</v>
      </c>
      <c r="E2069">
        <v>1</v>
      </c>
      <c r="F2069">
        <v>2</v>
      </c>
      <c r="G2069" t="s">
        <v>121</v>
      </c>
      <c r="H2069" t="str">
        <f>IFERROR(ROUND(COUNTIFS(Tasks!$A:$A,$A2069,Tasks!$B:$B,$B2069,Tasks!$C:$C,$G2069,Tasks!$I:$I,"&lt;="&amp;INDEX(Weeks!$D:$D,MATCH($C2069,Weeks!$A:$A,0)),Tasks!$I:$I,"&lt;&gt;")/COUNTIFS(Tasks!$A:$A,$A2069,Tasks!$B:$B,$B2069,Tasks!$C:$C,$G2069)*100,0),"")</f>
        <v/>
      </c>
    </row>
    <row r="2070" spans="1:8" ht="15" hidden="1" customHeight="1">
      <c r="A2070" t="s">
        <v>102</v>
      </c>
      <c r="B2070" t="s">
        <v>104</v>
      </c>
      <c r="C2070">
        <v>41</v>
      </c>
      <c r="D2070">
        <v>10</v>
      </c>
      <c r="E2070">
        <v>2</v>
      </c>
      <c r="F2070">
        <v>2</v>
      </c>
      <c r="G2070" t="s">
        <v>121</v>
      </c>
      <c r="H2070" t="str">
        <f>IFERROR(ROUND(COUNTIFS(Tasks!$A:$A,$A2070,Tasks!$B:$B,$B2070,Tasks!$C:$C,$G2070,Tasks!$I:$I,"&lt;="&amp;INDEX(Weeks!$D:$D,MATCH($C2070,Weeks!$A:$A,0)),Tasks!$I:$I,"&lt;&gt;")/COUNTIFS(Tasks!$A:$A,$A2070,Tasks!$B:$B,$B2070,Tasks!$C:$C,$G2070)*100,0),"")</f>
        <v/>
      </c>
    </row>
    <row r="2071" spans="1:8" ht="15" hidden="1" customHeight="1">
      <c r="A2071" t="s">
        <v>102</v>
      </c>
      <c r="B2071" t="s">
        <v>104</v>
      </c>
      <c r="C2071">
        <v>42</v>
      </c>
      <c r="D2071">
        <v>10</v>
      </c>
      <c r="E2071">
        <v>3</v>
      </c>
      <c r="F2071">
        <v>2</v>
      </c>
      <c r="G2071" t="s">
        <v>121</v>
      </c>
      <c r="H2071" t="str">
        <f>IFERROR(ROUND(COUNTIFS(Tasks!$A:$A,$A2071,Tasks!$B:$B,$B2071,Tasks!$C:$C,$G2071,Tasks!$I:$I,"&lt;="&amp;INDEX(Weeks!$D:$D,MATCH($C2071,Weeks!$A:$A,0)),Tasks!$I:$I,"&lt;&gt;")/COUNTIFS(Tasks!$A:$A,$A2071,Tasks!$B:$B,$B2071,Tasks!$C:$C,$G2071)*100,0),"")</f>
        <v/>
      </c>
    </row>
    <row r="2072" spans="1:8" ht="15" hidden="1" customHeight="1">
      <c r="A2072" t="s">
        <v>102</v>
      </c>
      <c r="B2072" t="s">
        <v>104</v>
      </c>
      <c r="C2072">
        <v>43</v>
      </c>
      <c r="D2072">
        <v>10</v>
      </c>
      <c r="E2072">
        <v>4</v>
      </c>
      <c r="F2072">
        <v>2</v>
      </c>
      <c r="G2072" t="s">
        <v>121</v>
      </c>
      <c r="H2072" t="str">
        <f>IFERROR(ROUND(COUNTIFS(Tasks!$A:$A,$A2072,Tasks!$B:$B,$B2072,Tasks!$C:$C,$G2072,Tasks!$I:$I,"&lt;="&amp;INDEX(Weeks!$D:$D,MATCH($C2072,Weeks!$A:$A,0)),Tasks!$I:$I,"&lt;&gt;")/COUNTIFS(Tasks!$A:$A,$A2072,Tasks!$B:$B,$B2072,Tasks!$C:$C,$G2072)*100,0),"")</f>
        <v/>
      </c>
    </row>
    <row r="2073" spans="1:8" ht="15" hidden="1" customHeight="1">
      <c r="A2073" t="s">
        <v>102</v>
      </c>
      <c r="B2073" t="s">
        <v>104</v>
      </c>
      <c r="C2073">
        <v>44</v>
      </c>
      <c r="D2073">
        <v>10</v>
      </c>
      <c r="E2073">
        <v>5</v>
      </c>
      <c r="F2073">
        <v>2</v>
      </c>
      <c r="G2073" t="s">
        <v>121</v>
      </c>
      <c r="H2073" t="str">
        <f>IFERROR(ROUND(COUNTIFS(Tasks!$A:$A,$A2073,Tasks!$B:$B,$B2073,Tasks!$C:$C,$G2073,Tasks!$I:$I,"&lt;="&amp;INDEX(Weeks!$D:$D,MATCH($C2073,Weeks!$A:$A,0)),Tasks!$I:$I,"&lt;&gt;")/COUNTIFS(Tasks!$A:$A,$A2073,Tasks!$B:$B,$B2073,Tasks!$C:$C,$G2073)*100,0),"")</f>
        <v/>
      </c>
    </row>
    <row r="2074" spans="1:8" ht="15" hidden="1" customHeight="1">
      <c r="A2074" t="s">
        <v>102</v>
      </c>
      <c r="B2074" t="s">
        <v>104</v>
      </c>
      <c r="C2074">
        <v>45</v>
      </c>
      <c r="D2074">
        <v>11</v>
      </c>
      <c r="E2074">
        <v>1</v>
      </c>
      <c r="F2074">
        <v>2</v>
      </c>
      <c r="G2074" t="s">
        <v>121</v>
      </c>
      <c r="H2074" t="str">
        <f>IFERROR(ROUND(COUNTIFS(Tasks!$A:$A,$A2074,Tasks!$B:$B,$B2074,Tasks!$C:$C,$G2074,Tasks!$I:$I,"&lt;="&amp;INDEX(Weeks!$D:$D,MATCH($C2074,Weeks!$A:$A,0)),Tasks!$I:$I,"&lt;&gt;")/COUNTIFS(Tasks!$A:$A,$A2074,Tasks!$B:$B,$B2074,Tasks!$C:$C,$G2074)*100,0),"")</f>
        <v/>
      </c>
    </row>
    <row r="2075" spans="1:8" ht="15" hidden="1" customHeight="1">
      <c r="A2075" t="s">
        <v>102</v>
      </c>
      <c r="B2075" t="s">
        <v>104</v>
      </c>
      <c r="C2075">
        <v>46</v>
      </c>
      <c r="D2075">
        <v>11</v>
      </c>
      <c r="E2075">
        <v>2</v>
      </c>
      <c r="F2075">
        <v>2</v>
      </c>
      <c r="G2075" t="s">
        <v>121</v>
      </c>
      <c r="H2075" t="str">
        <f>IFERROR(ROUND(COUNTIFS(Tasks!$A:$A,$A2075,Tasks!$B:$B,$B2075,Tasks!$C:$C,$G2075,Tasks!$I:$I,"&lt;="&amp;INDEX(Weeks!$D:$D,MATCH($C2075,Weeks!$A:$A,0)),Tasks!$I:$I,"&lt;&gt;")/COUNTIFS(Tasks!$A:$A,$A2075,Tasks!$B:$B,$B2075,Tasks!$C:$C,$G2075)*100,0),"")</f>
        <v/>
      </c>
    </row>
    <row r="2076" spans="1:8" ht="15" hidden="1" customHeight="1">
      <c r="A2076" t="s">
        <v>102</v>
      </c>
      <c r="B2076" t="s">
        <v>104</v>
      </c>
      <c r="C2076">
        <v>47</v>
      </c>
      <c r="D2076">
        <v>11</v>
      </c>
      <c r="E2076">
        <v>3</v>
      </c>
      <c r="F2076">
        <v>2</v>
      </c>
      <c r="G2076" t="s">
        <v>121</v>
      </c>
      <c r="H2076" t="str">
        <f>IFERROR(ROUND(COUNTIFS(Tasks!$A:$A,$A2076,Tasks!$B:$B,$B2076,Tasks!$C:$C,$G2076,Tasks!$I:$I,"&lt;="&amp;INDEX(Weeks!$D:$D,MATCH($C2076,Weeks!$A:$A,0)),Tasks!$I:$I,"&lt;&gt;")/COUNTIFS(Tasks!$A:$A,$A2076,Tasks!$B:$B,$B2076,Tasks!$C:$C,$G2076)*100,0),"")</f>
        <v/>
      </c>
    </row>
    <row r="2077" spans="1:8" ht="15" hidden="1" customHeight="1">
      <c r="A2077" t="s">
        <v>102</v>
      </c>
      <c r="B2077" t="s">
        <v>104</v>
      </c>
      <c r="C2077">
        <v>48</v>
      </c>
      <c r="D2077">
        <v>11</v>
      </c>
      <c r="E2077">
        <v>4</v>
      </c>
      <c r="F2077">
        <v>2</v>
      </c>
      <c r="G2077" t="s">
        <v>121</v>
      </c>
      <c r="H2077" t="str">
        <f>IFERROR(ROUND(COUNTIFS(Tasks!$A:$A,$A2077,Tasks!$B:$B,$B2077,Tasks!$C:$C,$G2077,Tasks!$I:$I,"&lt;="&amp;INDEX(Weeks!$D:$D,MATCH($C2077,Weeks!$A:$A,0)),Tasks!$I:$I,"&lt;&gt;")/COUNTIFS(Tasks!$A:$A,$A2077,Tasks!$B:$B,$B2077,Tasks!$C:$C,$G2077)*100,0),"")</f>
        <v/>
      </c>
    </row>
    <row r="2078" spans="1:8" ht="15" hidden="1" customHeight="1">
      <c r="A2078" t="s">
        <v>102</v>
      </c>
      <c r="B2078" t="s">
        <v>104</v>
      </c>
      <c r="C2078">
        <v>49</v>
      </c>
      <c r="D2078">
        <v>12</v>
      </c>
      <c r="E2078">
        <v>1</v>
      </c>
      <c r="F2078">
        <v>2</v>
      </c>
      <c r="G2078" t="s">
        <v>121</v>
      </c>
      <c r="H2078" t="str">
        <f>IFERROR(ROUND(COUNTIFS(Tasks!$A:$A,$A2078,Tasks!$B:$B,$B2078,Tasks!$C:$C,$G2078,Tasks!$I:$I,"&lt;="&amp;INDEX(Weeks!$D:$D,MATCH($C2078,Weeks!$A:$A,0)),Tasks!$I:$I,"&lt;&gt;")/COUNTIFS(Tasks!$A:$A,$A2078,Tasks!$B:$B,$B2078,Tasks!$C:$C,$G2078)*100,0),"")</f>
        <v/>
      </c>
    </row>
    <row r="2079" spans="1:8" ht="15" hidden="1" customHeight="1">
      <c r="A2079" t="s">
        <v>102</v>
      </c>
      <c r="B2079" t="s">
        <v>104</v>
      </c>
      <c r="C2079">
        <v>50</v>
      </c>
      <c r="D2079">
        <v>12</v>
      </c>
      <c r="E2079">
        <v>2</v>
      </c>
      <c r="F2079">
        <v>2</v>
      </c>
      <c r="G2079" t="s">
        <v>121</v>
      </c>
      <c r="H2079" t="str">
        <f>IFERROR(ROUND(COUNTIFS(Tasks!$A:$A,$A2079,Tasks!$B:$B,$B2079,Tasks!$C:$C,$G2079,Tasks!$I:$I,"&lt;="&amp;INDEX(Weeks!$D:$D,MATCH($C2079,Weeks!$A:$A,0)),Tasks!$I:$I,"&lt;&gt;")/COUNTIFS(Tasks!$A:$A,$A2079,Tasks!$B:$B,$B2079,Tasks!$C:$C,$G2079)*100,0),"")</f>
        <v/>
      </c>
    </row>
    <row r="2080" spans="1:8" ht="15" hidden="1" customHeight="1">
      <c r="A2080" t="s">
        <v>102</v>
      </c>
      <c r="B2080" t="s">
        <v>104</v>
      </c>
      <c r="C2080">
        <v>51</v>
      </c>
      <c r="D2080">
        <v>12</v>
      </c>
      <c r="E2080">
        <v>3</v>
      </c>
      <c r="F2080">
        <v>2</v>
      </c>
      <c r="G2080" t="s">
        <v>121</v>
      </c>
      <c r="H2080" t="str">
        <f>IFERROR(ROUND(COUNTIFS(Tasks!$A:$A,$A2080,Tasks!$B:$B,$B2080,Tasks!$C:$C,$G2080,Tasks!$I:$I,"&lt;="&amp;INDEX(Weeks!$D:$D,MATCH($C2080,Weeks!$A:$A,0)),Tasks!$I:$I,"&lt;&gt;")/COUNTIFS(Tasks!$A:$A,$A2080,Tasks!$B:$B,$B2080,Tasks!$C:$C,$G2080)*100,0),"")</f>
        <v/>
      </c>
    </row>
    <row r="2081" spans="1:8" ht="15" hidden="1" customHeight="1">
      <c r="A2081" t="s">
        <v>102</v>
      </c>
      <c r="B2081" t="s">
        <v>104</v>
      </c>
      <c r="C2081">
        <v>52</v>
      </c>
      <c r="D2081">
        <v>12</v>
      </c>
      <c r="E2081">
        <v>4</v>
      </c>
      <c r="F2081">
        <v>2</v>
      </c>
      <c r="G2081" t="s">
        <v>121</v>
      </c>
      <c r="H2081" t="str">
        <f>IFERROR(ROUND(COUNTIFS(Tasks!$A:$A,$A2081,Tasks!$B:$B,$B2081,Tasks!$C:$C,$G2081,Tasks!$I:$I,"&lt;="&amp;INDEX(Weeks!$D:$D,MATCH($C2081,Weeks!$A:$A,0)),Tasks!$I:$I,"&lt;&gt;")/COUNTIFS(Tasks!$A:$A,$A2081,Tasks!$B:$B,$B2081,Tasks!$C:$C,$G2081)*100,0),"")</f>
        <v/>
      </c>
    </row>
    <row r="2082" spans="1:8" ht="15" hidden="1" customHeight="1">
      <c r="A2082" t="s">
        <v>102</v>
      </c>
      <c r="B2082" t="s">
        <v>104</v>
      </c>
      <c r="C2082">
        <v>1</v>
      </c>
      <c r="D2082">
        <v>1</v>
      </c>
      <c r="E2082">
        <v>1</v>
      </c>
      <c r="F2082">
        <v>3</v>
      </c>
      <c r="G2082" t="s">
        <v>122</v>
      </c>
      <c r="H2082" t="str">
        <f>IFERROR(ROUND(COUNTIFS(Tasks!$A:$A,$A2082,Tasks!$B:$B,$B2082,Tasks!$C:$C,$G2082,Tasks!$I:$I,"&lt;="&amp;INDEX(Weeks!$D:$D,MATCH($C2082,Weeks!$A:$A,0)),Tasks!$I:$I,"&lt;&gt;")/COUNTIFS(Tasks!$A:$A,$A2082,Tasks!$B:$B,$B2082,Tasks!$C:$C,$G2082)*100,0),"")</f>
        <v/>
      </c>
    </row>
    <row r="2083" spans="1:8" ht="15" hidden="1" customHeight="1">
      <c r="A2083" t="s">
        <v>102</v>
      </c>
      <c r="B2083" t="s">
        <v>104</v>
      </c>
      <c r="C2083">
        <v>2</v>
      </c>
      <c r="D2083">
        <v>1</v>
      </c>
      <c r="E2083">
        <v>2</v>
      </c>
      <c r="F2083">
        <v>3</v>
      </c>
      <c r="G2083" t="s">
        <v>122</v>
      </c>
      <c r="H2083" t="str">
        <f>IFERROR(ROUND(COUNTIFS(Tasks!$A:$A,$A2083,Tasks!$B:$B,$B2083,Tasks!$C:$C,$G2083,Tasks!$I:$I,"&lt;="&amp;INDEX(Weeks!$D:$D,MATCH($C2083,Weeks!$A:$A,0)),Tasks!$I:$I,"&lt;&gt;")/COUNTIFS(Tasks!$A:$A,$A2083,Tasks!$B:$B,$B2083,Tasks!$C:$C,$G2083)*100,0),"")</f>
        <v/>
      </c>
    </row>
    <row r="2084" spans="1:8" ht="15" hidden="1" customHeight="1">
      <c r="A2084" t="s">
        <v>102</v>
      </c>
      <c r="B2084" t="s">
        <v>104</v>
      </c>
      <c r="C2084">
        <v>3</v>
      </c>
      <c r="D2084">
        <v>1</v>
      </c>
      <c r="E2084">
        <v>3</v>
      </c>
      <c r="F2084">
        <v>3</v>
      </c>
      <c r="G2084" t="s">
        <v>122</v>
      </c>
      <c r="H2084" t="str">
        <f>IFERROR(ROUND(COUNTIFS(Tasks!$A:$A,$A2084,Tasks!$B:$B,$B2084,Tasks!$C:$C,$G2084,Tasks!$I:$I,"&lt;="&amp;INDEX(Weeks!$D:$D,MATCH($C2084,Weeks!$A:$A,0)),Tasks!$I:$I,"&lt;&gt;")/COUNTIFS(Tasks!$A:$A,$A2084,Tasks!$B:$B,$B2084,Tasks!$C:$C,$G2084)*100,0),"")</f>
        <v/>
      </c>
    </row>
    <row r="2085" spans="1:8" ht="15" hidden="1" customHeight="1">
      <c r="A2085" t="s">
        <v>102</v>
      </c>
      <c r="B2085" t="s">
        <v>104</v>
      </c>
      <c r="C2085">
        <v>4</v>
      </c>
      <c r="D2085">
        <v>1</v>
      </c>
      <c r="E2085">
        <v>4</v>
      </c>
      <c r="F2085">
        <v>3</v>
      </c>
      <c r="G2085" t="s">
        <v>122</v>
      </c>
      <c r="H2085" t="str">
        <f>IFERROR(ROUND(COUNTIFS(Tasks!$A:$A,$A2085,Tasks!$B:$B,$B2085,Tasks!$C:$C,$G2085,Tasks!$I:$I,"&lt;="&amp;INDEX(Weeks!$D:$D,MATCH($C2085,Weeks!$A:$A,0)),Tasks!$I:$I,"&lt;&gt;")/COUNTIFS(Tasks!$A:$A,$A2085,Tasks!$B:$B,$B2085,Tasks!$C:$C,$G2085)*100,0),"")</f>
        <v/>
      </c>
    </row>
    <row r="2086" spans="1:8" ht="15" hidden="1" customHeight="1">
      <c r="A2086" t="s">
        <v>102</v>
      </c>
      <c r="B2086" t="s">
        <v>104</v>
      </c>
      <c r="C2086">
        <v>5</v>
      </c>
      <c r="D2086">
        <v>1</v>
      </c>
      <c r="E2086">
        <v>5</v>
      </c>
      <c r="F2086">
        <v>3</v>
      </c>
      <c r="G2086" t="s">
        <v>122</v>
      </c>
      <c r="H2086" t="str">
        <f>IFERROR(ROUND(COUNTIFS(Tasks!$A:$A,$A2086,Tasks!$B:$B,$B2086,Tasks!$C:$C,$G2086,Tasks!$I:$I,"&lt;="&amp;INDEX(Weeks!$D:$D,MATCH($C2086,Weeks!$A:$A,0)),Tasks!$I:$I,"&lt;&gt;")/COUNTIFS(Tasks!$A:$A,$A2086,Tasks!$B:$B,$B2086,Tasks!$C:$C,$G2086)*100,0),"")</f>
        <v/>
      </c>
    </row>
    <row r="2087" spans="1:8" ht="15" hidden="1" customHeight="1">
      <c r="A2087" t="s">
        <v>102</v>
      </c>
      <c r="B2087" t="s">
        <v>104</v>
      </c>
      <c r="C2087">
        <v>6</v>
      </c>
      <c r="D2087">
        <v>2</v>
      </c>
      <c r="E2087">
        <v>1</v>
      </c>
      <c r="F2087">
        <v>3</v>
      </c>
      <c r="G2087" t="s">
        <v>122</v>
      </c>
      <c r="H2087" t="str">
        <f>IFERROR(ROUND(COUNTIFS(Tasks!$A:$A,$A2087,Tasks!$B:$B,$B2087,Tasks!$C:$C,$G2087,Tasks!$I:$I,"&lt;="&amp;INDEX(Weeks!$D:$D,MATCH($C2087,Weeks!$A:$A,0)),Tasks!$I:$I,"&lt;&gt;")/COUNTIFS(Tasks!$A:$A,$A2087,Tasks!$B:$B,$B2087,Tasks!$C:$C,$G2087)*100,0),"")</f>
        <v/>
      </c>
    </row>
    <row r="2088" spans="1:8" ht="15" hidden="1" customHeight="1">
      <c r="A2088" t="s">
        <v>102</v>
      </c>
      <c r="B2088" t="s">
        <v>104</v>
      </c>
      <c r="C2088">
        <v>7</v>
      </c>
      <c r="D2088">
        <v>2</v>
      </c>
      <c r="E2088">
        <v>2</v>
      </c>
      <c r="F2088">
        <v>3</v>
      </c>
      <c r="G2088" t="s">
        <v>122</v>
      </c>
      <c r="H2088" t="str">
        <f>IFERROR(ROUND(COUNTIFS(Tasks!$A:$A,$A2088,Tasks!$B:$B,$B2088,Tasks!$C:$C,$G2088,Tasks!$I:$I,"&lt;="&amp;INDEX(Weeks!$D:$D,MATCH($C2088,Weeks!$A:$A,0)),Tasks!$I:$I,"&lt;&gt;")/COUNTIFS(Tasks!$A:$A,$A2088,Tasks!$B:$B,$B2088,Tasks!$C:$C,$G2088)*100,0),"")</f>
        <v/>
      </c>
    </row>
    <row r="2089" spans="1:8" ht="15" hidden="1" customHeight="1">
      <c r="A2089" t="s">
        <v>102</v>
      </c>
      <c r="B2089" t="s">
        <v>104</v>
      </c>
      <c r="C2089">
        <v>8</v>
      </c>
      <c r="D2089">
        <v>2</v>
      </c>
      <c r="E2089">
        <v>3</v>
      </c>
      <c r="F2089">
        <v>3</v>
      </c>
      <c r="G2089" t="s">
        <v>122</v>
      </c>
      <c r="H2089" t="str">
        <f>IFERROR(ROUND(COUNTIFS(Tasks!$A:$A,$A2089,Tasks!$B:$B,$B2089,Tasks!$C:$C,$G2089,Tasks!$I:$I,"&lt;="&amp;INDEX(Weeks!$D:$D,MATCH($C2089,Weeks!$A:$A,0)),Tasks!$I:$I,"&lt;&gt;")/COUNTIFS(Tasks!$A:$A,$A2089,Tasks!$B:$B,$B2089,Tasks!$C:$C,$G2089)*100,0),"")</f>
        <v/>
      </c>
    </row>
    <row r="2090" spans="1:8" ht="15" hidden="1" customHeight="1">
      <c r="A2090" t="s">
        <v>102</v>
      </c>
      <c r="B2090" t="s">
        <v>104</v>
      </c>
      <c r="C2090">
        <v>9</v>
      </c>
      <c r="D2090">
        <v>2</v>
      </c>
      <c r="E2090">
        <v>4</v>
      </c>
      <c r="F2090">
        <v>3</v>
      </c>
      <c r="G2090" t="s">
        <v>122</v>
      </c>
      <c r="H2090" t="str">
        <f>IFERROR(ROUND(COUNTIFS(Tasks!$A:$A,$A2090,Tasks!$B:$B,$B2090,Tasks!$C:$C,$G2090,Tasks!$I:$I,"&lt;="&amp;INDEX(Weeks!$D:$D,MATCH($C2090,Weeks!$A:$A,0)),Tasks!$I:$I,"&lt;&gt;")/COUNTIFS(Tasks!$A:$A,$A2090,Tasks!$B:$B,$B2090,Tasks!$C:$C,$G2090)*100,0),"")</f>
        <v/>
      </c>
    </row>
    <row r="2091" spans="1:8" ht="15" hidden="1" customHeight="1">
      <c r="A2091" t="s">
        <v>102</v>
      </c>
      <c r="B2091" t="s">
        <v>104</v>
      </c>
      <c r="C2091">
        <v>10</v>
      </c>
      <c r="D2091">
        <v>3</v>
      </c>
      <c r="E2091">
        <v>1</v>
      </c>
      <c r="F2091">
        <v>3</v>
      </c>
      <c r="G2091" t="s">
        <v>122</v>
      </c>
      <c r="H2091" t="str">
        <f>IFERROR(ROUND(COUNTIFS(Tasks!$A:$A,$A2091,Tasks!$B:$B,$B2091,Tasks!$C:$C,$G2091,Tasks!$I:$I,"&lt;="&amp;INDEX(Weeks!$D:$D,MATCH($C2091,Weeks!$A:$A,0)),Tasks!$I:$I,"&lt;&gt;")/COUNTIFS(Tasks!$A:$A,$A2091,Tasks!$B:$B,$B2091,Tasks!$C:$C,$G2091)*100,0),"")</f>
        <v/>
      </c>
    </row>
    <row r="2092" spans="1:8" ht="15" hidden="1" customHeight="1">
      <c r="A2092" t="s">
        <v>102</v>
      </c>
      <c r="B2092" t="s">
        <v>104</v>
      </c>
      <c r="C2092">
        <v>11</v>
      </c>
      <c r="D2092">
        <v>3</v>
      </c>
      <c r="E2092">
        <v>2</v>
      </c>
      <c r="F2092">
        <v>3</v>
      </c>
      <c r="G2092" t="s">
        <v>122</v>
      </c>
      <c r="H2092" t="str">
        <f>IFERROR(ROUND(COUNTIFS(Tasks!$A:$A,$A2092,Tasks!$B:$B,$B2092,Tasks!$C:$C,$G2092,Tasks!$I:$I,"&lt;="&amp;INDEX(Weeks!$D:$D,MATCH($C2092,Weeks!$A:$A,0)),Tasks!$I:$I,"&lt;&gt;")/COUNTIFS(Tasks!$A:$A,$A2092,Tasks!$B:$B,$B2092,Tasks!$C:$C,$G2092)*100,0),"")</f>
        <v/>
      </c>
    </row>
    <row r="2093" spans="1:8" ht="15" hidden="1" customHeight="1">
      <c r="A2093" t="s">
        <v>102</v>
      </c>
      <c r="B2093" t="s">
        <v>104</v>
      </c>
      <c r="C2093">
        <v>12</v>
      </c>
      <c r="D2093">
        <v>3</v>
      </c>
      <c r="E2093">
        <v>3</v>
      </c>
      <c r="F2093">
        <v>3</v>
      </c>
      <c r="G2093" t="s">
        <v>122</v>
      </c>
      <c r="H2093" t="str">
        <f>IFERROR(ROUND(COUNTIFS(Tasks!$A:$A,$A2093,Tasks!$B:$B,$B2093,Tasks!$C:$C,$G2093,Tasks!$I:$I,"&lt;="&amp;INDEX(Weeks!$D:$D,MATCH($C2093,Weeks!$A:$A,0)),Tasks!$I:$I,"&lt;&gt;")/COUNTIFS(Tasks!$A:$A,$A2093,Tasks!$B:$B,$B2093,Tasks!$C:$C,$G2093)*100,0),"")</f>
        <v/>
      </c>
    </row>
    <row r="2094" spans="1:8" ht="15" hidden="1" customHeight="1">
      <c r="A2094" t="s">
        <v>102</v>
      </c>
      <c r="B2094" t="s">
        <v>104</v>
      </c>
      <c r="C2094">
        <v>13</v>
      </c>
      <c r="D2094">
        <v>3</v>
      </c>
      <c r="E2094">
        <v>4</v>
      </c>
      <c r="F2094">
        <v>3</v>
      </c>
      <c r="G2094" t="s">
        <v>122</v>
      </c>
      <c r="H2094" t="str">
        <f>IFERROR(ROUND(COUNTIFS(Tasks!$A:$A,$A2094,Tasks!$B:$B,$B2094,Tasks!$C:$C,$G2094,Tasks!$I:$I,"&lt;="&amp;INDEX(Weeks!$D:$D,MATCH($C2094,Weeks!$A:$A,0)),Tasks!$I:$I,"&lt;&gt;")/COUNTIFS(Tasks!$A:$A,$A2094,Tasks!$B:$B,$B2094,Tasks!$C:$C,$G2094)*100,0),"")</f>
        <v/>
      </c>
    </row>
    <row r="2095" spans="1:8" ht="15" hidden="1" customHeight="1">
      <c r="A2095" t="s">
        <v>102</v>
      </c>
      <c r="B2095" t="s">
        <v>104</v>
      </c>
      <c r="C2095">
        <v>14</v>
      </c>
      <c r="D2095">
        <v>4</v>
      </c>
      <c r="E2095">
        <v>1</v>
      </c>
      <c r="F2095">
        <v>3</v>
      </c>
      <c r="G2095" t="s">
        <v>122</v>
      </c>
      <c r="H2095" t="str">
        <f>IFERROR(ROUND(COUNTIFS(Tasks!$A:$A,$A2095,Tasks!$B:$B,$B2095,Tasks!$C:$C,$G2095,Tasks!$I:$I,"&lt;="&amp;INDEX(Weeks!$D:$D,MATCH($C2095,Weeks!$A:$A,0)),Tasks!$I:$I,"&lt;&gt;")/COUNTIFS(Tasks!$A:$A,$A2095,Tasks!$B:$B,$B2095,Tasks!$C:$C,$G2095)*100,0),"")</f>
        <v/>
      </c>
    </row>
    <row r="2096" spans="1:8" ht="15" hidden="1" customHeight="1">
      <c r="A2096" t="s">
        <v>102</v>
      </c>
      <c r="B2096" t="s">
        <v>104</v>
      </c>
      <c r="C2096">
        <v>15</v>
      </c>
      <c r="D2096">
        <v>4</v>
      </c>
      <c r="E2096">
        <v>2</v>
      </c>
      <c r="F2096">
        <v>3</v>
      </c>
      <c r="G2096" t="s">
        <v>122</v>
      </c>
      <c r="H2096" t="str">
        <f>IFERROR(ROUND(COUNTIFS(Tasks!$A:$A,$A2096,Tasks!$B:$B,$B2096,Tasks!$C:$C,$G2096,Tasks!$I:$I,"&lt;="&amp;INDEX(Weeks!$D:$D,MATCH($C2096,Weeks!$A:$A,0)),Tasks!$I:$I,"&lt;&gt;")/COUNTIFS(Tasks!$A:$A,$A2096,Tasks!$B:$B,$B2096,Tasks!$C:$C,$G2096)*100,0),"")</f>
        <v/>
      </c>
    </row>
    <row r="2097" spans="1:8" ht="15" hidden="1" customHeight="1">
      <c r="A2097" t="s">
        <v>102</v>
      </c>
      <c r="B2097" t="s">
        <v>104</v>
      </c>
      <c r="C2097">
        <v>16</v>
      </c>
      <c r="D2097">
        <v>4</v>
      </c>
      <c r="E2097">
        <v>3</v>
      </c>
      <c r="F2097">
        <v>3</v>
      </c>
      <c r="G2097" t="s">
        <v>122</v>
      </c>
      <c r="H2097" t="str">
        <f>IFERROR(ROUND(COUNTIFS(Tasks!$A:$A,$A2097,Tasks!$B:$B,$B2097,Tasks!$C:$C,$G2097,Tasks!$I:$I,"&lt;="&amp;INDEX(Weeks!$D:$D,MATCH($C2097,Weeks!$A:$A,0)),Tasks!$I:$I,"&lt;&gt;")/COUNTIFS(Tasks!$A:$A,$A2097,Tasks!$B:$B,$B2097,Tasks!$C:$C,$G2097)*100,0),"")</f>
        <v/>
      </c>
    </row>
    <row r="2098" spans="1:8" ht="15" hidden="1" customHeight="1">
      <c r="A2098" t="s">
        <v>102</v>
      </c>
      <c r="B2098" t="s">
        <v>104</v>
      </c>
      <c r="C2098">
        <v>17</v>
      </c>
      <c r="D2098">
        <v>4</v>
      </c>
      <c r="E2098">
        <v>4</v>
      </c>
      <c r="F2098">
        <v>3</v>
      </c>
      <c r="G2098" t="s">
        <v>122</v>
      </c>
      <c r="H2098" t="str">
        <f>IFERROR(ROUND(COUNTIFS(Tasks!$A:$A,$A2098,Tasks!$B:$B,$B2098,Tasks!$C:$C,$G2098,Tasks!$I:$I,"&lt;="&amp;INDEX(Weeks!$D:$D,MATCH($C2098,Weeks!$A:$A,0)),Tasks!$I:$I,"&lt;&gt;")/COUNTIFS(Tasks!$A:$A,$A2098,Tasks!$B:$B,$B2098,Tasks!$C:$C,$G2098)*100,0),"")</f>
        <v/>
      </c>
    </row>
    <row r="2099" spans="1:8" ht="15" hidden="1" customHeight="1">
      <c r="A2099" t="s">
        <v>102</v>
      </c>
      <c r="B2099" t="s">
        <v>104</v>
      </c>
      <c r="C2099">
        <v>18</v>
      </c>
      <c r="D2099">
        <v>5</v>
      </c>
      <c r="E2099">
        <v>1</v>
      </c>
      <c r="F2099">
        <v>3</v>
      </c>
      <c r="G2099" t="s">
        <v>122</v>
      </c>
      <c r="H2099" t="str">
        <f>IFERROR(ROUND(COUNTIFS(Tasks!$A:$A,$A2099,Tasks!$B:$B,$B2099,Tasks!$C:$C,$G2099,Tasks!$I:$I,"&lt;="&amp;INDEX(Weeks!$D:$D,MATCH($C2099,Weeks!$A:$A,0)),Tasks!$I:$I,"&lt;&gt;")/COUNTIFS(Tasks!$A:$A,$A2099,Tasks!$B:$B,$B2099,Tasks!$C:$C,$G2099)*100,0),"")</f>
        <v/>
      </c>
    </row>
    <row r="2100" spans="1:8" ht="15" hidden="1" customHeight="1">
      <c r="A2100" t="s">
        <v>102</v>
      </c>
      <c r="B2100" t="s">
        <v>104</v>
      </c>
      <c r="C2100">
        <v>19</v>
      </c>
      <c r="D2100">
        <v>5</v>
      </c>
      <c r="E2100">
        <v>2</v>
      </c>
      <c r="F2100">
        <v>3</v>
      </c>
      <c r="G2100" t="s">
        <v>122</v>
      </c>
      <c r="H2100" t="str">
        <f>IFERROR(ROUND(COUNTIFS(Tasks!$A:$A,$A2100,Tasks!$B:$B,$B2100,Tasks!$C:$C,$G2100,Tasks!$I:$I,"&lt;="&amp;INDEX(Weeks!$D:$D,MATCH($C2100,Weeks!$A:$A,0)),Tasks!$I:$I,"&lt;&gt;")/COUNTIFS(Tasks!$A:$A,$A2100,Tasks!$B:$B,$B2100,Tasks!$C:$C,$G2100)*100,0),"")</f>
        <v/>
      </c>
    </row>
    <row r="2101" spans="1:8" ht="15" hidden="1" customHeight="1">
      <c r="A2101" t="s">
        <v>102</v>
      </c>
      <c r="B2101" t="s">
        <v>104</v>
      </c>
      <c r="C2101">
        <v>20</v>
      </c>
      <c r="D2101">
        <v>5</v>
      </c>
      <c r="E2101">
        <v>3</v>
      </c>
      <c r="F2101">
        <v>3</v>
      </c>
      <c r="G2101" t="s">
        <v>122</v>
      </c>
      <c r="H2101" t="str">
        <f>IFERROR(ROUND(COUNTIFS(Tasks!$A:$A,$A2101,Tasks!$B:$B,$B2101,Tasks!$C:$C,$G2101,Tasks!$I:$I,"&lt;="&amp;INDEX(Weeks!$D:$D,MATCH($C2101,Weeks!$A:$A,0)),Tasks!$I:$I,"&lt;&gt;")/COUNTIFS(Tasks!$A:$A,$A2101,Tasks!$B:$B,$B2101,Tasks!$C:$C,$G2101)*100,0),"")</f>
        <v/>
      </c>
    </row>
    <row r="2102" spans="1:8" ht="15" hidden="1" customHeight="1">
      <c r="A2102" t="s">
        <v>102</v>
      </c>
      <c r="B2102" t="s">
        <v>104</v>
      </c>
      <c r="C2102">
        <v>21</v>
      </c>
      <c r="D2102">
        <v>5</v>
      </c>
      <c r="E2102">
        <v>4</v>
      </c>
      <c r="F2102">
        <v>3</v>
      </c>
      <c r="G2102" t="s">
        <v>122</v>
      </c>
      <c r="H2102" t="str">
        <f>IFERROR(ROUND(COUNTIFS(Tasks!$A:$A,$A2102,Tasks!$B:$B,$B2102,Tasks!$C:$C,$G2102,Tasks!$I:$I,"&lt;="&amp;INDEX(Weeks!$D:$D,MATCH($C2102,Weeks!$A:$A,0)),Tasks!$I:$I,"&lt;&gt;")/COUNTIFS(Tasks!$A:$A,$A2102,Tasks!$B:$B,$B2102,Tasks!$C:$C,$G2102)*100,0),"")</f>
        <v/>
      </c>
    </row>
    <row r="2103" spans="1:8" ht="15" hidden="1" customHeight="1">
      <c r="A2103" t="s">
        <v>102</v>
      </c>
      <c r="B2103" t="s">
        <v>104</v>
      </c>
      <c r="C2103">
        <v>22</v>
      </c>
      <c r="D2103">
        <v>5</v>
      </c>
      <c r="E2103">
        <v>5</v>
      </c>
      <c r="F2103">
        <v>3</v>
      </c>
      <c r="G2103" t="s">
        <v>122</v>
      </c>
      <c r="H2103" t="str">
        <f>IFERROR(ROUND(COUNTIFS(Tasks!$A:$A,$A2103,Tasks!$B:$B,$B2103,Tasks!$C:$C,$G2103,Tasks!$I:$I,"&lt;="&amp;INDEX(Weeks!$D:$D,MATCH($C2103,Weeks!$A:$A,0)),Tasks!$I:$I,"&lt;&gt;")/COUNTIFS(Tasks!$A:$A,$A2103,Tasks!$B:$B,$B2103,Tasks!$C:$C,$G2103)*100,0),"")</f>
        <v/>
      </c>
    </row>
    <row r="2104" spans="1:8" ht="15" hidden="1" customHeight="1">
      <c r="A2104" t="s">
        <v>102</v>
      </c>
      <c r="B2104" t="s">
        <v>104</v>
      </c>
      <c r="C2104">
        <v>23</v>
      </c>
      <c r="D2104">
        <v>6</v>
      </c>
      <c r="E2104">
        <v>1</v>
      </c>
      <c r="F2104">
        <v>3</v>
      </c>
      <c r="G2104" t="s">
        <v>122</v>
      </c>
      <c r="H2104" t="str">
        <f>IFERROR(ROUND(COUNTIFS(Tasks!$A:$A,$A2104,Tasks!$B:$B,$B2104,Tasks!$C:$C,$G2104,Tasks!$I:$I,"&lt;="&amp;INDEX(Weeks!$D:$D,MATCH($C2104,Weeks!$A:$A,0)),Tasks!$I:$I,"&lt;&gt;")/COUNTIFS(Tasks!$A:$A,$A2104,Tasks!$B:$B,$B2104,Tasks!$C:$C,$G2104)*100,0),"")</f>
        <v/>
      </c>
    </row>
    <row r="2105" spans="1:8" ht="15" hidden="1" customHeight="1">
      <c r="A2105" t="s">
        <v>102</v>
      </c>
      <c r="B2105" t="s">
        <v>104</v>
      </c>
      <c r="C2105">
        <v>24</v>
      </c>
      <c r="D2105">
        <v>6</v>
      </c>
      <c r="E2105">
        <v>2</v>
      </c>
      <c r="F2105">
        <v>3</v>
      </c>
      <c r="G2105" t="s">
        <v>122</v>
      </c>
      <c r="H2105" t="str">
        <f>IFERROR(ROUND(COUNTIFS(Tasks!$A:$A,$A2105,Tasks!$B:$B,$B2105,Tasks!$C:$C,$G2105,Tasks!$I:$I,"&lt;="&amp;INDEX(Weeks!$D:$D,MATCH($C2105,Weeks!$A:$A,0)),Tasks!$I:$I,"&lt;&gt;")/COUNTIFS(Tasks!$A:$A,$A2105,Tasks!$B:$B,$B2105,Tasks!$C:$C,$G2105)*100,0),"")</f>
        <v/>
      </c>
    </row>
    <row r="2106" spans="1:8" ht="15" hidden="1" customHeight="1">
      <c r="A2106" t="s">
        <v>102</v>
      </c>
      <c r="B2106" t="s">
        <v>104</v>
      </c>
      <c r="C2106">
        <v>25</v>
      </c>
      <c r="D2106">
        <v>6</v>
      </c>
      <c r="E2106">
        <v>3</v>
      </c>
      <c r="F2106">
        <v>3</v>
      </c>
      <c r="G2106" t="s">
        <v>122</v>
      </c>
      <c r="H2106" t="str">
        <f>IFERROR(ROUND(COUNTIFS(Tasks!$A:$A,$A2106,Tasks!$B:$B,$B2106,Tasks!$C:$C,$G2106,Tasks!$I:$I,"&lt;="&amp;INDEX(Weeks!$D:$D,MATCH($C2106,Weeks!$A:$A,0)),Tasks!$I:$I,"&lt;&gt;")/COUNTIFS(Tasks!$A:$A,$A2106,Tasks!$B:$B,$B2106,Tasks!$C:$C,$G2106)*100,0),"")</f>
        <v/>
      </c>
    </row>
    <row r="2107" spans="1:8" ht="15" hidden="1" customHeight="1">
      <c r="A2107" t="s">
        <v>102</v>
      </c>
      <c r="B2107" t="s">
        <v>104</v>
      </c>
      <c r="C2107">
        <v>26</v>
      </c>
      <c r="D2107">
        <v>6</v>
      </c>
      <c r="E2107">
        <v>4</v>
      </c>
      <c r="F2107">
        <v>3</v>
      </c>
      <c r="G2107" t="s">
        <v>122</v>
      </c>
      <c r="H2107" t="str">
        <f>IFERROR(ROUND(COUNTIFS(Tasks!$A:$A,$A2107,Tasks!$B:$B,$B2107,Tasks!$C:$C,$G2107,Tasks!$I:$I,"&lt;="&amp;INDEX(Weeks!$D:$D,MATCH($C2107,Weeks!$A:$A,0)),Tasks!$I:$I,"&lt;&gt;")/COUNTIFS(Tasks!$A:$A,$A2107,Tasks!$B:$B,$B2107,Tasks!$C:$C,$G2107)*100,0),"")</f>
        <v/>
      </c>
    </row>
    <row r="2108" spans="1:8" ht="15" hidden="1" customHeight="1">
      <c r="A2108" t="s">
        <v>102</v>
      </c>
      <c r="B2108" t="s">
        <v>104</v>
      </c>
      <c r="C2108">
        <v>27</v>
      </c>
      <c r="D2108">
        <v>7</v>
      </c>
      <c r="E2108">
        <v>1</v>
      </c>
      <c r="F2108">
        <v>3</v>
      </c>
      <c r="G2108" t="s">
        <v>122</v>
      </c>
      <c r="H2108" t="str">
        <f>IFERROR(ROUND(COUNTIFS(Tasks!$A:$A,$A2108,Tasks!$B:$B,$B2108,Tasks!$C:$C,$G2108,Tasks!$I:$I,"&lt;="&amp;INDEX(Weeks!$D:$D,MATCH($C2108,Weeks!$A:$A,0)),Tasks!$I:$I,"&lt;&gt;")/COUNTIFS(Tasks!$A:$A,$A2108,Tasks!$B:$B,$B2108,Tasks!$C:$C,$G2108)*100,0),"")</f>
        <v/>
      </c>
    </row>
    <row r="2109" spans="1:8" ht="15" hidden="1" customHeight="1">
      <c r="A2109" t="s">
        <v>102</v>
      </c>
      <c r="B2109" t="s">
        <v>104</v>
      </c>
      <c r="C2109">
        <v>28</v>
      </c>
      <c r="D2109">
        <v>7</v>
      </c>
      <c r="E2109">
        <v>2</v>
      </c>
      <c r="F2109">
        <v>3</v>
      </c>
      <c r="G2109" t="s">
        <v>122</v>
      </c>
      <c r="H2109" t="str">
        <f>IFERROR(ROUND(COUNTIFS(Tasks!$A:$A,$A2109,Tasks!$B:$B,$B2109,Tasks!$C:$C,$G2109,Tasks!$I:$I,"&lt;="&amp;INDEX(Weeks!$D:$D,MATCH($C2109,Weeks!$A:$A,0)),Tasks!$I:$I,"&lt;&gt;")/COUNTIFS(Tasks!$A:$A,$A2109,Tasks!$B:$B,$B2109,Tasks!$C:$C,$G2109)*100,0),"")</f>
        <v/>
      </c>
    </row>
    <row r="2110" spans="1:8" ht="15" hidden="1" customHeight="1">
      <c r="A2110" t="s">
        <v>102</v>
      </c>
      <c r="B2110" t="s">
        <v>104</v>
      </c>
      <c r="C2110">
        <v>29</v>
      </c>
      <c r="D2110">
        <v>7</v>
      </c>
      <c r="E2110">
        <v>3</v>
      </c>
      <c r="F2110">
        <v>3</v>
      </c>
      <c r="G2110" t="s">
        <v>122</v>
      </c>
      <c r="H2110" t="str">
        <f>IFERROR(ROUND(COUNTIFS(Tasks!$A:$A,$A2110,Tasks!$B:$B,$B2110,Tasks!$C:$C,$G2110,Tasks!$I:$I,"&lt;="&amp;INDEX(Weeks!$D:$D,MATCH($C2110,Weeks!$A:$A,0)),Tasks!$I:$I,"&lt;&gt;")/COUNTIFS(Tasks!$A:$A,$A2110,Tasks!$B:$B,$B2110,Tasks!$C:$C,$G2110)*100,0),"")</f>
        <v/>
      </c>
    </row>
    <row r="2111" spans="1:8" ht="15" hidden="1" customHeight="1">
      <c r="A2111" t="s">
        <v>102</v>
      </c>
      <c r="B2111" t="s">
        <v>104</v>
      </c>
      <c r="C2111">
        <v>30</v>
      </c>
      <c r="D2111">
        <v>7</v>
      </c>
      <c r="E2111">
        <v>4</v>
      </c>
      <c r="F2111">
        <v>3</v>
      </c>
      <c r="G2111" t="s">
        <v>122</v>
      </c>
      <c r="H2111" t="str">
        <f>IFERROR(ROUND(COUNTIFS(Tasks!$A:$A,$A2111,Tasks!$B:$B,$B2111,Tasks!$C:$C,$G2111,Tasks!$I:$I,"&lt;="&amp;INDEX(Weeks!$D:$D,MATCH($C2111,Weeks!$A:$A,0)),Tasks!$I:$I,"&lt;&gt;")/COUNTIFS(Tasks!$A:$A,$A2111,Tasks!$B:$B,$B2111,Tasks!$C:$C,$G2111)*100,0),"")</f>
        <v/>
      </c>
    </row>
    <row r="2112" spans="1:8" ht="15" hidden="1" customHeight="1">
      <c r="A2112" t="s">
        <v>102</v>
      </c>
      <c r="B2112" t="s">
        <v>104</v>
      </c>
      <c r="C2112">
        <v>31</v>
      </c>
      <c r="D2112">
        <v>8</v>
      </c>
      <c r="E2112">
        <v>1</v>
      </c>
      <c r="F2112">
        <v>3</v>
      </c>
      <c r="G2112" t="s">
        <v>122</v>
      </c>
      <c r="H2112" t="str">
        <f>IFERROR(ROUND(COUNTIFS(Tasks!$A:$A,$A2112,Tasks!$B:$B,$B2112,Tasks!$C:$C,$G2112,Tasks!$I:$I,"&lt;="&amp;INDEX(Weeks!$D:$D,MATCH($C2112,Weeks!$A:$A,0)),Tasks!$I:$I,"&lt;&gt;")/COUNTIFS(Tasks!$A:$A,$A2112,Tasks!$B:$B,$B2112,Tasks!$C:$C,$G2112)*100,0),"")</f>
        <v/>
      </c>
    </row>
    <row r="2113" spans="1:8" ht="15" hidden="1" customHeight="1">
      <c r="A2113" t="s">
        <v>102</v>
      </c>
      <c r="B2113" t="s">
        <v>104</v>
      </c>
      <c r="C2113">
        <v>32</v>
      </c>
      <c r="D2113">
        <v>8</v>
      </c>
      <c r="E2113">
        <v>2</v>
      </c>
      <c r="F2113">
        <v>3</v>
      </c>
      <c r="G2113" t="s">
        <v>122</v>
      </c>
      <c r="H2113" t="str">
        <f>IFERROR(ROUND(COUNTIFS(Tasks!$A:$A,$A2113,Tasks!$B:$B,$B2113,Tasks!$C:$C,$G2113,Tasks!$I:$I,"&lt;="&amp;INDEX(Weeks!$D:$D,MATCH($C2113,Weeks!$A:$A,0)),Tasks!$I:$I,"&lt;&gt;")/COUNTIFS(Tasks!$A:$A,$A2113,Tasks!$B:$B,$B2113,Tasks!$C:$C,$G2113)*100,0),"")</f>
        <v/>
      </c>
    </row>
    <row r="2114" spans="1:8" ht="15" hidden="1" customHeight="1">
      <c r="A2114" t="s">
        <v>102</v>
      </c>
      <c r="B2114" t="s">
        <v>104</v>
      </c>
      <c r="C2114">
        <v>33</v>
      </c>
      <c r="D2114">
        <v>8</v>
      </c>
      <c r="E2114">
        <v>3</v>
      </c>
      <c r="F2114">
        <v>3</v>
      </c>
      <c r="G2114" t="s">
        <v>122</v>
      </c>
      <c r="H2114" t="str">
        <f>IFERROR(ROUND(COUNTIFS(Tasks!$A:$A,$A2114,Tasks!$B:$B,$B2114,Tasks!$C:$C,$G2114,Tasks!$I:$I,"&lt;="&amp;INDEX(Weeks!$D:$D,MATCH($C2114,Weeks!$A:$A,0)),Tasks!$I:$I,"&lt;&gt;")/COUNTIFS(Tasks!$A:$A,$A2114,Tasks!$B:$B,$B2114,Tasks!$C:$C,$G2114)*100,0),"")</f>
        <v/>
      </c>
    </row>
    <row r="2115" spans="1:8" ht="15" hidden="1" customHeight="1">
      <c r="A2115" t="s">
        <v>102</v>
      </c>
      <c r="B2115" t="s">
        <v>104</v>
      </c>
      <c r="C2115">
        <v>34</v>
      </c>
      <c r="D2115">
        <v>8</v>
      </c>
      <c r="E2115">
        <v>4</v>
      </c>
      <c r="F2115">
        <v>3</v>
      </c>
      <c r="G2115" t="s">
        <v>122</v>
      </c>
      <c r="H2115" t="str">
        <f>IFERROR(ROUND(COUNTIFS(Tasks!$A:$A,$A2115,Tasks!$B:$B,$B2115,Tasks!$C:$C,$G2115,Tasks!$I:$I,"&lt;="&amp;INDEX(Weeks!$D:$D,MATCH($C2115,Weeks!$A:$A,0)),Tasks!$I:$I,"&lt;&gt;")/COUNTIFS(Tasks!$A:$A,$A2115,Tasks!$B:$B,$B2115,Tasks!$C:$C,$G2115)*100,0),"")</f>
        <v/>
      </c>
    </row>
    <row r="2116" spans="1:8" ht="15" hidden="1" customHeight="1">
      <c r="A2116" t="s">
        <v>102</v>
      </c>
      <c r="B2116" t="s">
        <v>104</v>
      </c>
      <c r="C2116">
        <v>35</v>
      </c>
      <c r="D2116">
        <v>8</v>
      </c>
      <c r="E2116">
        <v>5</v>
      </c>
      <c r="F2116">
        <v>3</v>
      </c>
      <c r="G2116" t="s">
        <v>122</v>
      </c>
      <c r="H2116" t="str">
        <f>IFERROR(ROUND(COUNTIFS(Tasks!$A:$A,$A2116,Tasks!$B:$B,$B2116,Tasks!$C:$C,$G2116,Tasks!$I:$I,"&lt;="&amp;INDEX(Weeks!$D:$D,MATCH($C2116,Weeks!$A:$A,0)),Tasks!$I:$I,"&lt;&gt;")/COUNTIFS(Tasks!$A:$A,$A2116,Tasks!$B:$B,$B2116,Tasks!$C:$C,$G2116)*100,0),"")</f>
        <v/>
      </c>
    </row>
    <row r="2117" spans="1:8" ht="15" hidden="1" customHeight="1">
      <c r="A2117" t="s">
        <v>102</v>
      </c>
      <c r="B2117" t="s">
        <v>104</v>
      </c>
      <c r="C2117">
        <v>36</v>
      </c>
      <c r="D2117">
        <v>9</v>
      </c>
      <c r="E2117">
        <v>1</v>
      </c>
      <c r="F2117">
        <v>3</v>
      </c>
      <c r="G2117" t="s">
        <v>122</v>
      </c>
      <c r="H2117" t="str">
        <f>IFERROR(ROUND(COUNTIFS(Tasks!$A:$A,$A2117,Tasks!$B:$B,$B2117,Tasks!$C:$C,$G2117,Tasks!$I:$I,"&lt;="&amp;INDEX(Weeks!$D:$D,MATCH($C2117,Weeks!$A:$A,0)),Tasks!$I:$I,"&lt;&gt;")/COUNTIFS(Tasks!$A:$A,$A2117,Tasks!$B:$B,$B2117,Tasks!$C:$C,$G2117)*100,0),"")</f>
        <v/>
      </c>
    </row>
    <row r="2118" spans="1:8" ht="15" hidden="1" customHeight="1">
      <c r="A2118" t="s">
        <v>102</v>
      </c>
      <c r="B2118" t="s">
        <v>104</v>
      </c>
      <c r="C2118">
        <v>37</v>
      </c>
      <c r="D2118">
        <v>9</v>
      </c>
      <c r="E2118">
        <v>2</v>
      </c>
      <c r="F2118">
        <v>3</v>
      </c>
      <c r="G2118" t="s">
        <v>122</v>
      </c>
      <c r="H2118" t="str">
        <f>IFERROR(ROUND(COUNTIFS(Tasks!$A:$A,$A2118,Tasks!$B:$B,$B2118,Tasks!$C:$C,$G2118,Tasks!$I:$I,"&lt;="&amp;INDEX(Weeks!$D:$D,MATCH($C2118,Weeks!$A:$A,0)),Tasks!$I:$I,"&lt;&gt;")/COUNTIFS(Tasks!$A:$A,$A2118,Tasks!$B:$B,$B2118,Tasks!$C:$C,$G2118)*100,0),"")</f>
        <v/>
      </c>
    </row>
    <row r="2119" spans="1:8" ht="15" hidden="1" customHeight="1">
      <c r="A2119" t="s">
        <v>102</v>
      </c>
      <c r="B2119" t="s">
        <v>104</v>
      </c>
      <c r="C2119">
        <v>38</v>
      </c>
      <c r="D2119">
        <v>9</v>
      </c>
      <c r="E2119">
        <v>3</v>
      </c>
      <c r="F2119">
        <v>3</v>
      </c>
      <c r="G2119" t="s">
        <v>122</v>
      </c>
      <c r="H2119" t="str">
        <f>IFERROR(ROUND(COUNTIFS(Tasks!$A:$A,$A2119,Tasks!$B:$B,$B2119,Tasks!$C:$C,$G2119,Tasks!$I:$I,"&lt;="&amp;INDEX(Weeks!$D:$D,MATCH($C2119,Weeks!$A:$A,0)),Tasks!$I:$I,"&lt;&gt;")/COUNTIFS(Tasks!$A:$A,$A2119,Tasks!$B:$B,$B2119,Tasks!$C:$C,$G2119)*100,0),"")</f>
        <v/>
      </c>
    </row>
    <row r="2120" spans="1:8" ht="15" hidden="1" customHeight="1">
      <c r="A2120" t="s">
        <v>102</v>
      </c>
      <c r="B2120" t="s">
        <v>104</v>
      </c>
      <c r="C2120">
        <v>39</v>
      </c>
      <c r="D2120">
        <v>9</v>
      </c>
      <c r="E2120">
        <v>4</v>
      </c>
      <c r="F2120">
        <v>3</v>
      </c>
      <c r="G2120" t="s">
        <v>122</v>
      </c>
      <c r="H2120" t="str">
        <f>IFERROR(ROUND(COUNTIFS(Tasks!$A:$A,$A2120,Tasks!$B:$B,$B2120,Tasks!$C:$C,$G2120,Tasks!$I:$I,"&lt;="&amp;INDEX(Weeks!$D:$D,MATCH($C2120,Weeks!$A:$A,0)),Tasks!$I:$I,"&lt;&gt;")/COUNTIFS(Tasks!$A:$A,$A2120,Tasks!$B:$B,$B2120,Tasks!$C:$C,$G2120)*100,0),"")</f>
        <v/>
      </c>
    </row>
    <row r="2121" spans="1:8" ht="15" hidden="1" customHeight="1">
      <c r="A2121" t="s">
        <v>102</v>
      </c>
      <c r="B2121" t="s">
        <v>104</v>
      </c>
      <c r="C2121">
        <v>40</v>
      </c>
      <c r="D2121">
        <v>10</v>
      </c>
      <c r="E2121">
        <v>1</v>
      </c>
      <c r="F2121">
        <v>3</v>
      </c>
      <c r="G2121" t="s">
        <v>122</v>
      </c>
      <c r="H2121" t="str">
        <f>IFERROR(ROUND(COUNTIFS(Tasks!$A:$A,$A2121,Tasks!$B:$B,$B2121,Tasks!$C:$C,$G2121,Tasks!$I:$I,"&lt;="&amp;INDEX(Weeks!$D:$D,MATCH($C2121,Weeks!$A:$A,0)),Tasks!$I:$I,"&lt;&gt;")/COUNTIFS(Tasks!$A:$A,$A2121,Tasks!$B:$B,$B2121,Tasks!$C:$C,$G2121)*100,0),"")</f>
        <v/>
      </c>
    </row>
    <row r="2122" spans="1:8" ht="15" hidden="1" customHeight="1">
      <c r="A2122" t="s">
        <v>102</v>
      </c>
      <c r="B2122" t="s">
        <v>104</v>
      </c>
      <c r="C2122">
        <v>41</v>
      </c>
      <c r="D2122">
        <v>10</v>
      </c>
      <c r="E2122">
        <v>2</v>
      </c>
      <c r="F2122">
        <v>3</v>
      </c>
      <c r="G2122" t="s">
        <v>122</v>
      </c>
      <c r="H2122" t="str">
        <f>IFERROR(ROUND(COUNTIFS(Tasks!$A:$A,$A2122,Tasks!$B:$B,$B2122,Tasks!$C:$C,$G2122,Tasks!$I:$I,"&lt;="&amp;INDEX(Weeks!$D:$D,MATCH($C2122,Weeks!$A:$A,0)),Tasks!$I:$I,"&lt;&gt;")/COUNTIFS(Tasks!$A:$A,$A2122,Tasks!$B:$B,$B2122,Tasks!$C:$C,$G2122)*100,0),"")</f>
        <v/>
      </c>
    </row>
    <row r="2123" spans="1:8" ht="15" hidden="1" customHeight="1">
      <c r="A2123" t="s">
        <v>102</v>
      </c>
      <c r="B2123" t="s">
        <v>104</v>
      </c>
      <c r="C2123">
        <v>42</v>
      </c>
      <c r="D2123">
        <v>10</v>
      </c>
      <c r="E2123">
        <v>3</v>
      </c>
      <c r="F2123">
        <v>3</v>
      </c>
      <c r="G2123" t="s">
        <v>122</v>
      </c>
      <c r="H2123" t="str">
        <f>IFERROR(ROUND(COUNTIFS(Tasks!$A:$A,$A2123,Tasks!$B:$B,$B2123,Tasks!$C:$C,$G2123,Tasks!$I:$I,"&lt;="&amp;INDEX(Weeks!$D:$D,MATCH($C2123,Weeks!$A:$A,0)),Tasks!$I:$I,"&lt;&gt;")/COUNTIFS(Tasks!$A:$A,$A2123,Tasks!$B:$B,$B2123,Tasks!$C:$C,$G2123)*100,0),"")</f>
        <v/>
      </c>
    </row>
    <row r="2124" spans="1:8" ht="15" hidden="1" customHeight="1">
      <c r="A2124" t="s">
        <v>102</v>
      </c>
      <c r="B2124" t="s">
        <v>104</v>
      </c>
      <c r="C2124">
        <v>43</v>
      </c>
      <c r="D2124">
        <v>10</v>
      </c>
      <c r="E2124">
        <v>4</v>
      </c>
      <c r="F2124">
        <v>3</v>
      </c>
      <c r="G2124" t="s">
        <v>122</v>
      </c>
      <c r="H2124" t="str">
        <f>IFERROR(ROUND(COUNTIFS(Tasks!$A:$A,$A2124,Tasks!$B:$B,$B2124,Tasks!$C:$C,$G2124,Tasks!$I:$I,"&lt;="&amp;INDEX(Weeks!$D:$D,MATCH($C2124,Weeks!$A:$A,0)),Tasks!$I:$I,"&lt;&gt;")/COUNTIFS(Tasks!$A:$A,$A2124,Tasks!$B:$B,$B2124,Tasks!$C:$C,$G2124)*100,0),"")</f>
        <v/>
      </c>
    </row>
    <row r="2125" spans="1:8" ht="15" hidden="1" customHeight="1">
      <c r="A2125" t="s">
        <v>102</v>
      </c>
      <c r="B2125" t="s">
        <v>104</v>
      </c>
      <c r="C2125">
        <v>44</v>
      </c>
      <c r="D2125">
        <v>10</v>
      </c>
      <c r="E2125">
        <v>5</v>
      </c>
      <c r="F2125">
        <v>3</v>
      </c>
      <c r="G2125" t="s">
        <v>122</v>
      </c>
      <c r="H2125" t="str">
        <f>IFERROR(ROUND(COUNTIFS(Tasks!$A:$A,$A2125,Tasks!$B:$B,$B2125,Tasks!$C:$C,$G2125,Tasks!$I:$I,"&lt;="&amp;INDEX(Weeks!$D:$D,MATCH($C2125,Weeks!$A:$A,0)),Tasks!$I:$I,"&lt;&gt;")/COUNTIFS(Tasks!$A:$A,$A2125,Tasks!$B:$B,$B2125,Tasks!$C:$C,$G2125)*100,0),"")</f>
        <v/>
      </c>
    </row>
    <row r="2126" spans="1:8" ht="15" hidden="1" customHeight="1">
      <c r="A2126" t="s">
        <v>102</v>
      </c>
      <c r="B2126" t="s">
        <v>104</v>
      </c>
      <c r="C2126">
        <v>45</v>
      </c>
      <c r="D2126">
        <v>11</v>
      </c>
      <c r="E2126">
        <v>1</v>
      </c>
      <c r="F2126">
        <v>3</v>
      </c>
      <c r="G2126" t="s">
        <v>122</v>
      </c>
      <c r="H2126" t="str">
        <f>IFERROR(ROUND(COUNTIFS(Tasks!$A:$A,$A2126,Tasks!$B:$B,$B2126,Tasks!$C:$C,$G2126,Tasks!$I:$I,"&lt;="&amp;INDEX(Weeks!$D:$D,MATCH($C2126,Weeks!$A:$A,0)),Tasks!$I:$I,"&lt;&gt;")/COUNTIFS(Tasks!$A:$A,$A2126,Tasks!$B:$B,$B2126,Tasks!$C:$C,$G2126)*100,0),"")</f>
        <v/>
      </c>
    </row>
    <row r="2127" spans="1:8" ht="15" hidden="1" customHeight="1">
      <c r="A2127" t="s">
        <v>102</v>
      </c>
      <c r="B2127" t="s">
        <v>104</v>
      </c>
      <c r="C2127">
        <v>46</v>
      </c>
      <c r="D2127">
        <v>11</v>
      </c>
      <c r="E2127">
        <v>2</v>
      </c>
      <c r="F2127">
        <v>3</v>
      </c>
      <c r="G2127" t="s">
        <v>122</v>
      </c>
      <c r="H2127" t="str">
        <f>IFERROR(ROUND(COUNTIFS(Tasks!$A:$A,$A2127,Tasks!$B:$B,$B2127,Tasks!$C:$C,$G2127,Tasks!$I:$I,"&lt;="&amp;INDEX(Weeks!$D:$D,MATCH($C2127,Weeks!$A:$A,0)),Tasks!$I:$I,"&lt;&gt;")/COUNTIFS(Tasks!$A:$A,$A2127,Tasks!$B:$B,$B2127,Tasks!$C:$C,$G2127)*100,0),"")</f>
        <v/>
      </c>
    </row>
    <row r="2128" spans="1:8" ht="15" hidden="1" customHeight="1">
      <c r="A2128" t="s">
        <v>102</v>
      </c>
      <c r="B2128" t="s">
        <v>104</v>
      </c>
      <c r="C2128">
        <v>47</v>
      </c>
      <c r="D2128">
        <v>11</v>
      </c>
      <c r="E2128">
        <v>3</v>
      </c>
      <c r="F2128">
        <v>3</v>
      </c>
      <c r="G2128" t="s">
        <v>122</v>
      </c>
      <c r="H2128" t="str">
        <f>IFERROR(ROUND(COUNTIFS(Tasks!$A:$A,$A2128,Tasks!$B:$B,$B2128,Tasks!$C:$C,$G2128,Tasks!$I:$I,"&lt;="&amp;INDEX(Weeks!$D:$D,MATCH($C2128,Weeks!$A:$A,0)),Tasks!$I:$I,"&lt;&gt;")/COUNTIFS(Tasks!$A:$A,$A2128,Tasks!$B:$B,$B2128,Tasks!$C:$C,$G2128)*100,0),"")</f>
        <v/>
      </c>
    </row>
    <row r="2129" spans="1:8" ht="15" hidden="1" customHeight="1">
      <c r="A2129" t="s">
        <v>102</v>
      </c>
      <c r="B2129" t="s">
        <v>104</v>
      </c>
      <c r="C2129">
        <v>48</v>
      </c>
      <c r="D2129">
        <v>11</v>
      </c>
      <c r="E2129">
        <v>4</v>
      </c>
      <c r="F2129">
        <v>3</v>
      </c>
      <c r="G2129" t="s">
        <v>122</v>
      </c>
      <c r="H2129" t="str">
        <f>IFERROR(ROUND(COUNTIFS(Tasks!$A:$A,$A2129,Tasks!$B:$B,$B2129,Tasks!$C:$C,$G2129,Tasks!$I:$I,"&lt;="&amp;INDEX(Weeks!$D:$D,MATCH($C2129,Weeks!$A:$A,0)),Tasks!$I:$I,"&lt;&gt;")/COUNTIFS(Tasks!$A:$A,$A2129,Tasks!$B:$B,$B2129,Tasks!$C:$C,$G2129)*100,0),"")</f>
        <v/>
      </c>
    </row>
    <row r="2130" spans="1:8" ht="15" hidden="1" customHeight="1">
      <c r="A2130" t="s">
        <v>102</v>
      </c>
      <c r="B2130" t="s">
        <v>104</v>
      </c>
      <c r="C2130">
        <v>49</v>
      </c>
      <c r="D2130">
        <v>12</v>
      </c>
      <c r="E2130">
        <v>1</v>
      </c>
      <c r="F2130">
        <v>3</v>
      </c>
      <c r="G2130" t="s">
        <v>122</v>
      </c>
      <c r="H2130" t="str">
        <f>IFERROR(ROUND(COUNTIFS(Tasks!$A:$A,$A2130,Tasks!$B:$B,$B2130,Tasks!$C:$C,$G2130,Tasks!$I:$I,"&lt;="&amp;INDEX(Weeks!$D:$D,MATCH($C2130,Weeks!$A:$A,0)),Tasks!$I:$I,"&lt;&gt;")/COUNTIFS(Tasks!$A:$A,$A2130,Tasks!$B:$B,$B2130,Tasks!$C:$C,$G2130)*100,0),"")</f>
        <v/>
      </c>
    </row>
    <row r="2131" spans="1:8" ht="15" hidden="1" customHeight="1">
      <c r="A2131" t="s">
        <v>102</v>
      </c>
      <c r="B2131" t="s">
        <v>104</v>
      </c>
      <c r="C2131">
        <v>50</v>
      </c>
      <c r="D2131">
        <v>12</v>
      </c>
      <c r="E2131">
        <v>2</v>
      </c>
      <c r="F2131">
        <v>3</v>
      </c>
      <c r="G2131" t="s">
        <v>122</v>
      </c>
      <c r="H2131" t="str">
        <f>IFERROR(ROUND(COUNTIFS(Tasks!$A:$A,$A2131,Tasks!$B:$B,$B2131,Tasks!$C:$C,$G2131,Tasks!$I:$I,"&lt;="&amp;INDEX(Weeks!$D:$D,MATCH($C2131,Weeks!$A:$A,0)),Tasks!$I:$I,"&lt;&gt;")/COUNTIFS(Tasks!$A:$A,$A2131,Tasks!$B:$B,$B2131,Tasks!$C:$C,$G2131)*100,0),"")</f>
        <v/>
      </c>
    </row>
    <row r="2132" spans="1:8" ht="15" hidden="1" customHeight="1">
      <c r="A2132" t="s">
        <v>102</v>
      </c>
      <c r="B2132" t="s">
        <v>104</v>
      </c>
      <c r="C2132">
        <v>51</v>
      </c>
      <c r="D2132">
        <v>12</v>
      </c>
      <c r="E2132">
        <v>3</v>
      </c>
      <c r="F2132">
        <v>3</v>
      </c>
      <c r="G2132" t="s">
        <v>122</v>
      </c>
      <c r="H2132" t="str">
        <f>IFERROR(ROUND(COUNTIFS(Tasks!$A:$A,$A2132,Tasks!$B:$B,$B2132,Tasks!$C:$C,$G2132,Tasks!$I:$I,"&lt;="&amp;INDEX(Weeks!$D:$D,MATCH($C2132,Weeks!$A:$A,0)),Tasks!$I:$I,"&lt;&gt;")/COUNTIFS(Tasks!$A:$A,$A2132,Tasks!$B:$B,$B2132,Tasks!$C:$C,$G2132)*100,0),"")</f>
        <v/>
      </c>
    </row>
    <row r="2133" spans="1:8" ht="15" hidden="1" customHeight="1">
      <c r="A2133" t="s">
        <v>102</v>
      </c>
      <c r="B2133" t="s">
        <v>104</v>
      </c>
      <c r="C2133">
        <v>52</v>
      </c>
      <c r="D2133">
        <v>12</v>
      </c>
      <c r="E2133">
        <v>4</v>
      </c>
      <c r="F2133">
        <v>3</v>
      </c>
      <c r="G2133" t="s">
        <v>122</v>
      </c>
      <c r="H2133" t="str">
        <f>IFERROR(ROUND(COUNTIFS(Tasks!$A:$A,$A2133,Tasks!$B:$B,$B2133,Tasks!$C:$C,$G2133,Tasks!$I:$I,"&lt;="&amp;INDEX(Weeks!$D:$D,MATCH($C2133,Weeks!$A:$A,0)),Tasks!$I:$I,"&lt;&gt;")/COUNTIFS(Tasks!$A:$A,$A2133,Tasks!$B:$B,$B2133,Tasks!$C:$C,$G2133)*100,0),"")</f>
        <v/>
      </c>
    </row>
    <row r="2134" spans="1:8" ht="15" hidden="1" customHeight="1">
      <c r="A2134" t="s">
        <v>102</v>
      </c>
      <c r="B2134" t="s">
        <v>104</v>
      </c>
      <c r="C2134">
        <v>1</v>
      </c>
      <c r="D2134">
        <v>1</v>
      </c>
      <c r="E2134">
        <v>1</v>
      </c>
      <c r="F2134">
        <v>4</v>
      </c>
      <c r="G2134" t="s">
        <v>123</v>
      </c>
      <c r="H2134" t="str">
        <f>IFERROR(ROUND(COUNTIFS(Tasks!$A:$A,$A2134,Tasks!$B:$B,$B2134,Tasks!$C:$C,$G2134,Tasks!$I:$I,"&lt;="&amp;INDEX(Weeks!$D:$D,MATCH($C2134,Weeks!$A:$A,0)),Tasks!$I:$I,"&lt;&gt;")/COUNTIFS(Tasks!$A:$A,$A2134,Tasks!$B:$B,$B2134,Tasks!$C:$C,$G2134)*100,0),"")</f>
        <v/>
      </c>
    </row>
    <row r="2135" spans="1:8" ht="15" hidden="1" customHeight="1">
      <c r="A2135" t="s">
        <v>102</v>
      </c>
      <c r="B2135" t="s">
        <v>104</v>
      </c>
      <c r="C2135">
        <v>2</v>
      </c>
      <c r="D2135">
        <v>1</v>
      </c>
      <c r="E2135">
        <v>2</v>
      </c>
      <c r="F2135">
        <v>4</v>
      </c>
      <c r="G2135" t="s">
        <v>123</v>
      </c>
      <c r="H2135" t="str">
        <f>IFERROR(ROUND(COUNTIFS(Tasks!$A:$A,$A2135,Tasks!$B:$B,$B2135,Tasks!$C:$C,$G2135,Tasks!$I:$I,"&lt;="&amp;INDEX(Weeks!$D:$D,MATCH($C2135,Weeks!$A:$A,0)),Tasks!$I:$I,"&lt;&gt;")/COUNTIFS(Tasks!$A:$A,$A2135,Tasks!$B:$B,$B2135,Tasks!$C:$C,$G2135)*100,0),"")</f>
        <v/>
      </c>
    </row>
    <row r="2136" spans="1:8" ht="15" hidden="1" customHeight="1">
      <c r="A2136" t="s">
        <v>102</v>
      </c>
      <c r="B2136" t="s">
        <v>104</v>
      </c>
      <c r="C2136">
        <v>3</v>
      </c>
      <c r="D2136">
        <v>1</v>
      </c>
      <c r="E2136">
        <v>3</v>
      </c>
      <c r="F2136">
        <v>4</v>
      </c>
      <c r="G2136" t="s">
        <v>123</v>
      </c>
      <c r="H2136" t="str">
        <f>IFERROR(ROUND(COUNTIFS(Tasks!$A:$A,$A2136,Tasks!$B:$B,$B2136,Tasks!$C:$C,$G2136,Tasks!$I:$I,"&lt;="&amp;INDEX(Weeks!$D:$D,MATCH($C2136,Weeks!$A:$A,0)),Tasks!$I:$I,"&lt;&gt;")/COUNTIFS(Tasks!$A:$A,$A2136,Tasks!$B:$B,$B2136,Tasks!$C:$C,$G2136)*100,0),"")</f>
        <v/>
      </c>
    </row>
    <row r="2137" spans="1:8" ht="15" hidden="1" customHeight="1">
      <c r="A2137" t="s">
        <v>102</v>
      </c>
      <c r="B2137" t="s">
        <v>104</v>
      </c>
      <c r="C2137">
        <v>4</v>
      </c>
      <c r="D2137">
        <v>1</v>
      </c>
      <c r="E2137">
        <v>4</v>
      </c>
      <c r="F2137">
        <v>4</v>
      </c>
      <c r="G2137" t="s">
        <v>123</v>
      </c>
      <c r="H2137" t="str">
        <f>IFERROR(ROUND(COUNTIFS(Tasks!$A:$A,$A2137,Tasks!$B:$B,$B2137,Tasks!$C:$C,$G2137,Tasks!$I:$I,"&lt;="&amp;INDEX(Weeks!$D:$D,MATCH($C2137,Weeks!$A:$A,0)),Tasks!$I:$I,"&lt;&gt;")/COUNTIFS(Tasks!$A:$A,$A2137,Tasks!$B:$B,$B2137,Tasks!$C:$C,$G2137)*100,0),"")</f>
        <v/>
      </c>
    </row>
    <row r="2138" spans="1:8" ht="15" hidden="1" customHeight="1">
      <c r="A2138" t="s">
        <v>102</v>
      </c>
      <c r="B2138" t="s">
        <v>104</v>
      </c>
      <c r="C2138">
        <v>5</v>
      </c>
      <c r="D2138">
        <v>1</v>
      </c>
      <c r="E2138">
        <v>5</v>
      </c>
      <c r="F2138">
        <v>4</v>
      </c>
      <c r="G2138" t="s">
        <v>123</v>
      </c>
      <c r="H2138" t="str">
        <f>IFERROR(ROUND(COUNTIFS(Tasks!$A:$A,$A2138,Tasks!$B:$B,$B2138,Tasks!$C:$C,$G2138,Tasks!$I:$I,"&lt;="&amp;INDEX(Weeks!$D:$D,MATCH($C2138,Weeks!$A:$A,0)),Tasks!$I:$I,"&lt;&gt;")/COUNTIFS(Tasks!$A:$A,$A2138,Tasks!$B:$B,$B2138,Tasks!$C:$C,$G2138)*100,0),"")</f>
        <v/>
      </c>
    </row>
    <row r="2139" spans="1:8" ht="15" hidden="1" customHeight="1">
      <c r="A2139" t="s">
        <v>102</v>
      </c>
      <c r="B2139" t="s">
        <v>104</v>
      </c>
      <c r="C2139">
        <v>6</v>
      </c>
      <c r="D2139">
        <v>2</v>
      </c>
      <c r="E2139">
        <v>1</v>
      </c>
      <c r="F2139">
        <v>4</v>
      </c>
      <c r="G2139" t="s">
        <v>123</v>
      </c>
      <c r="H2139" t="str">
        <f>IFERROR(ROUND(COUNTIFS(Tasks!$A:$A,$A2139,Tasks!$B:$B,$B2139,Tasks!$C:$C,$G2139,Tasks!$I:$I,"&lt;="&amp;INDEX(Weeks!$D:$D,MATCH($C2139,Weeks!$A:$A,0)),Tasks!$I:$I,"&lt;&gt;")/COUNTIFS(Tasks!$A:$A,$A2139,Tasks!$B:$B,$B2139,Tasks!$C:$C,$G2139)*100,0),"")</f>
        <v/>
      </c>
    </row>
    <row r="2140" spans="1:8" ht="15" hidden="1" customHeight="1">
      <c r="A2140" t="s">
        <v>102</v>
      </c>
      <c r="B2140" t="s">
        <v>104</v>
      </c>
      <c r="C2140">
        <v>7</v>
      </c>
      <c r="D2140">
        <v>2</v>
      </c>
      <c r="E2140">
        <v>2</v>
      </c>
      <c r="F2140">
        <v>4</v>
      </c>
      <c r="G2140" t="s">
        <v>123</v>
      </c>
      <c r="H2140" t="str">
        <f>IFERROR(ROUND(COUNTIFS(Tasks!$A:$A,$A2140,Tasks!$B:$B,$B2140,Tasks!$C:$C,$G2140,Tasks!$I:$I,"&lt;="&amp;INDEX(Weeks!$D:$D,MATCH($C2140,Weeks!$A:$A,0)),Tasks!$I:$I,"&lt;&gt;")/COUNTIFS(Tasks!$A:$A,$A2140,Tasks!$B:$B,$B2140,Tasks!$C:$C,$G2140)*100,0),"")</f>
        <v/>
      </c>
    </row>
    <row r="2141" spans="1:8" ht="15" hidden="1" customHeight="1">
      <c r="A2141" t="s">
        <v>102</v>
      </c>
      <c r="B2141" t="s">
        <v>104</v>
      </c>
      <c r="C2141">
        <v>8</v>
      </c>
      <c r="D2141">
        <v>2</v>
      </c>
      <c r="E2141">
        <v>3</v>
      </c>
      <c r="F2141">
        <v>4</v>
      </c>
      <c r="G2141" t="s">
        <v>123</v>
      </c>
      <c r="H2141" t="str">
        <f>IFERROR(ROUND(COUNTIFS(Tasks!$A:$A,$A2141,Tasks!$B:$B,$B2141,Tasks!$C:$C,$G2141,Tasks!$I:$I,"&lt;="&amp;INDEX(Weeks!$D:$D,MATCH($C2141,Weeks!$A:$A,0)),Tasks!$I:$I,"&lt;&gt;")/COUNTIFS(Tasks!$A:$A,$A2141,Tasks!$B:$B,$B2141,Tasks!$C:$C,$G2141)*100,0),"")</f>
        <v/>
      </c>
    </row>
    <row r="2142" spans="1:8" ht="15" hidden="1" customHeight="1">
      <c r="A2142" t="s">
        <v>102</v>
      </c>
      <c r="B2142" t="s">
        <v>104</v>
      </c>
      <c r="C2142">
        <v>9</v>
      </c>
      <c r="D2142">
        <v>2</v>
      </c>
      <c r="E2142">
        <v>4</v>
      </c>
      <c r="F2142">
        <v>4</v>
      </c>
      <c r="G2142" t="s">
        <v>123</v>
      </c>
      <c r="H2142" t="str">
        <f>IFERROR(ROUND(COUNTIFS(Tasks!$A:$A,$A2142,Tasks!$B:$B,$B2142,Tasks!$C:$C,$G2142,Tasks!$I:$I,"&lt;="&amp;INDEX(Weeks!$D:$D,MATCH($C2142,Weeks!$A:$A,0)),Tasks!$I:$I,"&lt;&gt;")/COUNTIFS(Tasks!$A:$A,$A2142,Tasks!$B:$B,$B2142,Tasks!$C:$C,$G2142)*100,0),"")</f>
        <v/>
      </c>
    </row>
    <row r="2143" spans="1:8" ht="15" hidden="1" customHeight="1">
      <c r="A2143" t="s">
        <v>102</v>
      </c>
      <c r="B2143" t="s">
        <v>104</v>
      </c>
      <c r="C2143">
        <v>10</v>
      </c>
      <c r="D2143">
        <v>3</v>
      </c>
      <c r="E2143">
        <v>1</v>
      </c>
      <c r="F2143">
        <v>4</v>
      </c>
      <c r="G2143" t="s">
        <v>123</v>
      </c>
      <c r="H2143" t="str">
        <f>IFERROR(ROUND(COUNTIFS(Tasks!$A:$A,$A2143,Tasks!$B:$B,$B2143,Tasks!$C:$C,$G2143,Tasks!$I:$I,"&lt;="&amp;INDEX(Weeks!$D:$D,MATCH($C2143,Weeks!$A:$A,0)),Tasks!$I:$I,"&lt;&gt;")/COUNTIFS(Tasks!$A:$A,$A2143,Tasks!$B:$B,$B2143,Tasks!$C:$C,$G2143)*100,0),"")</f>
        <v/>
      </c>
    </row>
    <row r="2144" spans="1:8" ht="15" hidden="1" customHeight="1">
      <c r="A2144" t="s">
        <v>102</v>
      </c>
      <c r="B2144" t="s">
        <v>104</v>
      </c>
      <c r="C2144">
        <v>11</v>
      </c>
      <c r="D2144">
        <v>3</v>
      </c>
      <c r="E2144">
        <v>2</v>
      </c>
      <c r="F2144">
        <v>4</v>
      </c>
      <c r="G2144" t="s">
        <v>123</v>
      </c>
      <c r="H2144" t="str">
        <f>IFERROR(ROUND(COUNTIFS(Tasks!$A:$A,$A2144,Tasks!$B:$B,$B2144,Tasks!$C:$C,$G2144,Tasks!$I:$I,"&lt;="&amp;INDEX(Weeks!$D:$D,MATCH($C2144,Weeks!$A:$A,0)),Tasks!$I:$I,"&lt;&gt;")/COUNTIFS(Tasks!$A:$A,$A2144,Tasks!$B:$B,$B2144,Tasks!$C:$C,$G2144)*100,0),"")</f>
        <v/>
      </c>
    </row>
    <row r="2145" spans="1:8" ht="15" hidden="1" customHeight="1">
      <c r="A2145" t="s">
        <v>102</v>
      </c>
      <c r="B2145" t="s">
        <v>104</v>
      </c>
      <c r="C2145">
        <v>12</v>
      </c>
      <c r="D2145">
        <v>3</v>
      </c>
      <c r="E2145">
        <v>3</v>
      </c>
      <c r="F2145">
        <v>4</v>
      </c>
      <c r="G2145" t="s">
        <v>123</v>
      </c>
      <c r="H2145" t="str">
        <f>IFERROR(ROUND(COUNTIFS(Tasks!$A:$A,$A2145,Tasks!$B:$B,$B2145,Tasks!$C:$C,$G2145,Tasks!$I:$I,"&lt;="&amp;INDEX(Weeks!$D:$D,MATCH($C2145,Weeks!$A:$A,0)),Tasks!$I:$I,"&lt;&gt;")/COUNTIFS(Tasks!$A:$A,$A2145,Tasks!$B:$B,$B2145,Tasks!$C:$C,$G2145)*100,0),"")</f>
        <v/>
      </c>
    </row>
    <row r="2146" spans="1:8" ht="15" hidden="1" customHeight="1">
      <c r="A2146" t="s">
        <v>102</v>
      </c>
      <c r="B2146" t="s">
        <v>104</v>
      </c>
      <c r="C2146">
        <v>13</v>
      </c>
      <c r="D2146">
        <v>3</v>
      </c>
      <c r="E2146">
        <v>4</v>
      </c>
      <c r="F2146">
        <v>4</v>
      </c>
      <c r="G2146" t="s">
        <v>123</v>
      </c>
      <c r="H2146" t="str">
        <f>IFERROR(ROUND(COUNTIFS(Tasks!$A:$A,$A2146,Tasks!$B:$B,$B2146,Tasks!$C:$C,$G2146,Tasks!$I:$I,"&lt;="&amp;INDEX(Weeks!$D:$D,MATCH($C2146,Weeks!$A:$A,0)),Tasks!$I:$I,"&lt;&gt;")/COUNTIFS(Tasks!$A:$A,$A2146,Tasks!$B:$B,$B2146,Tasks!$C:$C,$G2146)*100,0),"")</f>
        <v/>
      </c>
    </row>
    <row r="2147" spans="1:8" ht="15" hidden="1" customHeight="1">
      <c r="A2147" t="s">
        <v>102</v>
      </c>
      <c r="B2147" t="s">
        <v>104</v>
      </c>
      <c r="C2147">
        <v>14</v>
      </c>
      <c r="D2147">
        <v>4</v>
      </c>
      <c r="E2147">
        <v>1</v>
      </c>
      <c r="F2147">
        <v>4</v>
      </c>
      <c r="G2147" t="s">
        <v>123</v>
      </c>
      <c r="H2147" t="str">
        <f>IFERROR(ROUND(COUNTIFS(Tasks!$A:$A,$A2147,Tasks!$B:$B,$B2147,Tasks!$C:$C,$G2147,Tasks!$I:$I,"&lt;="&amp;INDEX(Weeks!$D:$D,MATCH($C2147,Weeks!$A:$A,0)),Tasks!$I:$I,"&lt;&gt;")/COUNTIFS(Tasks!$A:$A,$A2147,Tasks!$B:$B,$B2147,Tasks!$C:$C,$G2147)*100,0),"")</f>
        <v/>
      </c>
    </row>
    <row r="2148" spans="1:8" ht="15" hidden="1" customHeight="1">
      <c r="A2148" t="s">
        <v>102</v>
      </c>
      <c r="B2148" t="s">
        <v>104</v>
      </c>
      <c r="C2148">
        <v>15</v>
      </c>
      <c r="D2148">
        <v>4</v>
      </c>
      <c r="E2148">
        <v>2</v>
      </c>
      <c r="F2148">
        <v>4</v>
      </c>
      <c r="G2148" t="s">
        <v>123</v>
      </c>
      <c r="H2148" t="str">
        <f>IFERROR(ROUND(COUNTIFS(Tasks!$A:$A,$A2148,Tasks!$B:$B,$B2148,Tasks!$C:$C,$G2148,Tasks!$I:$I,"&lt;="&amp;INDEX(Weeks!$D:$D,MATCH($C2148,Weeks!$A:$A,0)),Tasks!$I:$I,"&lt;&gt;")/COUNTIFS(Tasks!$A:$A,$A2148,Tasks!$B:$B,$B2148,Tasks!$C:$C,$G2148)*100,0),"")</f>
        <v/>
      </c>
    </row>
    <row r="2149" spans="1:8" ht="15" hidden="1" customHeight="1">
      <c r="A2149" t="s">
        <v>102</v>
      </c>
      <c r="B2149" t="s">
        <v>104</v>
      </c>
      <c r="C2149">
        <v>16</v>
      </c>
      <c r="D2149">
        <v>4</v>
      </c>
      <c r="E2149">
        <v>3</v>
      </c>
      <c r="F2149">
        <v>4</v>
      </c>
      <c r="G2149" t="s">
        <v>123</v>
      </c>
      <c r="H2149" t="str">
        <f>IFERROR(ROUND(COUNTIFS(Tasks!$A:$A,$A2149,Tasks!$B:$B,$B2149,Tasks!$C:$C,$G2149,Tasks!$I:$I,"&lt;="&amp;INDEX(Weeks!$D:$D,MATCH($C2149,Weeks!$A:$A,0)),Tasks!$I:$I,"&lt;&gt;")/COUNTIFS(Tasks!$A:$A,$A2149,Tasks!$B:$B,$B2149,Tasks!$C:$C,$G2149)*100,0),"")</f>
        <v/>
      </c>
    </row>
    <row r="2150" spans="1:8" ht="15" hidden="1" customHeight="1">
      <c r="A2150" t="s">
        <v>102</v>
      </c>
      <c r="B2150" t="s">
        <v>104</v>
      </c>
      <c r="C2150">
        <v>17</v>
      </c>
      <c r="D2150">
        <v>4</v>
      </c>
      <c r="E2150">
        <v>4</v>
      </c>
      <c r="F2150">
        <v>4</v>
      </c>
      <c r="G2150" t="s">
        <v>123</v>
      </c>
      <c r="H2150" t="str">
        <f>IFERROR(ROUND(COUNTIFS(Tasks!$A:$A,$A2150,Tasks!$B:$B,$B2150,Tasks!$C:$C,$G2150,Tasks!$I:$I,"&lt;="&amp;INDEX(Weeks!$D:$D,MATCH($C2150,Weeks!$A:$A,0)),Tasks!$I:$I,"&lt;&gt;")/COUNTIFS(Tasks!$A:$A,$A2150,Tasks!$B:$B,$B2150,Tasks!$C:$C,$G2150)*100,0),"")</f>
        <v/>
      </c>
    </row>
    <row r="2151" spans="1:8" ht="15" hidden="1" customHeight="1">
      <c r="A2151" t="s">
        <v>102</v>
      </c>
      <c r="B2151" t="s">
        <v>104</v>
      </c>
      <c r="C2151">
        <v>18</v>
      </c>
      <c r="D2151">
        <v>5</v>
      </c>
      <c r="E2151">
        <v>1</v>
      </c>
      <c r="F2151">
        <v>4</v>
      </c>
      <c r="G2151" t="s">
        <v>123</v>
      </c>
      <c r="H2151" t="str">
        <f>IFERROR(ROUND(COUNTIFS(Tasks!$A:$A,$A2151,Tasks!$B:$B,$B2151,Tasks!$C:$C,$G2151,Tasks!$I:$I,"&lt;="&amp;INDEX(Weeks!$D:$D,MATCH($C2151,Weeks!$A:$A,0)),Tasks!$I:$I,"&lt;&gt;")/COUNTIFS(Tasks!$A:$A,$A2151,Tasks!$B:$B,$B2151,Tasks!$C:$C,$G2151)*100,0),"")</f>
        <v/>
      </c>
    </row>
    <row r="2152" spans="1:8" ht="15" hidden="1" customHeight="1">
      <c r="A2152" t="s">
        <v>102</v>
      </c>
      <c r="B2152" t="s">
        <v>104</v>
      </c>
      <c r="C2152">
        <v>19</v>
      </c>
      <c r="D2152">
        <v>5</v>
      </c>
      <c r="E2152">
        <v>2</v>
      </c>
      <c r="F2152">
        <v>4</v>
      </c>
      <c r="G2152" t="s">
        <v>123</v>
      </c>
      <c r="H2152" t="str">
        <f>IFERROR(ROUND(COUNTIFS(Tasks!$A:$A,$A2152,Tasks!$B:$B,$B2152,Tasks!$C:$C,$G2152,Tasks!$I:$I,"&lt;="&amp;INDEX(Weeks!$D:$D,MATCH($C2152,Weeks!$A:$A,0)),Tasks!$I:$I,"&lt;&gt;")/COUNTIFS(Tasks!$A:$A,$A2152,Tasks!$B:$B,$B2152,Tasks!$C:$C,$G2152)*100,0),"")</f>
        <v/>
      </c>
    </row>
    <row r="2153" spans="1:8" ht="15" hidden="1" customHeight="1">
      <c r="A2153" t="s">
        <v>102</v>
      </c>
      <c r="B2153" t="s">
        <v>104</v>
      </c>
      <c r="C2153">
        <v>20</v>
      </c>
      <c r="D2153">
        <v>5</v>
      </c>
      <c r="E2153">
        <v>3</v>
      </c>
      <c r="F2153">
        <v>4</v>
      </c>
      <c r="G2153" t="s">
        <v>123</v>
      </c>
      <c r="H2153" t="str">
        <f>IFERROR(ROUND(COUNTIFS(Tasks!$A:$A,$A2153,Tasks!$B:$B,$B2153,Tasks!$C:$C,$G2153,Tasks!$I:$I,"&lt;="&amp;INDEX(Weeks!$D:$D,MATCH($C2153,Weeks!$A:$A,0)),Tasks!$I:$I,"&lt;&gt;")/COUNTIFS(Tasks!$A:$A,$A2153,Tasks!$B:$B,$B2153,Tasks!$C:$C,$G2153)*100,0),"")</f>
        <v/>
      </c>
    </row>
    <row r="2154" spans="1:8" ht="15" hidden="1" customHeight="1">
      <c r="A2154" t="s">
        <v>102</v>
      </c>
      <c r="B2154" t="s">
        <v>104</v>
      </c>
      <c r="C2154">
        <v>21</v>
      </c>
      <c r="D2154">
        <v>5</v>
      </c>
      <c r="E2154">
        <v>4</v>
      </c>
      <c r="F2154">
        <v>4</v>
      </c>
      <c r="G2154" t="s">
        <v>123</v>
      </c>
      <c r="H2154" t="str">
        <f>IFERROR(ROUND(COUNTIFS(Tasks!$A:$A,$A2154,Tasks!$B:$B,$B2154,Tasks!$C:$C,$G2154,Tasks!$I:$I,"&lt;="&amp;INDEX(Weeks!$D:$D,MATCH($C2154,Weeks!$A:$A,0)),Tasks!$I:$I,"&lt;&gt;")/COUNTIFS(Tasks!$A:$A,$A2154,Tasks!$B:$B,$B2154,Tasks!$C:$C,$G2154)*100,0),"")</f>
        <v/>
      </c>
    </row>
    <row r="2155" spans="1:8" ht="15" hidden="1" customHeight="1">
      <c r="A2155" t="s">
        <v>102</v>
      </c>
      <c r="B2155" t="s">
        <v>104</v>
      </c>
      <c r="C2155">
        <v>22</v>
      </c>
      <c r="D2155">
        <v>5</v>
      </c>
      <c r="E2155">
        <v>5</v>
      </c>
      <c r="F2155">
        <v>4</v>
      </c>
      <c r="G2155" t="s">
        <v>123</v>
      </c>
      <c r="H2155" t="str">
        <f>IFERROR(ROUND(COUNTIFS(Tasks!$A:$A,$A2155,Tasks!$B:$B,$B2155,Tasks!$C:$C,$G2155,Tasks!$I:$I,"&lt;="&amp;INDEX(Weeks!$D:$D,MATCH($C2155,Weeks!$A:$A,0)),Tasks!$I:$I,"&lt;&gt;")/COUNTIFS(Tasks!$A:$A,$A2155,Tasks!$B:$B,$B2155,Tasks!$C:$C,$G2155)*100,0),"")</f>
        <v/>
      </c>
    </row>
    <row r="2156" spans="1:8" ht="15" hidden="1" customHeight="1">
      <c r="A2156" t="s">
        <v>102</v>
      </c>
      <c r="B2156" t="s">
        <v>104</v>
      </c>
      <c r="C2156">
        <v>23</v>
      </c>
      <c r="D2156">
        <v>6</v>
      </c>
      <c r="E2156">
        <v>1</v>
      </c>
      <c r="F2156">
        <v>4</v>
      </c>
      <c r="G2156" t="s">
        <v>123</v>
      </c>
      <c r="H2156" t="str">
        <f>IFERROR(ROUND(COUNTIFS(Tasks!$A:$A,$A2156,Tasks!$B:$B,$B2156,Tasks!$C:$C,$G2156,Tasks!$I:$I,"&lt;="&amp;INDEX(Weeks!$D:$D,MATCH($C2156,Weeks!$A:$A,0)),Tasks!$I:$I,"&lt;&gt;")/COUNTIFS(Tasks!$A:$A,$A2156,Tasks!$B:$B,$B2156,Tasks!$C:$C,$G2156)*100,0),"")</f>
        <v/>
      </c>
    </row>
    <row r="2157" spans="1:8" ht="15" hidden="1" customHeight="1">
      <c r="A2157" t="s">
        <v>102</v>
      </c>
      <c r="B2157" t="s">
        <v>104</v>
      </c>
      <c r="C2157">
        <v>24</v>
      </c>
      <c r="D2157">
        <v>6</v>
      </c>
      <c r="E2157">
        <v>2</v>
      </c>
      <c r="F2157">
        <v>4</v>
      </c>
      <c r="G2157" t="s">
        <v>123</v>
      </c>
      <c r="H2157" t="str">
        <f>IFERROR(ROUND(COUNTIFS(Tasks!$A:$A,$A2157,Tasks!$B:$B,$B2157,Tasks!$C:$C,$G2157,Tasks!$I:$I,"&lt;="&amp;INDEX(Weeks!$D:$D,MATCH($C2157,Weeks!$A:$A,0)),Tasks!$I:$I,"&lt;&gt;")/COUNTIFS(Tasks!$A:$A,$A2157,Tasks!$B:$B,$B2157,Tasks!$C:$C,$G2157)*100,0),"")</f>
        <v/>
      </c>
    </row>
    <row r="2158" spans="1:8" ht="15" hidden="1" customHeight="1">
      <c r="A2158" t="s">
        <v>102</v>
      </c>
      <c r="B2158" t="s">
        <v>104</v>
      </c>
      <c r="C2158">
        <v>25</v>
      </c>
      <c r="D2158">
        <v>6</v>
      </c>
      <c r="E2158">
        <v>3</v>
      </c>
      <c r="F2158">
        <v>4</v>
      </c>
      <c r="G2158" t="s">
        <v>123</v>
      </c>
      <c r="H2158" t="str">
        <f>IFERROR(ROUND(COUNTIFS(Tasks!$A:$A,$A2158,Tasks!$B:$B,$B2158,Tasks!$C:$C,$G2158,Tasks!$I:$I,"&lt;="&amp;INDEX(Weeks!$D:$D,MATCH($C2158,Weeks!$A:$A,0)),Tasks!$I:$I,"&lt;&gt;")/COUNTIFS(Tasks!$A:$A,$A2158,Tasks!$B:$B,$B2158,Tasks!$C:$C,$G2158)*100,0),"")</f>
        <v/>
      </c>
    </row>
    <row r="2159" spans="1:8" ht="15" hidden="1" customHeight="1">
      <c r="A2159" t="s">
        <v>102</v>
      </c>
      <c r="B2159" t="s">
        <v>104</v>
      </c>
      <c r="C2159">
        <v>26</v>
      </c>
      <c r="D2159">
        <v>6</v>
      </c>
      <c r="E2159">
        <v>4</v>
      </c>
      <c r="F2159">
        <v>4</v>
      </c>
      <c r="G2159" t="s">
        <v>123</v>
      </c>
      <c r="H2159" t="str">
        <f>IFERROR(ROUND(COUNTIFS(Tasks!$A:$A,$A2159,Tasks!$B:$B,$B2159,Tasks!$C:$C,$G2159,Tasks!$I:$I,"&lt;="&amp;INDEX(Weeks!$D:$D,MATCH($C2159,Weeks!$A:$A,0)),Tasks!$I:$I,"&lt;&gt;")/COUNTIFS(Tasks!$A:$A,$A2159,Tasks!$B:$B,$B2159,Tasks!$C:$C,$G2159)*100,0),"")</f>
        <v/>
      </c>
    </row>
    <row r="2160" spans="1:8" ht="15" hidden="1" customHeight="1">
      <c r="A2160" t="s">
        <v>102</v>
      </c>
      <c r="B2160" t="s">
        <v>104</v>
      </c>
      <c r="C2160">
        <v>27</v>
      </c>
      <c r="D2160">
        <v>7</v>
      </c>
      <c r="E2160">
        <v>1</v>
      </c>
      <c r="F2160">
        <v>4</v>
      </c>
      <c r="G2160" t="s">
        <v>123</v>
      </c>
      <c r="H2160" t="str">
        <f>IFERROR(ROUND(COUNTIFS(Tasks!$A:$A,$A2160,Tasks!$B:$B,$B2160,Tasks!$C:$C,$G2160,Tasks!$I:$I,"&lt;="&amp;INDEX(Weeks!$D:$D,MATCH($C2160,Weeks!$A:$A,0)),Tasks!$I:$I,"&lt;&gt;")/COUNTIFS(Tasks!$A:$A,$A2160,Tasks!$B:$B,$B2160,Tasks!$C:$C,$G2160)*100,0),"")</f>
        <v/>
      </c>
    </row>
    <row r="2161" spans="1:8" ht="15" hidden="1" customHeight="1">
      <c r="A2161" t="s">
        <v>102</v>
      </c>
      <c r="B2161" t="s">
        <v>104</v>
      </c>
      <c r="C2161">
        <v>28</v>
      </c>
      <c r="D2161">
        <v>7</v>
      </c>
      <c r="E2161">
        <v>2</v>
      </c>
      <c r="F2161">
        <v>4</v>
      </c>
      <c r="G2161" t="s">
        <v>123</v>
      </c>
      <c r="H2161" t="str">
        <f>IFERROR(ROUND(COUNTIFS(Tasks!$A:$A,$A2161,Tasks!$B:$B,$B2161,Tasks!$C:$C,$G2161,Tasks!$I:$I,"&lt;="&amp;INDEX(Weeks!$D:$D,MATCH($C2161,Weeks!$A:$A,0)),Tasks!$I:$I,"&lt;&gt;")/COUNTIFS(Tasks!$A:$A,$A2161,Tasks!$B:$B,$B2161,Tasks!$C:$C,$G2161)*100,0),"")</f>
        <v/>
      </c>
    </row>
    <row r="2162" spans="1:8" ht="15" hidden="1" customHeight="1">
      <c r="A2162" t="s">
        <v>102</v>
      </c>
      <c r="B2162" t="s">
        <v>104</v>
      </c>
      <c r="C2162">
        <v>29</v>
      </c>
      <c r="D2162">
        <v>7</v>
      </c>
      <c r="E2162">
        <v>3</v>
      </c>
      <c r="F2162">
        <v>4</v>
      </c>
      <c r="G2162" t="s">
        <v>123</v>
      </c>
      <c r="H2162" t="str">
        <f>IFERROR(ROUND(COUNTIFS(Tasks!$A:$A,$A2162,Tasks!$B:$B,$B2162,Tasks!$C:$C,$G2162,Tasks!$I:$I,"&lt;="&amp;INDEX(Weeks!$D:$D,MATCH($C2162,Weeks!$A:$A,0)),Tasks!$I:$I,"&lt;&gt;")/COUNTIFS(Tasks!$A:$A,$A2162,Tasks!$B:$B,$B2162,Tasks!$C:$C,$G2162)*100,0),"")</f>
        <v/>
      </c>
    </row>
    <row r="2163" spans="1:8" ht="15" hidden="1" customHeight="1">
      <c r="A2163" t="s">
        <v>102</v>
      </c>
      <c r="B2163" t="s">
        <v>104</v>
      </c>
      <c r="C2163">
        <v>30</v>
      </c>
      <c r="D2163">
        <v>7</v>
      </c>
      <c r="E2163">
        <v>4</v>
      </c>
      <c r="F2163">
        <v>4</v>
      </c>
      <c r="G2163" t="s">
        <v>123</v>
      </c>
      <c r="H2163" t="str">
        <f>IFERROR(ROUND(COUNTIFS(Tasks!$A:$A,$A2163,Tasks!$B:$B,$B2163,Tasks!$C:$C,$G2163,Tasks!$I:$I,"&lt;="&amp;INDEX(Weeks!$D:$D,MATCH($C2163,Weeks!$A:$A,0)),Tasks!$I:$I,"&lt;&gt;")/COUNTIFS(Tasks!$A:$A,$A2163,Tasks!$B:$B,$B2163,Tasks!$C:$C,$G2163)*100,0),"")</f>
        <v/>
      </c>
    </row>
    <row r="2164" spans="1:8" ht="15" hidden="1" customHeight="1">
      <c r="A2164" t="s">
        <v>102</v>
      </c>
      <c r="B2164" t="s">
        <v>104</v>
      </c>
      <c r="C2164">
        <v>31</v>
      </c>
      <c r="D2164">
        <v>8</v>
      </c>
      <c r="E2164">
        <v>1</v>
      </c>
      <c r="F2164">
        <v>4</v>
      </c>
      <c r="G2164" t="s">
        <v>123</v>
      </c>
      <c r="H2164" t="str">
        <f>IFERROR(ROUND(COUNTIFS(Tasks!$A:$A,$A2164,Tasks!$B:$B,$B2164,Tasks!$C:$C,$G2164,Tasks!$I:$I,"&lt;="&amp;INDEX(Weeks!$D:$D,MATCH($C2164,Weeks!$A:$A,0)),Tasks!$I:$I,"&lt;&gt;")/COUNTIFS(Tasks!$A:$A,$A2164,Tasks!$B:$B,$B2164,Tasks!$C:$C,$G2164)*100,0),"")</f>
        <v/>
      </c>
    </row>
    <row r="2165" spans="1:8" ht="15" hidden="1" customHeight="1">
      <c r="A2165" t="s">
        <v>102</v>
      </c>
      <c r="B2165" t="s">
        <v>104</v>
      </c>
      <c r="C2165">
        <v>32</v>
      </c>
      <c r="D2165">
        <v>8</v>
      </c>
      <c r="E2165">
        <v>2</v>
      </c>
      <c r="F2165">
        <v>4</v>
      </c>
      <c r="G2165" t="s">
        <v>123</v>
      </c>
      <c r="H2165" t="str">
        <f>IFERROR(ROUND(COUNTIFS(Tasks!$A:$A,$A2165,Tasks!$B:$B,$B2165,Tasks!$C:$C,$G2165,Tasks!$I:$I,"&lt;="&amp;INDEX(Weeks!$D:$D,MATCH($C2165,Weeks!$A:$A,0)),Tasks!$I:$I,"&lt;&gt;")/COUNTIFS(Tasks!$A:$A,$A2165,Tasks!$B:$B,$B2165,Tasks!$C:$C,$G2165)*100,0),"")</f>
        <v/>
      </c>
    </row>
    <row r="2166" spans="1:8" ht="15" hidden="1" customHeight="1">
      <c r="A2166" t="s">
        <v>102</v>
      </c>
      <c r="B2166" t="s">
        <v>104</v>
      </c>
      <c r="C2166">
        <v>33</v>
      </c>
      <c r="D2166">
        <v>8</v>
      </c>
      <c r="E2166">
        <v>3</v>
      </c>
      <c r="F2166">
        <v>4</v>
      </c>
      <c r="G2166" t="s">
        <v>123</v>
      </c>
      <c r="H2166" t="str">
        <f>IFERROR(ROUND(COUNTIFS(Tasks!$A:$A,$A2166,Tasks!$B:$B,$B2166,Tasks!$C:$C,$G2166,Tasks!$I:$I,"&lt;="&amp;INDEX(Weeks!$D:$D,MATCH($C2166,Weeks!$A:$A,0)),Tasks!$I:$I,"&lt;&gt;")/COUNTIFS(Tasks!$A:$A,$A2166,Tasks!$B:$B,$B2166,Tasks!$C:$C,$G2166)*100,0),"")</f>
        <v/>
      </c>
    </row>
    <row r="2167" spans="1:8" ht="15" hidden="1" customHeight="1">
      <c r="A2167" t="s">
        <v>102</v>
      </c>
      <c r="B2167" t="s">
        <v>104</v>
      </c>
      <c r="C2167">
        <v>34</v>
      </c>
      <c r="D2167">
        <v>8</v>
      </c>
      <c r="E2167">
        <v>4</v>
      </c>
      <c r="F2167">
        <v>4</v>
      </c>
      <c r="G2167" t="s">
        <v>123</v>
      </c>
      <c r="H2167" t="str">
        <f>IFERROR(ROUND(COUNTIFS(Tasks!$A:$A,$A2167,Tasks!$B:$B,$B2167,Tasks!$C:$C,$G2167,Tasks!$I:$I,"&lt;="&amp;INDEX(Weeks!$D:$D,MATCH($C2167,Weeks!$A:$A,0)),Tasks!$I:$I,"&lt;&gt;")/COUNTIFS(Tasks!$A:$A,$A2167,Tasks!$B:$B,$B2167,Tasks!$C:$C,$G2167)*100,0),"")</f>
        <v/>
      </c>
    </row>
    <row r="2168" spans="1:8" ht="15" hidden="1" customHeight="1">
      <c r="A2168" t="s">
        <v>102</v>
      </c>
      <c r="B2168" t="s">
        <v>104</v>
      </c>
      <c r="C2168">
        <v>35</v>
      </c>
      <c r="D2168">
        <v>8</v>
      </c>
      <c r="E2168">
        <v>5</v>
      </c>
      <c r="F2168">
        <v>4</v>
      </c>
      <c r="G2168" t="s">
        <v>123</v>
      </c>
      <c r="H2168" t="str">
        <f>IFERROR(ROUND(COUNTIFS(Tasks!$A:$A,$A2168,Tasks!$B:$B,$B2168,Tasks!$C:$C,$G2168,Tasks!$I:$I,"&lt;="&amp;INDEX(Weeks!$D:$D,MATCH($C2168,Weeks!$A:$A,0)),Tasks!$I:$I,"&lt;&gt;")/COUNTIFS(Tasks!$A:$A,$A2168,Tasks!$B:$B,$B2168,Tasks!$C:$C,$G2168)*100,0),"")</f>
        <v/>
      </c>
    </row>
    <row r="2169" spans="1:8" ht="15" hidden="1" customHeight="1">
      <c r="A2169" t="s">
        <v>102</v>
      </c>
      <c r="B2169" t="s">
        <v>104</v>
      </c>
      <c r="C2169">
        <v>36</v>
      </c>
      <c r="D2169">
        <v>9</v>
      </c>
      <c r="E2169">
        <v>1</v>
      </c>
      <c r="F2169">
        <v>4</v>
      </c>
      <c r="G2169" t="s">
        <v>123</v>
      </c>
      <c r="H2169" t="str">
        <f>IFERROR(ROUND(COUNTIFS(Tasks!$A:$A,$A2169,Tasks!$B:$B,$B2169,Tasks!$C:$C,$G2169,Tasks!$I:$I,"&lt;="&amp;INDEX(Weeks!$D:$D,MATCH($C2169,Weeks!$A:$A,0)),Tasks!$I:$I,"&lt;&gt;")/COUNTIFS(Tasks!$A:$A,$A2169,Tasks!$B:$B,$B2169,Tasks!$C:$C,$G2169)*100,0),"")</f>
        <v/>
      </c>
    </row>
    <row r="2170" spans="1:8" ht="15" hidden="1" customHeight="1">
      <c r="A2170" t="s">
        <v>102</v>
      </c>
      <c r="B2170" t="s">
        <v>104</v>
      </c>
      <c r="C2170">
        <v>37</v>
      </c>
      <c r="D2170">
        <v>9</v>
      </c>
      <c r="E2170">
        <v>2</v>
      </c>
      <c r="F2170">
        <v>4</v>
      </c>
      <c r="G2170" t="s">
        <v>123</v>
      </c>
      <c r="H2170" t="str">
        <f>IFERROR(ROUND(COUNTIFS(Tasks!$A:$A,$A2170,Tasks!$B:$B,$B2170,Tasks!$C:$C,$G2170,Tasks!$I:$I,"&lt;="&amp;INDEX(Weeks!$D:$D,MATCH($C2170,Weeks!$A:$A,0)),Tasks!$I:$I,"&lt;&gt;")/COUNTIFS(Tasks!$A:$A,$A2170,Tasks!$B:$B,$B2170,Tasks!$C:$C,$G2170)*100,0),"")</f>
        <v/>
      </c>
    </row>
    <row r="2171" spans="1:8" ht="15" hidden="1" customHeight="1">
      <c r="A2171" t="s">
        <v>102</v>
      </c>
      <c r="B2171" t="s">
        <v>104</v>
      </c>
      <c r="C2171">
        <v>38</v>
      </c>
      <c r="D2171">
        <v>9</v>
      </c>
      <c r="E2171">
        <v>3</v>
      </c>
      <c r="F2171">
        <v>4</v>
      </c>
      <c r="G2171" t="s">
        <v>123</v>
      </c>
      <c r="H2171" t="str">
        <f>IFERROR(ROUND(COUNTIFS(Tasks!$A:$A,$A2171,Tasks!$B:$B,$B2171,Tasks!$C:$C,$G2171,Tasks!$I:$I,"&lt;="&amp;INDEX(Weeks!$D:$D,MATCH($C2171,Weeks!$A:$A,0)),Tasks!$I:$I,"&lt;&gt;")/COUNTIFS(Tasks!$A:$A,$A2171,Tasks!$B:$B,$B2171,Tasks!$C:$C,$G2171)*100,0),"")</f>
        <v/>
      </c>
    </row>
    <row r="2172" spans="1:8" ht="15" hidden="1" customHeight="1">
      <c r="A2172" t="s">
        <v>102</v>
      </c>
      <c r="B2172" t="s">
        <v>104</v>
      </c>
      <c r="C2172">
        <v>39</v>
      </c>
      <c r="D2172">
        <v>9</v>
      </c>
      <c r="E2172">
        <v>4</v>
      </c>
      <c r="F2172">
        <v>4</v>
      </c>
      <c r="G2172" t="s">
        <v>123</v>
      </c>
      <c r="H2172" t="str">
        <f>IFERROR(ROUND(COUNTIFS(Tasks!$A:$A,$A2172,Tasks!$B:$B,$B2172,Tasks!$C:$C,$G2172,Tasks!$I:$I,"&lt;="&amp;INDEX(Weeks!$D:$D,MATCH($C2172,Weeks!$A:$A,0)),Tasks!$I:$I,"&lt;&gt;")/COUNTIFS(Tasks!$A:$A,$A2172,Tasks!$B:$B,$B2172,Tasks!$C:$C,$G2172)*100,0),"")</f>
        <v/>
      </c>
    </row>
    <row r="2173" spans="1:8" ht="15" hidden="1" customHeight="1">
      <c r="A2173" t="s">
        <v>102</v>
      </c>
      <c r="B2173" t="s">
        <v>104</v>
      </c>
      <c r="C2173">
        <v>40</v>
      </c>
      <c r="D2173">
        <v>10</v>
      </c>
      <c r="E2173">
        <v>1</v>
      </c>
      <c r="F2173">
        <v>4</v>
      </c>
      <c r="G2173" t="s">
        <v>123</v>
      </c>
      <c r="H2173" t="str">
        <f>IFERROR(ROUND(COUNTIFS(Tasks!$A:$A,$A2173,Tasks!$B:$B,$B2173,Tasks!$C:$C,$G2173,Tasks!$I:$I,"&lt;="&amp;INDEX(Weeks!$D:$D,MATCH($C2173,Weeks!$A:$A,0)),Tasks!$I:$I,"&lt;&gt;")/COUNTIFS(Tasks!$A:$A,$A2173,Tasks!$B:$B,$B2173,Tasks!$C:$C,$G2173)*100,0),"")</f>
        <v/>
      </c>
    </row>
    <row r="2174" spans="1:8" ht="15" hidden="1" customHeight="1">
      <c r="A2174" t="s">
        <v>102</v>
      </c>
      <c r="B2174" t="s">
        <v>104</v>
      </c>
      <c r="C2174">
        <v>41</v>
      </c>
      <c r="D2174">
        <v>10</v>
      </c>
      <c r="E2174">
        <v>2</v>
      </c>
      <c r="F2174">
        <v>4</v>
      </c>
      <c r="G2174" t="s">
        <v>123</v>
      </c>
      <c r="H2174" t="str">
        <f>IFERROR(ROUND(COUNTIFS(Tasks!$A:$A,$A2174,Tasks!$B:$B,$B2174,Tasks!$C:$C,$G2174,Tasks!$I:$I,"&lt;="&amp;INDEX(Weeks!$D:$D,MATCH($C2174,Weeks!$A:$A,0)),Tasks!$I:$I,"&lt;&gt;")/COUNTIFS(Tasks!$A:$A,$A2174,Tasks!$B:$B,$B2174,Tasks!$C:$C,$G2174)*100,0),"")</f>
        <v/>
      </c>
    </row>
    <row r="2175" spans="1:8" ht="15" hidden="1" customHeight="1">
      <c r="A2175" t="s">
        <v>102</v>
      </c>
      <c r="B2175" t="s">
        <v>104</v>
      </c>
      <c r="C2175">
        <v>42</v>
      </c>
      <c r="D2175">
        <v>10</v>
      </c>
      <c r="E2175">
        <v>3</v>
      </c>
      <c r="F2175">
        <v>4</v>
      </c>
      <c r="G2175" t="s">
        <v>123</v>
      </c>
      <c r="H2175" t="str">
        <f>IFERROR(ROUND(COUNTIFS(Tasks!$A:$A,$A2175,Tasks!$B:$B,$B2175,Tasks!$C:$C,$G2175,Tasks!$I:$I,"&lt;="&amp;INDEX(Weeks!$D:$D,MATCH($C2175,Weeks!$A:$A,0)),Tasks!$I:$I,"&lt;&gt;")/COUNTIFS(Tasks!$A:$A,$A2175,Tasks!$B:$B,$B2175,Tasks!$C:$C,$G2175)*100,0),"")</f>
        <v/>
      </c>
    </row>
    <row r="2176" spans="1:8" ht="15" hidden="1" customHeight="1">
      <c r="A2176" t="s">
        <v>102</v>
      </c>
      <c r="B2176" t="s">
        <v>104</v>
      </c>
      <c r="C2176">
        <v>43</v>
      </c>
      <c r="D2176">
        <v>10</v>
      </c>
      <c r="E2176">
        <v>4</v>
      </c>
      <c r="F2176">
        <v>4</v>
      </c>
      <c r="G2176" t="s">
        <v>123</v>
      </c>
      <c r="H2176" t="str">
        <f>IFERROR(ROUND(COUNTIFS(Tasks!$A:$A,$A2176,Tasks!$B:$B,$B2176,Tasks!$C:$C,$G2176,Tasks!$I:$I,"&lt;="&amp;INDEX(Weeks!$D:$D,MATCH($C2176,Weeks!$A:$A,0)),Tasks!$I:$I,"&lt;&gt;")/COUNTIFS(Tasks!$A:$A,$A2176,Tasks!$B:$B,$B2176,Tasks!$C:$C,$G2176)*100,0),"")</f>
        <v/>
      </c>
    </row>
    <row r="2177" spans="1:8" ht="15" hidden="1" customHeight="1">
      <c r="A2177" t="s">
        <v>102</v>
      </c>
      <c r="B2177" t="s">
        <v>104</v>
      </c>
      <c r="C2177">
        <v>44</v>
      </c>
      <c r="D2177">
        <v>10</v>
      </c>
      <c r="E2177">
        <v>5</v>
      </c>
      <c r="F2177">
        <v>4</v>
      </c>
      <c r="G2177" t="s">
        <v>123</v>
      </c>
      <c r="H2177" t="str">
        <f>IFERROR(ROUND(COUNTIFS(Tasks!$A:$A,$A2177,Tasks!$B:$B,$B2177,Tasks!$C:$C,$G2177,Tasks!$I:$I,"&lt;="&amp;INDEX(Weeks!$D:$D,MATCH($C2177,Weeks!$A:$A,0)),Tasks!$I:$I,"&lt;&gt;")/COUNTIFS(Tasks!$A:$A,$A2177,Tasks!$B:$B,$B2177,Tasks!$C:$C,$G2177)*100,0),"")</f>
        <v/>
      </c>
    </row>
    <row r="2178" spans="1:8" ht="15" hidden="1" customHeight="1">
      <c r="A2178" t="s">
        <v>102</v>
      </c>
      <c r="B2178" t="s">
        <v>104</v>
      </c>
      <c r="C2178">
        <v>45</v>
      </c>
      <c r="D2178">
        <v>11</v>
      </c>
      <c r="E2178">
        <v>1</v>
      </c>
      <c r="F2178">
        <v>4</v>
      </c>
      <c r="G2178" t="s">
        <v>123</v>
      </c>
      <c r="H2178" t="str">
        <f>IFERROR(ROUND(COUNTIFS(Tasks!$A:$A,$A2178,Tasks!$B:$B,$B2178,Tasks!$C:$C,$G2178,Tasks!$I:$I,"&lt;="&amp;INDEX(Weeks!$D:$D,MATCH($C2178,Weeks!$A:$A,0)),Tasks!$I:$I,"&lt;&gt;")/COUNTIFS(Tasks!$A:$A,$A2178,Tasks!$B:$B,$B2178,Tasks!$C:$C,$G2178)*100,0),"")</f>
        <v/>
      </c>
    </row>
    <row r="2179" spans="1:8" ht="15" hidden="1" customHeight="1">
      <c r="A2179" t="s">
        <v>102</v>
      </c>
      <c r="B2179" t="s">
        <v>104</v>
      </c>
      <c r="C2179">
        <v>46</v>
      </c>
      <c r="D2179">
        <v>11</v>
      </c>
      <c r="E2179">
        <v>2</v>
      </c>
      <c r="F2179">
        <v>4</v>
      </c>
      <c r="G2179" t="s">
        <v>123</v>
      </c>
      <c r="H2179" t="str">
        <f>IFERROR(ROUND(COUNTIFS(Tasks!$A:$A,$A2179,Tasks!$B:$B,$B2179,Tasks!$C:$C,$G2179,Tasks!$I:$I,"&lt;="&amp;INDEX(Weeks!$D:$D,MATCH($C2179,Weeks!$A:$A,0)),Tasks!$I:$I,"&lt;&gt;")/COUNTIFS(Tasks!$A:$A,$A2179,Tasks!$B:$B,$B2179,Tasks!$C:$C,$G2179)*100,0),"")</f>
        <v/>
      </c>
    </row>
    <row r="2180" spans="1:8" ht="15" hidden="1" customHeight="1">
      <c r="A2180" t="s">
        <v>102</v>
      </c>
      <c r="B2180" t="s">
        <v>104</v>
      </c>
      <c r="C2180">
        <v>47</v>
      </c>
      <c r="D2180">
        <v>11</v>
      </c>
      <c r="E2180">
        <v>3</v>
      </c>
      <c r="F2180">
        <v>4</v>
      </c>
      <c r="G2180" t="s">
        <v>123</v>
      </c>
      <c r="H2180" t="str">
        <f>IFERROR(ROUND(COUNTIFS(Tasks!$A:$A,$A2180,Tasks!$B:$B,$B2180,Tasks!$C:$C,$G2180,Tasks!$I:$I,"&lt;="&amp;INDEX(Weeks!$D:$D,MATCH($C2180,Weeks!$A:$A,0)),Tasks!$I:$I,"&lt;&gt;")/COUNTIFS(Tasks!$A:$A,$A2180,Tasks!$B:$B,$B2180,Tasks!$C:$C,$G2180)*100,0),"")</f>
        <v/>
      </c>
    </row>
    <row r="2181" spans="1:8" ht="15" hidden="1" customHeight="1">
      <c r="A2181" t="s">
        <v>102</v>
      </c>
      <c r="B2181" t="s">
        <v>104</v>
      </c>
      <c r="C2181">
        <v>48</v>
      </c>
      <c r="D2181">
        <v>11</v>
      </c>
      <c r="E2181">
        <v>4</v>
      </c>
      <c r="F2181">
        <v>4</v>
      </c>
      <c r="G2181" t="s">
        <v>123</v>
      </c>
      <c r="H2181" t="str">
        <f>IFERROR(ROUND(COUNTIFS(Tasks!$A:$A,$A2181,Tasks!$B:$B,$B2181,Tasks!$C:$C,$G2181,Tasks!$I:$I,"&lt;="&amp;INDEX(Weeks!$D:$D,MATCH($C2181,Weeks!$A:$A,0)),Tasks!$I:$I,"&lt;&gt;")/COUNTIFS(Tasks!$A:$A,$A2181,Tasks!$B:$B,$B2181,Tasks!$C:$C,$G2181)*100,0),"")</f>
        <v/>
      </c>
    </row>
    <row r="2182" spans="1:8" ht="15" hidden="1" customHeight="1">
      <c r="A2182" t="s">
        <v>102</v>
      </c>
      <c r="B2182" t="s">
        <v>104</v>
      </c>
      <c r="C2182">
        <v>49</v>
      </c>
      <c r="D2182">
        <v>12</v>
      </c>
      <c r="E2182">
        <v>1</v>
      </c>
      <c r="F2182">
        <v>4</v>
      </c>
      <c r="G2182" t="s">
        <v>123</v>
      </c>
      <c r="H2182" t="str">
        <f>IFERROR(ROUND(COUNTIFS(Tasks!$A:$A,$A2182,Tasks!$B:$B,$B2182,Tasks!$C:$C,$G2182,Tasks!$I:$I,"&lt;="&amp;INDEX(Weeks!$D:$D,MATCH($C2182,Weeks!$A:$A,0)),Tasks!$I:$I,"&lt;&gt;")/COUNTIFS(Tasks!$A:$A,$A2182,Tasks!$B:$B,$B2182,Tasks!$C:$C,$G2182)*100,0),"")</f>
        <v/>
      </c>
    </row>
    <row r="2183" spans="1:8" ht="15" hidden="1" customHeight="1">
      <c r="A2183" t="s">
        <v>102</v>
      </c>
      <c r="B2183" t="s">
        <v>104</v>
      </c>
      <c r="C2183">
        <v>50</v>
      </c>
      <c r="D2183">
        <v>12</v>
      </c>
      <c r="E2183">
        <v>2</v>
      </c>
      <c r="F2183">
        <v>4</v>
      </c>
      <c r="G2183" t="s">
        <v>123</v>
      </c>
      <c r="H2183" t="str">
        <f>IFERROR(ROUND(COUNTIFS(Tasks!$A:$A,$A2183,Tasks!$B:$B,$B2183,Tasks!$C:$C,$G2183,Tasks!$I:$I,"&lt;="&amp;INDEX(Weeks!$D:$D,MATCH($C2183,Weeks!$A:$A,0)),Tasks!$I:$I,"&lt;&gt;")/COUNTIFS(Tasks!$A:$A,$A2183,Tasks!$B:$B,$B2183,Tasks!$C:$C,$G2183)*100,0),"")</f>
        <v/>
      </c>
    </row>
    <row r="2184" spans="1:8" ht="15" hidden="1" customHeight="1">
      <c r="A2184" t="s">
        <v>102</v>
      </c>
      <c r="B2184" t="s">
        <v>104</v>
      </c>
      <c r="C2184">
        <v>51</v>
      </c>
      <c r="D2184">
        <v>12</v>
      </c>
      <c r="E2184">
        <v>3</v>
      </c>
      <c r="F2184">
        <v>4</v>
      </c>
      <c r="G2184" t="s">
        <v>123</v>
      </c>
      <c r="H2184" t="str">
        <f>IFERROR(ROUND(COUNTIFS(Tasks!$A:$A,$A2184,Tasks!$B:$B,$B2184,Tasks!$C:$C,$G2184,Tasks!$I:$I,"&lt;="&amp;INDEX(Weeks!$D:$D,MATCH($C2184,Weeks!$A:$A,0)),Tasks!$I:$I,"&lt;&gt;")/COUNTIFS(Tasks!$A:$A,$A2184,Tasks!$B:$B,$B2184,Tasks!$C:$C,$G2184)*100,0),"")</f>
        <v/>
      </c>
    </row>
    <row r="2185" spans="1:8" ht="15" hidden="1" customHeight="1">
      <c r="A2185" t="s">
        <v>102</v>
      </c>
      <c r="B2185" t="s">
        <v>104</v>
      </c>
      <c r="C2185">
        <v>52</v>
      </c>
      <c r="D2185">
        <v>12</v>
      </c>
      <c r="E2185">
        <v>4</v>
      </c>
      <c r="F2185">
        <v>4</v>
      </c>
      <c r="G2185" t="s">
        <v>123</v>
      </c>
      <c r="H2185" t="str">
        <f>IFERROR(ROUND(COUNTIFS(Tasks!$A:$A,$A2185,Tasks!$B:$B,$B2185,Tasks!$C:$C,$G2185,Tasks!$I:$I,"&lt;="&amp;INDEX(Weeks!$D:$D,MATCH($C2185,Weeks!$A:$A,0)),Tasks!$I:$I,"&lt;&gt;")/COUNTIFS(Tasks!$A:$A,$A2185,Tasks!$B:$B,$B2185,Tasks!$C:$C,$G2185)*100,0),"")</f>
        <v/>
      </c>
    </row>
    <row r="2186" spans="1:8" ht="15" hidden="1" customHeight="1">
      <c r="A2186" t="s">
        <v>102</v>
      </c>
      <c r="B2186" t="s">
        <v>106</v>
      </c>
      <c r="C2186">
        <v>1</v>
      </c>
      <c r="D2186">
        <v>1</v>
      </c>
      <c r="E2186">
        <v>1</v>
      </c>
      <c r="F2186">
        <v>1</v>
      </c>
      <c r="G2186" t="s">
        <v>120</v>
      </c>
      <c r="H2186" t="str">
        <f>IFERROR(ROUND(COUNTIFS(Tasks!$A:$A,$A2186,Tasks!$B:$B,$B2186,Tasks!$C:$C,$G2186,Tasks!$I:$I,"&lt;="&amp;INDEX(Weeks!$D:$D,MATCH($C2186,Weeks!$A:$A,0)),Tasks!$I:$I,"&lt;&gt;")/COUNTIFS(Tasks!$A:$A,$A2186,Tasks!$B:$B,$B2186,Tasks!$C:$C,$G2186)*100,0),"")</f>
        <v/>
      </c>
    </row>
    <row r="2187" spans="1:8" ht="15" hidden="1" customHeight="1">
      <c r="A2187" t="s">
        <v>102</v>
      </c>
      <c r="B2187" t="s">
        <v>106</v>
      </c>
      <c r="C2187">
        <v>2</v>
      </c>
      <c r="D2187">
        <v>1</v>
      </c>
      <c r="E2187">
        <v>2</v>
      </c>
      <c r="F2187">
        <v>1</v>
      </c>
      <c r="G2187" t="s">
        <v>120</v>
      </c>
      <c r="H2187" t="str">
        <f>IFERROR(ROUND(COUNTIFS(Tasks!$A:$A,$A2187,Tasks!$B:$B,$B2187,Tasks!$C:$C,$G2187,Tasks!$I:$I,"&lt;="&amp;INDEX(Weeks!$D:$D,MATCH($C2187,Weeks!$A:$A,0)),Tasks!$I:$I,"&lt;&gt;")/COUNTIFS(Tasks!$A:$A,$A2187,Tasks!$B:$B,$B2187,Tasks!$C:$C,$G2187)*100,0),"")</f>
        <v/>
      </c>
    </row>
    <row r="2188" spans="1:8" ht="15" hidden="1" customHeight="1">
      <c r="A2188" t="s">
        <v>102</v>
      </c>
      <c r="B2188" t="s">
        <v>106</v>
      </c>
      <c r="C2188">
        <v>3</v>
      </c>
      <c r="D2188">
        <v>1</v>
      </c>
      <c r="E2188">
        <v>3</v>
      </c>
      <c r="F2188">
        <v>1</v>
      </c>
      <c r="G2188" t="s">
        <v>120</v>
      </c>
      <c r="H2188" t="str">
        <f>IFERROR(ROUND(COUNTIFS(Tasks!$A:$A,$A2188,Tasks!$B:$B,$B2188,Tasks!$C:$C,$G2188,Tasks!$I:$I,"&lt;="&amp;INDEX(Weeks!$D:$D,MATCH($C2188,Weeks!$A:$A,0)),Tasks!$I:$I,"&lt;&gt;")/COUNTIFS(Tasks!$A:$A,$A2188,Tasks!$B:$B,$B2188,Tasks!$C:$C,$G2188)*100,0),"")</f>
        <v/>
      </c>
    </row>
    <row r="2189" spans="1:8" ht="15" hidden="1" customHeight="1">
      <c r="A2189" t="s">
        <v>102</v>
      </c>
      <c r="B2189" t="s">
        <v>106</v>
      </c>
      <c r="C2189">
        <v>4</v>
      </c>
      <c r="D2189">
        <v>1</v>
      </c>
      <c r="E2189">
        <v>4</v>
      </c>
      <c r="F2189">
        <v>1</v>
      </c>
      <c r="G2189" t="s">
        <v>120</v>
      </c>
      <c r="H2189" t="str">
        <f>IFERROR(ROUND(COUNTIFS(Tasks!$A:$A,$A2189,Tasks!$B:$B,$B2189,Tasks!$C:$C,$G2189,Tasks!$I:$I,"&lt;="&amp;INDEX(Weeks!$D:$D,MATCH($C2189,Weeks!$A:$A,0)),Tasks!$I:$I,"&lt;&gt;")/COUNTIFS(Tasks!$A:$A,$A2189,Tasks!$B:$B,$B2189,Tasks!$C:$C,$G2189)*100,0),"")</f>
        <v/>
      </c>
    </row>
    <row r="2190" spans="1:8" ht="15" hidden="1" customHeight="1">
      <c r="A2190" t="s">
        <v>102</v>
      </c>
      <c r="B2190" t="s">
        <v>106</v>
      </c>
      <c r="C2190">
        <v>5</v>
      </c>
      <c r="D2190">
        <v>1</v>
      </c>
      <c r="E2190">
        <v>5</v>
      </c>
      <c r="F2190">
        <v>1</v>
      </c>
      <c r="G2190" t="s">
        <v>120</v>
      </c>
      <c r="H2190" t="str">
        <f>IFERROR(ROUND(COUNTIFS(Tasks!$A:$A,$A2190,Tasks!$B:$B,$B2190,Tasks!$C:$C,$G2190,Tasks!$I:$I,"&lt;="&amp;INDEX(Weeks!$D:$D,MATCH($C2190,Weeks!$A:$A,0)),Tasks!$I:$I,"&lt;&gt;")/COUNTIFS(Tasks!$A:$A,$A2190,Tasks!$B:$B,$B2190,Tasks!$C:$C,$G2190)*100,0),"")</f>
        <v/>
      </c>
    </row>
    <row r="2191" spans="1:8" ht="15" hidden="1" customHeight="1">
      <c r="A2191" t="s">
        <v>102</v>
      </c>
      <c r="B2191" t="s">
        <v>106</v>
      </c>
      <c r="C2191">
        <v>6</v>
      </c>
      <c r="D2191">
        <v>2</v>
      </c>
      <c r="E2191">
        <v>1</v>
      </c>
      <c r="F2191">
        <v>1</v>
      </c>
      <c r="G2191" t="s">
        <v>120</v>
      </c>
      <c r="H2191" t="str">
        <f>IFERROR(ROUND(COUNTIFS(Tasks!$A:$A,$A2191,Tasks!$B:$B,$B2191,Tasks!$C:$C,$G2191,Tasks!$I:$I,"&lt;="&amp;INDEX(Weeks!$D:$D,MATCH($C2191,Weeks!$A:$A,0)),Tasks!$I:$I,"&lt;&gt;")/COUNTIFS(Tasks!$A:$A,$A2191,Tasks!$B:$B,$B2191,Tasks!$C:$C,$G2191)*100,0),"")</f>
        <v/>
      </c>
    </row>
    <row r="2192" spans="1:8" ht="15" hidden="1" customHeight="1">
      <c r="A2192" t="s">
        <v>102</v>
      </c>
      <c r="B2192" t="s">
        <v>106</v>
      </c>
      <c r="C2192">
        <v>7</v>
      </c>
      <c r="D2192">
        <v>2</v>
      </c>
      <c r="E2192">
        <v>2</v>
      </c>
      <c r="F2192">
        <v>1</v>
      </c>
      <c r="G2192" t="s">
        <v>120</v>
      </c>
      <c r="H2192" t="str">
        <f>IFERROR(ROUND(COUNTIFS(Tasks!$A:$A,$A2192,Tasks!$B:$B,$B2192,Tasks!$C:$C,$G2192,Tasks!$I:$I,"&lt;="&amp;INDEX(Weeks!$D:$D,MATCH($C2192,Weeks!$A:$A,0)),Tasks!$I:$I,"&lt;&gt;")/COUNTIFS(Tasks!$A:$A,$A2192,Tasks!$B:$B,$B2192,Tasks!$C:$C,$G2192)*100,0),"")</f>
        <v/>
      </c>
    </row>
    <row r="2193" spans="1:8" ht="15" hidden="1" customHeight="1">
      <c r="A2193" t="s">
        <v>102</v>
      </c>
      <c r="B2193" t="s">
        <v>106</v>
      </c>
      <c r="C2193">
        <v>8</v>
      </c>
      <c r="D2193">
        <v>2</v>
      </c>
      <c r="E2193">
        <v>3</v>
      </c>
      <c r="F2193">
        <v>1</v>
      </c>
      <c r="G2193" t="s">
        <v>120</v>
      </c>
      <c r="H2193" t="str">
        <f>IFERROR(ROUND(COUNTIFS(Tasks!$A:$A,$A2193,Tasks!$B:$B,$B2193,Tasks!$C:$C,$G2193,Tasks!$I:$I,"&lt;="&amp;INDEX(Weeks!$D:$D,MATCH($C2193,Weeks!$A:$A,0)),Tasks!$I:$I,"&lt;&gt;")/COUNTIFS(Tasks!$A:$A,$A2193,Tasks!$B:$B,$B2193,Tasks!$C:$C,$G2193)*100,0),"")</f>
        <v/>
      </c>
    </row>
    <row r="2194" spans="1:8" ht="15" hidden="1" customHeight="1">
      <c r="A2194" t="s">
        <v>102</v>
      </c>
      <c r="B2194" t="s">
        <v>106</v>
      </c>
      <c r="C2194">
        <v>9</v>
      </c>
      <c r="D2194">
        <v>2</v>
      </c>
      <c r="E2194">
        <v>4</v>
      </c>
      <c r="F2194">
        <v>1</v>
      </c>
      <c r="G2194" t="s">
        <v>120</v>
      </c>
      <c r="H2194" t="str">
        <f>IFERROR(ROUND(COUNTIFS(Tasks!$A:$A,$A2194,Tasks!$B:$B,$B2194,Tasks!$C:$C,$G2194,Tasks!$I:$I,"&lt;="&amp;INDEX(Weeks!$D:$D,MATCH($C2194,Weeks!$A:$A,0)),Tasks!$I:$I,"&lt;&gt;")/COUNTIFS(Tasks!$A:$A,$A2194,Tasks!$B:$B,$B2194,Tasks!$C:$C,$G2194)*100,0),"")</f>
        <v/>
      </c>
    </row>
    <row r="2195" spans="1:8" ht="15" hidden="1" customHeight="1">
      <c r="A2195" t="s">
        <v>102</v>
      </c>
      <c r="B2195" t="s">
        <v>106</v>
      </c>
      <c r="C2195">
        <v>10</v>
      </c>
      <c r="D2195">
        <v>3</v>
      </c>
      <c r="E2195">
        <v>1</v>
      </c>
      <c r="F2195">
        <v>1</v>
      </c>
      <c r="G2195" t="s">
        <v>120</v>
      </c>
      <c r="H2195" t="str">
        <f>IFERROR(ROUND(COUNTIFS(Tasks!$A:$A,$A2195,Tasks!$B:$B,$B2195,Tasks!$C:$C,$G2195,Tasks!$I:$I,"&lt;="&amp;INDEX(Weeks!$D:$D,MATCH($C2195,Weeks!$A:$A,0)),Tasks!$I:$I,"&lt;&gt;")/COUNTIFS(Tasks!$A:$A,$A2195,Tasks!$B:$B,$B2195,Tasks!$C:$C,$G2195)*100,0),"")</f>
        <v/>
      </c>
    </row>
    <row r="2196" spans="1:8" ht="15" hidden="1" customHeight="1">
      <c r="A2196" t="s">
        <v>102</v>
      </c>
      <c r="B2196" t="s">
        <v>106</v>
      </c>
      <c r="C2196">
        <v>11</v>
      </c>
      <c r="D2196">
        <v>3</v>
      </c>
      <c r="E2196">
        <v>2</v>
      </c>
      <c r="F2196">
        <v>1</v>
      </c>
      <c r="G2196" t="s">
        <v>120</v>
      </c>
      <c r="H2196" t="str">
        <f>IFERROR(ROUND(COUNTIFS(Tasks!$A:$A,$A2196,Tasks!$B:$B,$B2196,Tasks!$C:$C,$G2196,Tasks!$I:$I,"&lt;="&amp;INDEX(Weeks!$D:$D,MATCH($C2196,Weeks!$A:$A,0)),Tasks!$I:$I,"&lt;&gt;")/COUNTIFS(Tasks!$A:$A,$A2196,Tasks!$B:$B,$B2196,Tasks!$C:$C,$G2196)*100,0),"")</f>
        <v/>
      </c>
    </row>
    <row r="2197" spans="1:8" ht="15" hidden="1" customHeight="1">
      <c r="A2197" t="s">
        <v>102</v>
      </c>
      <c r="B2197" t="s">
        <v>106</v>
      </c>
      <c r="C2197">
        <v>12</v>
      </c>
      <c r="D2197">
        <v>3</v>
      </c>
      <c r="E2197">
        <v>3</v>
      </c>
      <c r="F2197">
        <v>1</v>
      </c>
      <c r="G2197" t="s">
        <v>120</v>
      </c>
      <c r="H2197" t="str">
        <f>IFERROR(ROUND(COUNTIFS(Tasks!$A:$A,$A2197,Tasks!$B:$B,$B2197,Tasks!$C:$C,$G2197,Tasks!$I:$I,"&lt;="&amp;INDEX(Weeks!$D:$D,MATCH($C2197,Weeks!$A:$A,0)),Tasks!$I:$I,"&lt;&gt;")/COUNTIFS(Tasks!$A:$A,$A2197,Tasks!$B:$B,$B2197,Tasks!$C:$C,$G2197)*100,0),"")</f>
        <v/>
      </c>
    </row>
    <row r="2198" spans="1:8" ht="15" hidden="1" customHeight="1">
      <c r="A2198" t="s">
        <v>102</v>
      </c>
      <c r="B2198" t="s">
        <v>106</v>
      </c>
      <c r="C2198">
        <v>13</v>
      </c>
      <c r="D2198">
        <v>3</v>
      </c>
      <c r="E2198">
        <v>4</v>
      </c>
      <c r="F2198">
        <v>1</v>
      </c>
      <c r="G2198" t="s">
        <v>120</v>
      </c>
      <c r="H2198" t="str">
        <f>IFERROR(ROUND(COUNTIFS(Tasks!$A:$A,$A2198,Tasks!$B:$B,$B2198,Tasks!$C:$C,$G2198,Tasks!$I:$I,"&lt;="&amp;INDEX(Weeks!$D:$D,MATCH($C2198,Weeks!$A:$A,0)),Tasks!$I:$I,"&lt;&gt;")/COUNTIFS(Tasks!$A:$A,$A2198,Tasks!$B:$B,$B2198,Tasks!$C:$C,$G2198)*100,0),"")</f>
        <v/>
      </c>
    </row>
    <row r="2199" spans="1:8" ht="15" hidden="1" customHeight="1">
      <c r="A2199" t="s">
        <v>102</v>
      </c>
      <c r="B2199" t="s">
        <v>106</v>
      </c>
      <c r="C2199">
        <v>14</v>
      </c>
      <c r="D2199">
        <v>4</v>
      </c>
      <c r="E2199">
        <v>1</v>
      </c>
      <c r="F2199">
        <v>1</v>
      </c>
      <c r="G2199" t="s">
        <v>120</v>
      </c>
      <c r="H2199" t="str">
        <f>IFERROR(ROUND(COUNTIFS(Tasks!$A:$A,$A2199,Tasks!$B:$B,$B2199,Tasks!$C:$C,$G2199,Tasks!$I:$I,"&lt;="&amp;INDEX(Weeks!$D:$D,MATCH($C2199,Weeks!$A:$A,0)),Tasks!$I:$I,"&lt;&gt;")/COUNTIFS(Tasks!$A:$A,$A2199,Tasks!$B:$B,$B2199,Tasks!$C:$C,$G2199)*100,0),"")</f>
        <v/>
      </c>
    </row>
    <row r="2200" spans="1:8" ht="15" hidden="1" customHeight="1">
      <c r="A2200" t="s">
        <v>102</v>
      </c>
      <c r="B2200" t="s">
        <v>106</v>
      </c>
      <c r="C2200">
        <v>15</v>
      </c>
      <c r="D2200">
        <v>4</v>
      </c>
      <c r="E2200">
        <v>2</v>
      </c>
      <c r="F2200">
        <v>1</v>
      </c>
      <c r="G2200" t="s">
        <v>120</v>
      </c>
      <c r="H2200" t="str">
        <f>IFERROR(ROUND(COUNTIFS(Tasks!$A:$A,$A2200,Tasks!$B:$B,$B2200,Tasks!$C:$C,$G2200,Tasks!$I:$I,"&lt;="&amp;INDEX(Weeks!$D:$D,MATCH($C2200,Weeks!$A:$A,0)),Tasks!$I:$I,"&lt;&gt;")/COUNTIFS(Tasks!$A:$A,$A2200,Tasks!$B:$B,$B2200,Tasks!$C:$C,$G2200)*100,0),"")</f>
        <v/>
      </c>
    </row>
    <row r="2201" spans="1:8" ht="15" hidden="1" customHeight="1">
      <c r="A2201" t="s">
        <v>102</v>
      </c>
      <c r="B2201" t="s">
        <v>106</v>
      </c>
      <c r="C2201">
        <v>16</v>
      </c>
      <c r="D2201">
        <v>4</v>
      </c>
      <c r="E2201">
        <v>3</v>
      </c>
      <c r="F2201">
        <v>1</v>
      </c>
      <c r="G2201" t="s">
        <v>120</v>
      </c>
      <c r="H2201" t="str">
        <f>IFERROR(ROUND(COUNTIFS(Tasks!$A:$A,$A2201,Tasks!$B:$B,$B2201,Tasks!$C:$C,$G2201,Tasks!$I:$I,"&lt;="&amp;INDEX(Weeks!$D:$D,MATCH($C2201,Weeks!$A:$A,0)),Tasks!$I:$I,"&lt;&gt;")/COUNTIFS(Tasks!$A:$A,$A2201,Tasks!$B:$B,$B2201,Tasks!$C:$C,$G2201)*100,0),"")</f>
        <v/>
      </c>
    </row>
    <row r="2202" spans="1:8" ht="15" hidden="1" customHeight="1">
      <c r="A2202" t="s">
        <v>102</v>
      </c>
      <c r="B2202" t="s">
        <v>106</v>
      </c>
      <c r="C2202">
        <v>17</v>
      </c>
      <c r="D2202">
        <v>4</v>
      </c>
      <c r="E2202">
        <v>4</v>
      </c>
      <c r="F2202">
        <v>1</v>
      </c>
      <c r="G2202" t="s">
        <v>120</v>
      </c>
      <c r="H2202" t="str">
        <f>IFERROR(ROUND(COUNTIFS(Tasks!$A:$A,$A2202,Tasks!$B:$B,$B2202,Tasks!$C:$C,$G2202,Tasks!$I:$I,"&lt;="&amp;INDEX(Weeks!$D:$D,MATCH($C2202,Weeks!$A:$A,0)),Tasks!$I:$I,"&lt;&gt;")/COUNTIFS(Tasks!$A:$A,$A2202,Tasks!$B:$B,$B2202,Tasks!$C:$C,$G2202)*100,0),"")</f>
        <v/>
      </c>
    </row>
    <row r="2203" spans="1:8" ht="15" hidden="1" customHeight="1">
      <c r="A2203" t="s">
        <v>102</v>
      </c>
      <c r="B2203" t="s">
        <v>106</v>
      </c>
      <c r="C2203">
        <v>18</v>
      </c>
      <c r="D2203">
        <v>5</v>
      </c>
      <c r="E2203">
        <v>1</v>
      </c>
      <c r="F2203">
        <v>1</v>
      </c>
      <c r="G2203" t="s">
        <v>120</v>
      </c>
      <c r="H2203" t="str">
        <f>IFERROR(ROUND(COUNTIFS(Tasks!$A:$A,$A2203,Tasks!$B:$B,$B2203,Tasks!$C:$C,$G2203,Tasks!$I:$I,"&lt;="&amp;INDEX(Weeks!$D:$D,MATCH($C2203,Weeks!$A:$A,0)),Tasks!$I:$I,"&lt;&gt;")/COUNTIFS(Tasks!$A:$A,$A2203,Tasks!$B:$B,$B2203,Tasks!$C:$C,$G2203)*100,0),"")</f>
        <v/>
      </c>
    </row>
    <row r="2204" spans="1:8" ht="15" hidden="1" customHeight="1">
      <c r="A2204" t="s">
        <v>102</v>
      </c>
      <c r="B2204" t="s">
        <v>106</v>
      </c>
      <c r="C2204">
        <v>19</v>
      </c>
      <c r="D2204">
        <v>5</v>
      </c>
      <c r="E2204">
        <v>2</v>
      </c>
      <c r="F2204">
        <v>1</v>
      </c>
      <c r="G2204" t="s">
        <v>120</v>
      </c>
      <c r="H2204" t="str">
        <f>IFERROR(ROUND(COUNTIFS(Tasks!$A:$A,$A2204,Tasks!$B:$B,$B2204,Tasks!$C:$C,$G2204,Tasks!$I:$I,"&lt;="&amp;INDEX(Weeks!$D:$D,MATCH($C2204,Weeks!$A:$A,0)),Tasks!$I:$I,"&lt;&gt;")/COUNTIFS(Tasks!$A:$A,$A2204,Tasks!$B:$B,$B2204,Tasks!$C:$C,$G2204)*100,0),"")</f>
        <v/>
      </c>
    </row>
    <row r="2205" spans="1:8" ht="15" hidden="1" customHeight="1">
      <c r="A2205" t="s">
        <v>102</v>
      </c>
      <c r="B2205" t="s">
        <v>106</v>
      </c>
      <c r="C2205">
        <v>20</v>
      </c>
      <c r="D2205">
        <v>5</v>
      </c>
      <c r="E2205">
        <v>3</v>
      </c>
      <c r="F2205">
        <v>1</v>
      </c>
      <c r="G2205" t="s">
        <v>120</v>
      </c>
      <c r="H2205" t="str">
        <f>IFERROR(ROUND(COUNTIFS(Tasks!$A:$A,$A2205,Tasks!$B:$B,$B2205,Tasks!$C:$C,$G2205,Tasks!$I:$I,"&lt;="&amp;INDEX(Weeks!$D:$D,MATCH($C2205,Weeks!$A:$A,0)),Tasks!$I:$I,"&lt;&gt;")/COUNTIFS(Tasks!$A:$A,$A2205,Tasks!$B:$B,$B2205,Tasks!$C:$C,$G2205)*100,0),"")</f>
        <v/>
      </c>
    </row>
    <row r="2206" spans="1:8" ht="15" hidden="1" customHeight="1">
      <c r="A2206" t="s">
        <v>102</v>
      </c>
      <c r="B2206" t="s">
        <v>106</v>
      </c>
      <c r="C2206">
        <v>21</v>
      </c>
      <c r="D2206">
        <v>5</v>
      </c>
      <c r="E2206">
        <v>4</v>
      </c>
      <c r="F2206">
        <v>1</v>
      </c>
      <c r="G2206" t="s">
        <v>120</v>
      </c>
      <c r="H2206" t="str">
        <f>IFERROR(ROUND(COUNTIFS(Tasks!$A:$A,$A2206,Tasks!$B:$B,$B2206,Tasks!$C:$C,$G2206,Tasks!$I:$I,"&lt;="&amp;INDEX(Weeks!$D:$D,MATCH($C2206,Weeks!$A:$A,0)),Tasks!$I:$I,"&lt;&gt;")/COUNTIFS(Tasks!$A:$A,$A2206,Tasks!$B:$B,$B2206,Tasks!$C:$C,$G2206)*100,0),"")</f>
        <v/>
      </c>
    </row>
    <row r="2207" spans="1:8" ht="15" hidden="1" customHeight="1">
      <c r="A2207" t="s">
        <v>102</v>
      </c>
      <c r="B2207" t="s">
        <v>106</v>
      </c>
      <c r="C2207">
        <v>22</v>
      </c>
      <c r="D2207">
        <v>5</v>
      </c>
      <c r="E2207">
        <v>5</v>
      </c>
      <c r="F2207">
        <v>1</v>
      </c>
      <c r="G2207" t="s">
        <v>120</v>
      </c>
      <c r="H2207" t="str">
        <f>IFERROR(ROUND(COUNTIFS(Tasks!$A:$A,$A2207,Tasks!$B:$B,$B2207,Tasks!$C:$C,$G2207,Tasks!$I:$I,"&lt;="&amp;INDEX(Weeks!$D:$D,MATCH($C2207,Weeks!$A:$A,0)),Tasks!$I:$I,"&lt;&gt;")/COUNTIFS(Tasks!$A:$A,$A2207,Tasks!$B:$B,$B2207,Tasks!$C:$C,$G2207)*100,0),"")</f>
        <v/>
      </c>
    </row>
    <row r="2208" spans="1:8" ht="15" hidden="1" customHeight="1">
      <c r="A2208" t="s">
        <v>102</v>
      </c>
      <c r="B2208" t="s">
        <v>106</v>
      </c>
      <c r="C2208">
        <v>23</v>
      </c>
      <c r="D2208">
        <v>6</v>
      </c>
      <c r="E2208">
        <v>1</v>
      </c>
      <c r="F2208">
        <v>1</v>
      </c>
      <c r="G2208" t="s">
        <v>120</v>
      </c>
      <c r="H2208" t="str">
        <f>IFERROR(ROUND(COUNTIFS(Tasks!$A:$A,$A2208,Tasks!$B:$B,$B2208,Tasks!$C:$C,$G2208,Tasks!$I:$I,"&lt;="&amp;INDEX(Weeks!$D:$D,MATCH($C2208,Weeks!$A:$A,0)),Tasks!$I:$I,"&lt;&gt;")/COUNTIFS(Tasks!$A:$A,$A2208,Tasks!$B:$B,$B2208,Tasks!$C:$C,$G2208)*100,0),"")</f>
        <v/>
      </c>
    </row>
    <row r="2209" spans="1:8" ht="15" hidden="1" customHeight="1">
      <c r="A2209" t="s">
        <v>102</v>
      </c>
      <c r="B2209" t="s">
        <v>106</v>
      </c>
      <c r="C2209">
        <v>24</v>
      </c>
      <c r="D2209">
        <v>6</v>
      </c>
      <c r="E2209">
        <v>2</v>
      </c>
      <c r="F2209">
        <v>1</v>
      </c>
      <c r="G2209" t="s">
        <v>120</v>
      </c>
      <c r="H2209" t="str">
        <f>IFERROR(ROUND(COUNTIFS(Tasks!$A:$A,$A2209,Tasks!$B:$B,$B2209,Tasks!$C:$C,$G2209,Tasks!$I:$I,"&lt;="&amp;INDEX(Weeks!$D:$D,MATCH($C2209,Weeks!$A:$A,0)),Tasks!$I:$I,"&lt;&gt;")/COUNTIFS(Tasks!$A:$A,$A2209,Tasks!$B:$B,$B2209,Tasks!$C:$C,$G2209)*100,0),"")</f>
        <v/>
      </c>
    </row>
    <row r="2210" spans="1:8" ht="15" hidden="1" customHeight="1">
      <c r="A2210" t="s">
        <v>102</v>
      </c>
      <c r="B2210" t="s">
        <v>106</v>
      </c>
      <c r="C2210">
        <v>25</v>
      </c>
      <c r="D2210">
        <v>6</v>
      </c>
      <c r="E2210">
        <v>3</v>
      </c>
      <c r="F2210">
        <v>1</v>
      </c>
      <c r="G2210" t="s">
        <v>120</v>
      </c>
      <c r="H2210" t="str">
        <f>IFERROR(ROUND(COUNTIFS(Tasks!$A:$A,$A2210,Tasks!$B:$B,$B2210,Tasks!$C:$C,$G2210,Tasks!$I:$I,"&lt;="&amp;INDEX(Weeks!$D:$D,MATCH($C2210,Weeks!$A:$A,0)),Tasks!$I:$I,"&lt;&gt;")/COUNTIFS(Tasks!$A:$A,$A2210,Tasks!$B:$B,$B2210,Tasks!$C:$C,$G2210)*100,0),"")</f>
        <v/>
      </c>
    </row>
    <row r="2211" spans="1:8" ht="15" hidden="1" customHeight="1">
      <c r="A2211" t="s">
        <v>102</v>
      </c>
      <c r="B2211" t="s">
        <v>106</v>
      </c>
      <c r="C2211">
        <v>26</v>
      </c>
      <c r="D2211">
        <v>6</v>
      </c>
      <c r="E2211">
        <v>4</v>
      </c>
      <c r="F2211">
        <v>1</v>
      </c>
      <c r="G2211" t="s">
        <v>120</v>
      </c>
      <c r="H2211" t="str">
        <f>IFERROR(ROUND(COUNTIFS(Tasks!$A:$A,$A2211,Tasks!$B:$B,$B2211,Tasks!$C:$C,$G2211,Tasks!$I:$I,"&lt;="&amp;INDEX(Weeks!$D:$D,MATCH($C2211,Weeks!$A:$A,0)),Tasks!$I:$I,"&lt;&gt;")/COUNTIFS(Tasks!$A:$A,$A2211,Tasks!$B:$B,$B2211,Tasks!$C:$C,$G2211)*100,0),"")</f>
        <v/>
      </c>
    </row>
    <row r="2212" spans="1:8" ht="15" hidden="1" customHeight="1">
      <c r="A2212" t="s">
        <v>102</v>
      </c>
      <c r="B2212" t="s">
        <v>106</v>
      </c>
      <c r="C2212">
        <v>27</v>
      </c>
      <c r="D2212">
        <v>7</v>
      </c>
      <c r="E2212">
        <v>1</v>
      </c>
      <c r="F2212">
        <v>1</v>
      </c>
      <c r="G2212" t="s">
        <v>120</v>
      </c>
      <c r="H2212" t="str">
        <f>IFERROR(ROUND(COUNTIFS(Tasks!$A:$A,$A2212,Tasks!$B:$B,$B2212,Tasks!$C:$C,$G2212,Tasks!$I:$I,"&lt;="&amp;INDEX(Weeks!$D:$D,MATCH($C2212,Weeks!$A:$A,0)),Tasks!$I:$I,"&lt;&gt;")/COUNTIFS(Tasks!$A:$A,$A2212,Tasks!$B:$B,$B2212,Tasks!$C:$C,$G2212)*100,0),"")</f>
        <v/>
      </c>
    </row>
    <row r="2213" spans="1:8" ht="15" hidden="1" customHeight="1">
      <c r="A2213" t="s">
        <v>102</v>
      </c>
      <c r="B2213" t="s">
        <v>106</v>
      </c>
      <c r="C2213">
        <v>28</v>
      </c>
      <c r="D2213">
        <v>7</v>
      </c>
      <c r="E2213">
        <v>2</v>
      </c>
      <c r="F2213">
        <v>1</v>
      </c>
      <c r="G2213" t="s">
        <v>120</v>
      </c>
      <c r="H2213" t="str">
        <f>IFERROR(ROUND(COUNTIFS(Tasks!$A:$A,$A2213,Tasks!$B:$B,$B2213,Tasks!$C:$C,$G2213,Tasks!$I:$I,"&lt;="&amp;INDEX(Weeks!$D:$D,MATCH($C2213,Weeks!$A:$A,0)),Tasks!$I:$I,"&lt;&gt;")/COUNTIFS(Tasks!$A:$A,$A2213,Tasks!$B:$B,$B2213,Tasks!$C:$C,$G2213)*100,0),"")</f>
        <v/>
      </c>
    </row>
    <row r="2214" spans="1:8" ht="15" hidden="1" customHeight="1">
      <c r="A2214" t="s">
        <v>102</v>
      </c>
      <c r="B2214" t="s">
        <v>106</v>
      </c>
      <c r="C2214">
        <v>29</v>
      </c>
      <c r="D2214">
        <v>7</v>
      </c>
      <c r="E2214">
        <v>3</v>
      </c>
      <c r="F2214">
        <v>1</v>
      </c>
      <c r="G2214" t="s">
        <v>120</v>
      </c>
      <c r="H2214" t="str">
        <f>IFERROR(ROUND(COUNTIFS(Tasks!$A:$A,$A2214,Tasks!$B:$B,$B2214,Tasks!$C:$C,$G2214,Tasks!$I:$I,"&lt;="&amp;INDEX(Weeks!$D:$D,MATCH($C2214,Weeks!$A:$A,0)),Tasks!$I:$I,"&lt;&gt;")/COUNTIFS(Tasks!$A:$A,$A2214,Tasks!$B:$B,$B2214,Tasks!$C:$C,$G2214)*100,0),"")</f>
        <v/>
      </c>
    </row>
    <row r="2215" spans="1:8" ht="15" hidden="1" customHeight="1">
      <c r="A2215" t="s">
        <v>102</v>
      </c>
      <c r="B2215" t="s">
        <v>106</v>
      </c>
      <c r="C2215">
        <v>30</v>
      </c>
      <c r="D2215">
        <v>7</v>
      </c>
      <c r="E2215">
        <v>4</v>
      </c>
      <c r="F2215">
        <v>1</v>
      </c>
      <c r="G2215" t="s">
        <v>120</v>
      </c>
      <c r="H2215" t="str">
        <f>IFERROR(ROUND(COUNTIFS(Tasks!$A:$A,$A2215,Tasks!$B:$B,$B2215,Tasks!$C:$C,$G2215,Tasks!$I:$I,"&lt;="&amp;INDEX(Weeks!$D:$D,MATCH($C2215,Weeks!$A:$A,0)),Tasks!$I:$I,"&lt;&gt;")/COUNTIFS(Tasks!$A:$A,$A2215,Tasks!$B:$B,$B2215,Tasks!$C:$C,$G2215)*100,0),"")</f>
        <v/>
      </c>
    </row>
    <row r="2216" spans="1:8" ht="15" hidden="1" customHeight="1">
      <c r="A2216" t="s">
        <v>102</v>
      </c>
      <c r="B2216" t="s">
        <v>106</v>
      </c>
      <c r="C2216">
        <v>31</v>
      </c>
      <c r="D2216">
        <v>8</v>
      </c>
      <c r="E2216">
        <v>1</v>
      </c>
      <c r="F2216">
        <v>1</v>
      </c>
      <c r="G2216" t="s">
        <v>120</v>
      </c>
      <c r="H2216" t="str">
        <f>IFERROR(ROUND(COUNTIFS(Tasks!$A:$A,$A2216,Tasks!$B:$B,$B2216,Tasks!$C:$C,$G2216,Tasks!$I:$I,"&lt;="&amp;INDEX(Weeks!$D:$D,MATCH($C2216,Weeks!$A:$A,0)),Tasks!$I:$I,"&lt;&gt;")/COUNTIFS(Tasks!$A:$A,$A2216,Tasks!$B:$B,$B2216,Tasks!$C:$C,$G2216)*100,0),"")</f>
        <v/>
      </c>
    </row>
    <row r="2217" spans="1:8" ht="15" hidden="1" customHeight="1">
      <c r="A2217" t="s">
        <v>102</v>
      </c>
      <c r="B2217" t="s">
        <v>106</v>
      </c>
      <c r="C2217">
        <v>32</v>
      </c>
      <c r="D2217">
        <v>8</v>
      </c>
      <c r="E2217">
        <v>2</v>
      </c>
      <c r="F2217">
        <v>1</v>
      </c>
      <c r="G2217" t="s">
        <v>120</v>
      </c>
      <c r="H2217" t="str">
        <f>IFERROR(ROUND(COUNTIFS(Tasks!$A:$A,$A2217,Tasks!$B:$B,$B2217,Tasks!$C:$C,$G2217,Tasks!$I:$I,"&lt;="&amp;INDEX(Weeks!$D:$D,MATCH($C2217,Weeks!$A:$A,0)),Tasks!$I:$I,"&lt;&gt;")/COUNTIFS(Tasks!$A:$A,$A2217,Tasks!$B:$B,$B2217,Tasks!$C:$C,$G2217)*100,0),"")</f>
        <v/>
      </c>
    </row>
    <row r="2218" spans="1:8" ht="15" hidden="1" customHeight="1">
      <c r="A2218" t="s">
        <v>102</v>
      </c>
      <c r="B2218" t="s">
        <v>106</v>
      </c>
      <c r="C2218">
        <v>33</v>
      </c>
      <c r="D2218">
        <v>8</v>
      </c>
      <c r="E2218">
        <v>3</v>
      </c>
      <c r="F2218">
        <v>1</v>
      </c>
      <c r="G2218" t="s">
        <v>120</v>
      </c>
      <c r="H2218" t="str">
        <f>IFERROR(ROUND(COUNTIFS(Tasks!$A:$A,$A2218,Tasks!$B:$B,$B2218,Tasks!$C:$C,$G2218,Tasks!$I:$I,"&lt;="&amp;INDEX(Weeks!$D:$D,MATCH($C2218,Weeks!$A:$A,0)),Tasks!$I:$I,"&lt;&gt;")/COUNTIFS(Tasks!$A:$A,$A2218,Tasks!$B:$B,$B2218,Tasks!$C:$C,$G2218)*100,0),"")</f>
        <v/>
      </c>
    </row>
    <row r="2219" spans="1:8" ht="15" hidden="1" customHeight="1">
      <c r="A2219" t="s">
        <v>102</v>
      </c>
      <c r="B2219" t="s">
        <v>106</v>
      </c>
      <c r="C2219">
        <v>34</v>
      </c>
      <c r="D2219">
        <v>8</v>
      </c>
      <c r="E2219">
        <v>4</v>
      </c>
      <c r="F2219">
        <v>1</v>
      </c>
      <c r="G2219" t="s">
        <v>120</v>
      </c>
      <c r="H2219" t="str">
        <f>IFERROR(ROUND(COUNTIFS(Tasks!$A:$A,$A2219,Tasks!$B:$B,$B2219,Tasks!$C:$C,$G2219,Tasks!$I:$I,"&lt;="&amp;INDEX(Weeks!$D:$D,MATCH($C2219,Weeks!$A:$A,0)),Tasks!$I:$I,"&lt;&gt;")/COUNTIFS(Tasks!$A:$A,$A2219,Tasks!$B:$B,$B2219,Tasks!$C:$C,$G2219)*100,0),"")</f>
        <v/>
      </c>
    </row>
    <row r="2220" spans="1:8" ht="15" hidden="1" customHeight="1">
      <c r="A2220" t="s">
        <v>102</v>
      </c>
      <c r="B2220" t="s">
        <v>106</v>
      </c>
      <c r="C2220">
        <v>35</v>
      </c>
      <c r="D2220">
        <v>8</v>
      </c>
      <c r="E2220">
        <v>5</v>
      </c>
      <c r="F2220">
        <v>1</v>
      </c>
      <c r="G2220" t="s">
        <v>120</v>
      </c>
      <c r="H2220" t="str">
        <f>IFERROR(ROUND(COUNTIFS(Tasks!$A:$A,$A2220,Tasks!$B:$B,$B2220,Tasks!$C:$C,$G2220,Tasks!$I:$I,"&lt;="&amp;INDEX(Weeks!$D:$D,MATCH($C2220,Weeks!$A:$A,0)),Tasks!$I:$I,"&lt;&gt;")/COUNTIFS(Tasks!$A:$A,$A2220,Tasks!$B:$B,$B2220,Tasks!$C:$C,$G2220)*100,0),"")</f>
        <v/>
      </c>
    </row>
    <row r="2221" spans="1:8" ht="15" hidden="1" customHeight="1">
      <c r="A2221" t="s">
        <v>102</v>
      </c>
      <c r="B2221" t="s">
        <v>106</v>
      </c>
      <c r="C2221">
        <v>36</v>
      </c>
      <c r="D2221">
        <v>9</v>
      </c>
      <c r="E2221">
        <v>1</v>
      </c>
      <c r="F2221">
        <v>1</v>
      </c>
      <c r="G2221" t="s">
        <v>120</v>
      </c>
      <c r="H2221" t="str">
        <f>IFERROR(ROUND(COUNTIFS(Tasks!$A:$A,$A2221,Tasks!$B:$B,$B2221,Tasks!$C:$C,$G2221,Tasks!$I:$I,"&lt;="&amp;INDEX(Weeks!$D:$D,MATCH($C2221,Weeks!$A:$A,0)),Tasks!$I:$I,"&lt;&gt;")/COUNTIFS(Tasks!$A:$A,$A2221,Tasks!$B:$B,$B2221,Tasks!$C:$C,$G2221)*100,0),"")</f>
        <v/>
      </c>
    </row>
    <row r="2222" spans="1:8" ht="15" hidden="1" customHeight="1">
      <c r="A2222" t="s">
        <v>102</v>
      </c>
      <c r="B2222" t="s">
        <v>106</v>
      </c>
      <c r="C2222">
        <v>37</v>
      </c>
      <c r="D2222">
        <v>9</v>
      </c>
      <c r="E2222">
        <v>2</v>
      </c>
      <c r="F2222">
        <v>1</v>
      </c>
      <c r="G2222" t="s">
        <v>120</v>
      </c>
      <c r="H2222" t="str">
        <f>IFERROR(ROUND(COUNTIFS(Tasks!$A:$A,$A2222,Tasks!$B:$B,$B2222,Tasks!$C:$C,$G2222,Tasks!$I:$I,"&lt;="&amp;INDEX(Weeks!$D:$D,MATCH($C2222,Weeks!$A:$A,0)),Tasks!$I:$I,"&lt;&gt;")/COUNTIFS(Tasks!$A:$A,$A2222,Tasks!$B:$B,$B2222,Tasks!$C:$C,$G2222)*100,0),"")</f>
        <v/>
      </c>
    </row>
    <row r="2223" spans="1:8" ht="15" hidden="1" customHeight="1">
      <c r="A2223" t="s">
        <v>102</v>
      </c>
      <c r="B2223" t="s">
        <v>106</v>
      </c>
      <c r="C2223">
        <v>38</v>
      </c>
      <c r="D2223">
        <v>9</v>
      </c>
      <c r="E2223">
        <v>3</v>
      </c>
      <c r="F2223">
        <v>1</v>
      </c>
      <c r="G2223" t="s">
        <v>120</v>
      </c>
      <c r="H2223" t="str">
        <f>IFERROR(ROUND(COUNTIFS(Tasks!$A:$A,$A2223,Tasks!$B:$B,$B2223,Tasks!$C:$C,$G2223,Tasks!$I:$I,"&lt;="&amp;INDEX(Weeks!$D:$D,MATCH($C2223,Weeks!$A:$A,0)),Tasks!$I:$I,"&lt;&gt;")/COUNTIFS(Tasks!$A:$A,$A2223,Tasks!$B:$B,$B2223,Tasks!$C:$C,$G2223)*100,0),"")</f>
        <v/>
      </c>
    </row>
    <row r="2224" spans="1:8" ht="15" hidden="1" customHeight="1">
      <c r="A2224" t="s">
        <v>102</v>
      </c>
      <c r="B2224" t="s">
        <v>106</v>
      </c>
      <c r="C2224">
        <v>39</v>
      </c>
      <c r="D2224">
        <v>9</v>
      </c>
      <c r="E2224">
        <v>4</v>
      </c>
      <c r="F2224">
        <v>1</v>
      </c>
      <c r="G2224" t="s">
        <v>120</v>
      </c>
      <c r="H2224" t="str">
        <f>IFERROR(ROUND(COUNTIFS(Tasks!$A:$A,$A2224,Tasks!$B:$B,$B2224,Tasks!$C:$C,$G2224,Tasks!$I:$I,"&lt;="&amp;INDEX(Weeks!$D:$D,MATCH($C2224,Weeks!$A:$A,0)),Tasks!$I:$I,"&lt;&gt;")/COUNTIFS(Tasks!$A:$A,$A2224,Tasks!$B:$B,$B2224,Tasks!$C:$C,$G2224)*100,0),"")</f>
        <v/>
      </c>
    </row>
    <row r="2225" spans="1:8" ht="15" hidden="1" customHeight="1">
      <c r="A2225" t="s">
        <v>102</v>
      </c>
      <c r="B2225" t="s">
        <v>106</v>
      </c>
      <c r="C2225">
        <v>40</v>
      </c>
      <c r="D2225">
        <v>10</v>
      </c>
      <c r="E2225">
        <v>1</v>
      </c>
      <c r="F2225">
        <v>1</v>
      </c>
      <c r="G2225" t="s">
        <v>120</v>
      </c>
      <c r="H2225" t="str">
        <f>IFERROR(ROUND(COUNTIFS(Tasks!$A:$A,$A2225,Tasks!$B:$B,$B2225,Tasks!$C:$C,$G2225,Tasks!$I:$I,"&lt;="&amp;INDEX(Weeks!$D:$D,MATCH($C2225,Weeks!$A:$A,0)),Tasks!$I:$I,"&lt;&gt;")/COUNTIFS(Tasks!$A:$A,$A2225,Tasks!$B:$B,$B2225,Tasks!$C:$C,$G2225)*100,0),"")</f>
        <v/>
      </c>
    </row>
    <row r="2226" spans="1:8" ht="15" hidden="1" customHeight="1">
      <c r="A2226" t="s">
        <v>102</v>
      </c>
      <c r="B2226" t="s">
        <v>106</v>
      </c>
      <c r="C2226">
        <v>41</v>
      </c>
      <c r="D2226">
        <v>10</v>
      </c>
      <c r="E2226">
        <v>2</v>
      </c>
      <c r="F2226">
        <v>1</v>
      </c>
      <c r="G2226" t="s">
        <v>120</v>
      </c>
      <c r="H2226" t="str">
        <f>IFERROR(ROUND(COUNTIFS(Tasks!$A:$A,$A2226,Tasks!$B:$B,$B2226,Tasks!$C:$C,$G2226,Tasks!$I:$I,"&lt;="&amp;INDEX(Weeks!$D:$D,MATCH($C2226,Weeks!$A:$A,0)),Tasks!$I:$I,"&lt;&gt;")/COUNTIFS(Tasks!$A:$A,$A2226,Tasks!$B:$B,$B2226,Tasks!$C:$C,$G2226)*100,0),"")</f>
        <v/>
      </c>
    </row>
    <row r="2227" spans="1:8" ht="15" hidden="1" customHeight="1">
      <c r="A2227" t="s">
        <v>102</v>
      </c>
      <c r="B2227" t="s">
        <v>106</v>
      </c>
      <c r="C2227">
        <v>42</v>
      </c>
      <c r="D2227">
        <v>10</v>
      </c>
      <c r="E2227">
        <v>3</v>
      </c>
      <c r="F2227">
        <v>1</v>
      </c>
      <c r="G2227" t="s">
        <v>120</v>
      </c>
      <c r="H2227" t="str">
        <f>IFERROR(ROUND(COUNTIFS(Tasks!$A:$A,$A2227,Tasks!$B:$B,$B2227,Tasks!$C:$C,$G2227,Tasks!$I:$I,"&lt;="&amp;INDEX(Weeks!$D:$D,MATCH($C2227,Weeks!$A:$A,0)),Tasks!$I:$I,"&lt;&gt;")/COUNTIFS(Tasks!$A:$A,$A2227,Tasks!$B:$B,$B2227,Tasks!$C:$C,$G2227)*100,0),"")</f>
        <v/>
      </c>
    </row>
    <row r="2228" spans="1:8" ht="15" hidden="1" customHeight="1">
      <c r="A2228" t="s">
        <v>102</v>
      </c>
      <c r="B2228" t="s">
        <v>106</v>
      </c>
      <c r="C2228">
        <v>43</v>
      </c>
      <c r="D2228">
        <v>10</v>
      </c>
      <c r="E2228">
        <v>4</v>
      </c>
      <c r="F2228">
        <v>1</v>
      </c>
      <c r="G2228" t="s">
        <v>120</v>
      </c>
      <c r="H2228" t="str">
        <f>IFERROR(ROUND(COUNTIFS(Tasks!$A:$A,$A2228,Tasks!$B:$B,$B2228,Tasks!$C:$C,$G2228,Tasks!$I:$I,"&lt;="&amp;INDEX(Weeks!$D:$D,MATCH($C2228,Weeks!$A:$A,0)),Tasks!$I:$I,"&lt;&gt;")/COUNTIFS(Tasks!$A:$A,$A2228,Tasks!$B:$B,$B2228,Tasks!$C:$C,$G2228)*100,0),"")</f>
        <v/>
      </c>
    </row>
    <row r="2229" spans="1:8" ht="15" hidden="1" customHeight="1">
      <c r="A2229" t="s">
        <v>102</v>
      </c>
      <c r="B2229" t="s">
        <v>106</v>
      </c>
      <c r="C2229">
        <v>44</v>
      </c>
      <c r="D2229">
        <v>10</v>
      </c>
      <c r="E2229">
        <v>5</v>
      </c>
      <c r="F2229">
        <v>1</v>
      </c>
      <c r="G2229" t="s">
        <v>120</v>
      </c>
      <c r="H2229" t="str">
        <f>IFERROR(ROUND(COUNTIFS(Tasks!$A:$A,$A2229,Tasks!$B:$B,$B2229,Tasks!$C:$C,$G2229,Tasks!$I:$I,"&lt;="&amp;INDEX(Weeks!$D:$D,MATCH($C2229,Weeks!$A:$A,0)),Tasks!$I:$I,"&lt;&gt;")/COUNTIFS(Tasks!$A:$A,$A2229,Tasks!$B:$B,$B2229,Tasks!$C:$C,$G2229)*100,0),"")</f>
        <v/>
      </c>
    </row>
    <row r="2230" spans="1:8" ht="15" hidden="1" customHeight="1">
      <c r="A2230" t="s">
        <v>102</v>
      </c>
      <c r="B2230" t="s">
        <v>106</v>
      </c>
      <c r="C2230">
        <v>45</v>
      </c>
      <c r="D2230">
        <v>11</v>
      </c>
      <c r="E2230">
        <v>1</v>
      </c>
      <c r="F2230">
        <v>1</v>
      </c>
      <c r="G2230" t="s">
        <v>120</v>
      </c>
      <c r="H2230" t="str">
        <f>IFERROR(ROUND(COUNTIFS(Tasks!$A:$A,$A2230,Tasks!$B:$B,$B2230,Tasks!$C:$C,$G2230,Tasks!$I:$I,"&lt;="&amp;INDEX(Weeks!$D:$D,MATCH($C2230,Weeks!$A:$A,0)),Tasks!$I:$I,"&lt;&gt;")/COUNTIFS(Tasks!$A:$A,$A2230,Tasks!$B:$B,$B2230,Tasks!$C:$C,$G2230)*100,0),"")</f>
        <v/>
      </c>
    </row>
    <row r="2231" spans="1:8" ht="15" hidden="1" customHeight="1">
      <c r="A2231" t="s">
        <v>102</v>
      </c>
      <c r="B2231" t="s">
        <v>106</v>
      </c>
      <c r="C2231">
        <v>46</v>
      </c>
      <c r="D2231">
        <v>11</v>
      </c>
      <c r="E2231">
        <v>2</v>
      </c>
      <c r="F2231">
        <v>1</v>
      </c>
      <c r="G2231" t="s">
        <v>120</v>
      </c>
      <c r="H2231" t="str">
        <f>IFERROR(ROUND(COUNTIFS(Tasks!$A:$A,$A2231,Tasks!$B:$B,$B2231,Tasks!$C:$C,$G2231,Tasks!$I:$I,"&lt;="&amp;INDEX(Weeks!$D:$D,MATCH($C2231,Weeks!$A:$A,0)),Tasks!$I:$I,"&lt;&gt;")/COUNTIFS(Tasks!$A:$A,$A2231,Tasks!$B:$B,$B2231,Tasks!$C:$C,$G2231)*100,0),"")</f>
        <v/>
      </c>
    </row>
    <row r="2232" spans="1:8" ht="15" hidden="1" customHeight="1">
      <c r="A2232" t="s">
        <v>102</v>
      </c>
      <c r="B2232" t="s">
        <v>106</v>
      </c>
      <c r="C2232">
        <v>47</v>
      </c>
      <c r="D2232">
        <v>11</v>
      </c>
      <c r="E2232">
        <v>3</v>
      </c>
      <c r="F2232">
        <v>1</v>
      </c>
      <c r="G2232" t="s">
        <v>120</v>
      </c>
      <c r="H2232" t="str">
        <f>IFERROR(ROUND(COUNTIFS(Tasks!$A:$A,$A2232,Tasks!$B:$B,$B2232,Tasks!$C:$C,$G2232,Tasks!$I:$I,"&lt;="&amp;INDEX(Weeks!$D:$D,MATCH($C2232,Weeks!$A:$A,0)),Tasks!$I:$I,"&lt;&gt;")/COUNTIFS(Tasks!$A:$A,$A2232,Tasks!$B:$B,$B2232,Tasks!$C:$C,$G2232)*100,0),"")</f>
        <v/>
      </c>
    </row>
    <row r="2233" spans="1:8" ht="15" hidden="1" customHeight="1">
      <c r="A2233" t="s">
        <v>102</v>
      </c>
      <c r="B2233" t="s">
        <v>106</v>
      </c>
      <c r="C2233">
        <v>48</v>
      </c>
      <c r="D2233">
        <v>11</v>
      </c>
      <c r="E2233">
        <v>4</v>
      </c>
      <c r="F2233">
        <v>1</v>
      </c>
      <c r="G2233" t="s">
        <v>120</v>
      </c>
      <c r="H2233" t="str">
        <f>IFERROR(ROUND(COUNTIFS(Tasks!$A:$A,$A2233,Tasks!$B:$B,$B2233,Tasks!$C:$C,$G2233,Tasks!$I:$I,"&lt;="&amp;INDEX(Weeks!$D:$D,MATCH($C2233,Weeks!$A:$A,0)),Tasks!$I:$I,"&lt;&gt;")/COUNTIFS(Tasks!$A:$A,$A2233,Tasks!$B:$B,$B2233,Tasks!$C:$C,$G2233)*100,0),"")</f>
        <v/>
      </c>
    </row>
    <row r="2234" spans="1:8" ht="15" hidden="1" customHeight="1">
      <c r="A2234" t="s">
        <v>102</v>
      </c>
      <c r="B2234" t="s">
        <v>106</v>
      </c>
      <c r="C2234">
        <v>49</v>
      </c>
      <c r="D2234">
        <v>12</v>
      </c>
      <c r="E2234">
        <v>1</v>
      </c>
      <c r="F2234">
        <v>1</v>
      </c>
      <c r="G2234" t="s">
        <v>120</v>
      </c>
      <c r="H2234" t="str">
        <f>IFERROR(ROUND(COUNTIFS(Tasks!$A:$A,$A2234,Tasks!$B:$B,$B2234,Tasks!$C:$C,$G2234,Tasks!$I:$I,"&lt;="&amp;INDEX(Weeks!$D:$D,MATCH($C2234,Weeks!$A:$A,0)),Tasks!$I:$I,"&lt;&gt;")/COUNTIFS(Tasks!$A:$A,$A2234,Tasks!$B:$B,$B2234,Tasks!$C:$C,$G2234)*100,0),"")</f>
        <v/>
      </c>
    </row>
    <row r="2235" spans="1:8" ht="15" hidden="1" customHeight="1">
      <c r="A2235" t="s">
        <v>102</v>
      </c>
      <c r="B2235" t="s">
        <v>106</v>
      </c>
      <c r="C2235">
        <v>50</v>
      </c>
      <c r="D2235">
        <v>12</v>
      </c>
      <c r="E2235">
        <v>2</v>
      </c>
      <c r="F2235">
        <v>1</v>
      </c>
      <c r="G2235" t="s">
        <v>120</v>
      </c>
      <c r="H2235" t="str">
        <f>IFERROR(ROUND(COUNTIFS(Tasks!$A:$A,$A2235,Tasks!$B:$B,$B2235,Tasks!$C:$C,$G2235,Tasks!$I:$I,"&lt;="&amp;INDEX(Weeks!$D:$D,MATCH($C2235,Weeks!$A:$A,0)),Tasks!$I:$I,"&lt;&gt;")/COUNTIFS(Tasks!$A:$A,$A2235,Tasks!$B:$B,$B2235,Tasks!$C:$C,$G2235)*100,0),"")</f>
        <v/>
      </c>
    </row>
    <row r="2236" spans="1:8" ht="15" hidden="1" customHeight="1">
      <c r="A2236" t="s">
        <v>102</v>
      </c>
      <c r="B2236" t="s">
        <v>106</v>
      </c>
      <c r="C2236">
        <v>51</v>
      </c>
      <c r="D2236">
        <v>12</v>
      </c>
      <c r="E2236">
        <v>3</v>
      </c>
      <c r="F2236">
        <v>1</v>
      </c>
      <c r="G2236" t="s">
        <v>120</v>
      </c>
      <c r="H2236" t="str">
        <f>IFERROR(ROUND(COUNTIFS(Tasks!$A:$A,$A2236,Tasks!$B:$B,$B2236,Tasks!$C:$C,$G2236,Tasks!$I:$I,"&lt;="&amp;INDEX(Weeks!$D:$D,MATCH($C2236,Weeks!$A:$A,0)),Tasks!$I:$I,"&lt;&gt;")/COUNTIFS(Tasks!$A:$A,$A2236,Tasks!$B:$B,$B2236,Tasks!$C:$C,$G2236)*100,0),"")</f>
        <v/>
      </c>
    </row>
    <row r="2237" spans="1:8" ht="15" hidden="1" customHeight="1">
      <c r="A2237" t="s">
        <v>102</v>
      </c>
      <c r="B2237" t="s">
        <v>106</v>
      </c>
      <c r="C2237">
        <v>52</v>
      </c>
      <c r="D2237">
        <v>12</v>
      </c>
      <c r="E2237">
        <v>4</v>
      </c>
      <c r="F2237">
        <v>1</v>
      </c>
      <c r="G2237" t="s">
        <v>120</v>
      </c>
      <c r="H2237" t="str">
        <f>IFERROR(ROUND(COUNTIFS(Tasks!$A:$A,$A2237,Tasks!$B:$B,$B2237,Tasks!$C:$C,$G2237,Tasks!$I:$I,"&lt;="&amp;INDEX(Weeks!$D:$D,MATCH($C2237,Weeks!$A:$A,0)),Tasks!$I:$I,"&lt;&gt;")/COUNTIFS(Tasks!$A:$A,$A2237,Tasks!$B:$B,$B2237,Tasks!$C:$C,$G2237)*100,0),"")</f>
        <v/>
      </c>
    </row>
    <row r="2238" spans="1:8" ht="15" hidden="1" customHeight="1">
      <c r="A2238" t="s">
        <v>102</v>
      </c>
      <c r="B2238" t="s">
        <v>106</v>
      </c>
      <c r="C2238">
        <v>1</v>
      </c>
      <c r="D2238">
        <v>1</v>
      </c>
      <c r="E2238">
        <v>1</v>
      </c>
      <c r="F2238">
        <v>2</v>
      </c>
      <c r="G2238" t="s">
        <v>121</v>
      </c>
      <c r="H2238" t="str">
        <f>IFERROR(ROUND(COUNTIFS(Tasks!$A:$A,$A2238,Tasks!$B:$B,$B2238,Tasks!$C:$C,$G2238,Tasks!$I:$I,"&lt;="&amp;INDEX(Weeks!$D:$D,MATCH($C2238,Weeks!$A:$A,0)),Tasks!$I:$I,"&lt;&gt;")/COUNTIFS(Tasks!$A:$A,$A2238,Tasks!$B:$B,$B2238,Tasks!$C:$C,$G2238)*100,0),"")</f>
        <v/>
      </c>
    </row>
    <row r="2239" spans="1:8" ht="15" hidden="1" customHeight="1">
      <c r="A2239" t="s">
        <v>102</v>
      </c>
      <c r="B2239" t="s">
        <v>106</v>
      </c>
      <c r="C2239">
        <v>2</v>
      </c>
      <c r="D2239">
        <v>1</v>
      </c>
      <c r="E2239">
        <v>2</v>
      </c>
      <c r="F2239">
        <v>2</v>
      </c>
      <c r="G2239" t="s">
        <v>121</v>
      </c>
      <c r="H2239" t="str">
        <f>IFERROR(ROUND(COUNTIFS(Tasks!$A:$A,$A2239,Tasks!$B:$B,$B2239,Tasks!$C:$C,$G2239,Tasks!$I:$I,"&lt;="&amp;INDEX(Weeks!$D:$D,MATCH($C2239,Weeks!$A:$A,0)),Tasks!$I:$I,"&lt;&gt;")/COUNTIFS(Tasks!$A:$A,$A2239,Tasks!$B:$B,$B2239,Tasks!$C:$C,$G2239)*100,0),"")</f>
        <v/>
      </c>
    </row>
    <row r="2240" spans="1:8" ht="15" hidden="1" customHeight="1">
      <c r="A2240" t="s">
        <v>102</v>
      </c>
      <c r="B2240" t="s">
        <v>106</v>
      </c>
      <c r="C2240">
        <v>3</v>
      </c>
      <c r="D2240">
        <v>1</v>
      </c>
      <c r="E2240">
        <v>3</v>
      </c>
      <c r="F2240">
        <v>2</v>
      </c>
      <c r="G2240" t="s">
        <v>121</v>
      </c>
      <c r="H2240" t="str">
        <f>IFERROR(ROUND(COUNTIFS(Tasks!$A:$A,$A2240,Tasks!$B:$B,$B2240,Tasks!$C:$C,$G2240,Tasks!$I:$I,"&lt;="&amp;INDEX(Weeks!$D:$D,MATCH($C2240,Weeks!$A:$A,0)),Tasks!$I:$I,"&lt;&gt;")/COUNTIFS(Tasks!$A:$A,$A2240,Tasks!$B:$B,$B2240,Tasks!$C:$C,$G2240)*100,0),"")</f>
        <v/>
      </c>
    </row>
    <row r="2241" spans="1:8" ht="15" hidden="1" customHeight="1">
      <c r="A2241" t="s">
        <v>102</v>
      </c>
      <c r="B2241" t="s">
        <v>106</v>
      </c>
      <c r="C2241">
        <v>4</v>
      </c>
      <c r="D2241">
        <v>1</v>
      </c>
      <c r="E2241">
        <v>4</v>
      </c>
      <c r="F2241">
        <v>2</v>
      </c>
      <c r="G2241" t="s">
        <v>121</v>
      </c>
      <c r="H2241" t="str">
        <f>IFERROR(ROUND(COUNTIFS(Tasks!$A:$A,$A2241,Tasks!$B:$B,$B2241,Tasks!$C:$C,$G2241,Tasks!$I:$I,"&lt;="&amp;INDEX(Weeks!$D:$D,MATCH($C2241,Weeks!$A:$A,0)),Tasks!$I:$I,"&lt;&gt;")/COUNTIFS(Tasks!$A:$A,$A2241,Tasks!$B:$B,$B2241,Tasks!$C:$C,$G2241)*100,0),"")</f>
        <v/>
      </c>
    </row>
    <row r="2242" spans="1:8" ht="15" hidden="1" customHeight="1">
      <c r="A2242" t="s">
        <v>102</v>
      </c>
      <c r="B2242" t="s">
        <v>106</v>
      </c>
      <c r="C2242">
        <v>5</v>
      </c>
      <c r="D2242">
        <v>1</v>
      </c>
      <c r="E2242">
        <v>5</v>
      </c>
      <c r="F2242">
        <v>2</v>
      </c>
      <c r="G2242" t="s">
        <v>121</v>
      </c>
      <c r="H2242" t="str">
        <f>IFERROR(ROUND(COUNTIFS(Tasks!$A:$A,$A2242,Tasks!$B:$B,$B2242,Tasks!$C:$C,$G2242,Tasks!$I:$I,"&lt;="&amp;INDEX(Weeks!$D:$D,MATCH($C2242,Weeks!$A:$A,0)),Tasks!$I:$I,"&lt;&gt;")/COUNTIFS(Tasks!$A:$A,$A2242,Tasks!$B:$B,$B2242,Tasks!$C:$C,$G2242)*100,0),"")</f>
        <v/>
      </c>
    </row>
    <row r="2243" spans="1:8" ht="15" hidden="1" customHeight="1">
      <c r="A2243" t="s">
        <v>102</v>
      </c>
      <c r="B2243" t="s">
        <v>106</v>
      </c>
      <c r="C2243">
        <v>6</v>
      </c>
      <c r="D2243">
        <v>2</v>
      </c>
      <c r="E2243">
        <v>1</v>
      </c>
      <c r="F2243">
        <v>2</v>
      </c>
      <c r="G2243" t="s">
        <v>121</v>
      </c>
      <c r="H2243" t="str">
        <f>IFERROR(ROUND(COUNTIFS(Tasks!$A:$A,$A2243,Tasks!$B:$B,$B2243,Tasks!$C:$C,$G2243,Tasks!$I:$I,"&lt;="&amp;INDEX(Weeks!$D:$D,MATCH($C2243,Weeks!$A:$A,0)),Tasks!$I:$I,"&lt;&gt;")/COUNTIFS(Tasks!$A:$A,$A2243,Tasks!$B:$B,$B2243,Tasks!$C:$C,$G2243)*100,0),"")</f>
        <v/>
      </c>
    </row>
    <row r="2244" spans="1:8" ht="15" hidden="1" customHeight="1">
      <c r="A2244" t="s">
        <v>102</v>
      </c>
      <c r="B2244" t="s">
        <v>106</v>
      </c>
      <c r="C2244">
        <v>7</v>
      </c>
      <c r="D2244">
        <v>2</v>
      </c>
      <c r="E2244">
        <v>2</v>
      </c>
      <c r="F2244">
        <v>2</v>
      </c>
      <c r="G2244" t="s">
        <v>121</v>
      </c>
      <c r="H2244" t="str">
        <f>IFERROR(ROUND(COUNTIFS(Tasks!$A:$A,$A2244,Tasks!$B:$B,$B2244,Tasks!$C:$C,$G2244,Tasks!$I:$I,"&lt;="&amp;INDEX(Weeks!$D:$D,MATCH($C2244,Weeks!$A:$A,0)),Tasks!$I:$I,"&lt;&gt;")/COUNTIFS(Tasks!$A:$A,$A2244,Tasks!$B:$B,$B2244,Tasks!$C:$C,$G2244)*100,0),"")</f>
        <v/>
      </c>
    </row>
    <row r="2245" spans="1:8" ht="15" hidden="1" customHeight="1">
      <c r="A2245" t="s">
        <v>102</v>
      </c>
      <c r="B2245" t="s">
        <v>106</v>
      </c>
      <c r="C2245">
        <v>8</v>
      </c>
      <c r="D2245">
        <v>2</v>
      </c>
      <c r="E2245">
        <v>3</v>
      </c>
      <c r="F2245">
        <v>2</v>
      </c>
      <c r="G2245" t="s">
        <v>121</v>
      </c>
      <c r="H2245" t="str">
        <f>IFERROR(ROUND(COUNTIFS(Tasks!$A:$A,$A2245,Tasks!$B:$B,$B2245,Tasks!$C:$C,$G2245,Tasks!$I:$I,"&lt;="&amp;INDEX(Weeks!$D:$D,MATCH($C2245,Weeks!$A:$A,0)),Tasks!$I:$I,"&lt;&gt;")/COUNTIFS(Tasks!$A:$A,$A2245,Tasks!$B:$B,$B2245,Tasks!$C:$C,$G2245)*100,0),"")</f>
        <v/>
      </c>
    </row>
    <row r="2246" spans="1:8" ht="15" hidden="1" customHeight="1">
      <c r="A2246" t="s">
        <v>102</v>
      </c>
      <c r="B2246" t="s">
        <v>106</v>
      </c>
      <c r="C2246">
        <v>9</v>
      </c>
      <c r="D2246">
        <v>2</v>
      </c>
      <c r="E2246">
        <v>4</v>
      </c>
      <c r="F2246">
        <v>2</v>
      </c>
      <c r="G2246" t="s">
        <v>121</v>
      </c>
      <c r="H2246" t="str">
        <f>IFERROR(ROUND(COUNTIFS(Tasks!$A:$A,$A2246,Tasks!$B:$B,$B2246,Tasks!$C:$C,$G2246,Tasks!$I:$I,"&lt;="&amp;INDEX(Weeks!$D:$D,MATCH($C2246,Weeks!$A:$A,0)),Tasks!$I:$I,"&lt;&gt;")/COUNTIFS(Tasks!$A:$A,$A2246,Tasks!$B:$B,$B2246,Tasks!$C:$C,$G2246)*100,0),"")</f>
        <v/>
      </c>
    </row>
    <row r="2247" spans="1:8" ht="15" hidden="1" customHeight="1">
      <c r="A2247" t="s">
        <v>102</v>
      </c>
      <c r="B2247" t="s">
        <v>106</v>
      </c>
      <c r="C2247">
        <v>10</v>
      </c>
      <c r="D2247">
        <v>3</v>
      </c>
      <c r="E2247">
        <v>1</v>
      </c>
      <c r="F2247">
        <v>2</v>
      </c>
      <c r="G2247" t="s">
        <v>121</v>
      </c>
      <c r="H2247" t="str">
        <f>IFERROR(ROUND(COUNTIFS(Tasks!$A:$A,$A2247,Tasks!$B:$B,$B2247,Tasks!$C:$C,$G2247,Tasks!$I:$I,"&lt;="&amp;INDEX(Weeks!$D:$D,MATCH($C2247,Weeks!$A:$A,0)),Tasks!$I:$I,"&lt;&gt;")/COUNTIFS(Tasks!$A:$A,$A2247,Tasks!$B:$B,$B2247,Tasks!$C:$C,$G2247)*100,0),"")</f>
        <v/>
      </c>
    </row>
    <row r="2248" spans="1:8" ht="15" hidden="1" customHeight="1">
      <c r="A2248" t="s">
        <v>102</v>
      </c>
      <c r="B2248" t="s">
        <v>106</v>
      </c>
      <c r="C2248">
        <v>11</v>
      </c>
      <c r="D2248">
        <v>3</v>
      </c>
      <c r="E2248">
        <v>2</v>
      </c>
      <c r="F2248">
        <v>2</v>
      </c>
      <c r="G2248" t="s">
        <v>121</v>
      </c>
      <c r="H2248" t="str">
        <f>IFERROR(ROUND(COUNTIFS(Tasks!$A:$A,$A2248,Tasks!$B:$B,$B2248,Tasks!$C:$C,$G2248,Tasks!$I:$I,"&lt;="&amp;INDEX(Weeks!$D:$D,MATCH($C2248,Weeks!$A:$A,0)),Tasks!$I:$I,"&lt;&gt;")/COUNTIFS(Tasks!$A:$A,$A2248,Tasks!$B:$B,$B2248,Tasks!$C:$C,$G2248)*100,0),"")</f>
        <v/>
      </c>
    </row>
    <row r="2249" spans="1:8" ht="15" hidden="1" customHeight="1">
      <c r="A2249" t="s">
        <v>102</v>
      </c>
      <c r="B2249" t="s">
        <v>106</v>
      </c>
      <c r="C2249">
        <v>12</v>
      </c>
      <c r="D2249">
        <v>3</v>
      </c>
      <c r="E2249">
        <v>3</v>
      </c>
      <c r="F2249">
        <v>2</v>
      </c>
      <c r="G2249" t="s">
        <v>121</v>
      </c>
      <c r="H2249" t="str">
        <f>IFERROR(ROUND(COUNTIFS(Tasks!$A:$A,$A2249,Tasks!$B:$B,$B2249,Tasks!$C:$C,$G2249,Tasks!$I:$I,"&lt;="&amp;INDEX(Weeks!$D:$D,MATCH($C2249,Weeks!$A:$A,0)),Tasks!$I:$I,"&lt;&gt;")/COUNTIFS(Tasks!$A:$A,$A2249,Tasks!$B:$B,$B2249,Tasks!$C:$C,$G2249)*100,0),"")</f>
        <v/>
      </c>
    </row>
    <row r="2250" spans="1:8" ht="15" hidden="1" customHeight="1">
      <c r="A2250" t="s">
        <v>102</v>
      </c>
      <c r="B2250" t="s">
        <v>106</v>
      </c>
      <c r="C2250">
        <v>13</v>
      </c>
      <c r="D2250">
        <v>3</v>
      </c>
      <c r="E2250">
        <v>4</v>
      </c>
      <c r="F2250">
        <v>2</v>
      </c>
      <c r="G2250" t="s">
        <v>121</v>
      </c>
      <c r="H2250" t="str">
        <f>IFERROR(ROUND(COUNTIFS(Tasks!$A:$A,$A2250,Tasks!$B:$B,$B2250,Tasks!$C:$C,$G2250,Tasks!$I:$I,"&lt;="&amp;INDEX(Weeks!$D:$D,MATCH($C2250,Weeks!$A:$A,0)),Tasks!$I:$I,"&lt;&gt;")/COUNTIFS(Tasks!$A:$A,$A2250,Tasks!$B:$B,$B2250,Tasks!$C:$C,$G2250)*100,0),"")</f>
        <v/>
      </c>
    </row>
    <row r="2251" spans="1:8" ht="15" hidden="1" customHeight="1">
      <c r="A2251" t="s">
        <v>102</v>
      </c>
      <c r="B2251" t="s">
        <v>106</v>
      </c>
      <c r="C2251">
        <v>14</v>
      </c>
      <c r="D2251">
        <v>4</v>
      </c>
      <c r="E2251">
        <v>1</v>
      </c>
      <c r="F2251">
        <v>2</v>
      </c>
      <c r="G2251" t="s">
        <v>121</v>
      </c>
      <c r="H2251" t="str">
        <f>IFERROR(ROUND(COUNTIFS(Tasks!$A:$A,$A2251,Tasks!$B:$B,$B2251,Tasks!$C:$C,$G2251,Tasks!$I:$I,"&lt;="&amp;INDEX(Weeks!$D:$D,MATCH($C2251,Weeks!$A:$A,0)),Tasks!$I:$I,"&lt;&gt;")/COUNTIFS(Tasks!$A:$A,$A2251,Tasks!$B:$B,$B2251,Tasks!$C:$C,$G2251)*100,0),"")</f>
        <v/>
      </c>
    </row>
    <row r="2252" spans="1:8" ht="15" hidden="1" customHeight="1">
      <c r="A2252" t="s">
        <v>102</v>
      </c>
      <c r="B2252" t="s">
        <v>106</v>
      </c>
      <c r="C2252">
        <v>15</v>
      </c>
      <c r="D2252">
        <v>4</v>
      </c>
      <c r="E2252">
        <v>2</v>
      </c>
      <c r="F2252">
        <v>2</v>
      </c>
      <c r="G2252" t="s">
        <v>121</v>
      </c>
      <c r="H2252" t="str">
        <f>IFERROR(ROUND(COUNTIFS(Tasks!$A:$A,$A2252,Tasks!$B:$B,$B2252,Tasks!$C:$C,$G2252,Tasks!$I:$I,"&lt;="&amp;INDEX(Weeks!$D:$D,MATCH($C2252,Weeks!$A:$A,0)),Tasks!$I:$I,"&lt;&gt;")/COUNTIFS(Tasks!$A:$A,$A2252,Tasks!$B:$B,$B2252,Tasks!$C:$C,$G2252)*100,0),"")</f>
        <v/>
      </c>
    </row>
    <row r="2253" spans="1:8" ht="15" hidden="1" customHeight="1">
      <c r="A2253" t="s">
        <v>102</v>
      </c>
      <c r="B2253" t="s">
        <v>106</v>
      </c>
      <c r="C2253">
        <v>16</v>
      </c>
      <c r="D2253">
        <v>4</v>
      </c>
      <c r="E2253">
        <v>3</v>
      </c>
      <c r="F2253">
        <v>2</v>
      </c>
      <c r="G2253" t="s">
        <v>121</v>
      </c>
      <c r="H2253" t="str">
        <f>IFERROR(ROUND(COUNTIFS(Tasks!$A:$A,$A2253,Tasks!$B:$B,$B2253,Tasks!$C:$C,$G2253,Tasks!$I:$I,"&lt;="&amp;INDEX(Weeks!$D:$D,MATCH($C2253,Weeks!$A:$A,0)),Tasks!$I:$I,"&lt;&gt;")/COUNTIFS(Tasks!$A:$A,$A2253,Tasks!$B:$B,$B2253,Tasks!$C:$C,$G2253)*100,0),"")</f>
        <v/>
      </c>
    </row>
    <row r="2254" spans="1:8" ht="15" hidden="1" customHeight="1">
      <c r="A2254" t="s">
        <v>102</v>
      </c>
      <c r="B2254" t="s">
        <v>106</v>
      </c>
      <c r="C2254">
        <v>17</v>
      </c>
      <c r="D2254">
        <v>4</v>
      </c>
      <c r="E2254">
        <v>4</v>
      </c>
      <c r="F2254">
        <v>2</v>
      </c>
      <c r="G2254" t="s">
        <v>121</v>
      </c>
      <c r="H2254" t="str">
        <f>IFERROR(ROUND(COUNTIFS(Tasks!$A:$A,$A2254,Tasks!$B:$B,$B2254,Tasks!$C:$C,$G2254,Tasks!$I:$I,"&lt;="&amp;INDEX(Weeks!$D:$D,MATCH($C2254,Weeks!$A:$A,0)),Tasks!$I:$I,"&lt;&gt;")/COUNTIFS(Tasks!$A:$A,$A2254,Tasks!$B:$B,$B2254,Tasks!$C:$C,$G2254)*100,0),"")</f>
        <v/>
      </c>
    </row>
    <row r="2255" spans="1:8" ht="15" hidden="1" customHeight="1">
      <c r="A2255" t="s">
        <v>102</v>
      </c>
      <c r="B2255" t="s">
        <v>106</v>
      </c>
      <c r="C2255">
        <v>18</v>
      </c>
      <c r="D2255">
        <v>5</v>
      </c>
      <c r="E2255">
        <v>1</v>
      </c>
      <c r="F2255">
        <v>2</v>
      </c>
      <c r="G2255" t="s">
        <v>121</v>
      </c>
      <c r="H2255" t="str">
        <f>IFERROR(ROUND(COUNTIFS(Tasks!$A:$A,$A2255,Tasks!$B:$B,$B2255,Tasks!$C:$C,$G2255,Tasks!$I:$I,"&lt;="&amp;INDEX(Weeks!$D:$D,MATCH($C2255,Weeks!$A:$A,0)),Tasks!$I:$I,"&lt;&gt;")/COUNTIFS(Tasks!$A:$A,$A2255,Tasks!$B:$B,$B2255,Tasks!$C:$C,$G2255)*100,0),"")</f>
        <v/>
      </c>
    </row>
    <row r="2256" spans="1:8" ht="15" hidden="1" customHeight="1">
      <c r="A2256" t="s">
        <v>102</v>
      </c>
      <c r="B2256" t="s">
        <v>106</v>
      </c>
      <c r="C2256">
        <v>19</v>
      </c>
      <c r="D2256">
        <v>5</v>
      </c>
      <c r="E2256">
        <v>2</v>
      </c>
      <c r="F2256">
        <v>2</v>
      </c>
      <c r="G2256" t="s">
        <v>121</v>
      </c>
      <c r="H2256" t="str">
        <f>IFERROR(ROUND(COUNTIFS(Tasks!$A:$A,$A2256,Tasks!$B:$B,$B2256,Tasks!$C:$C,$G2256,Tasks!$I:$I,"&lt;="&amp;INDEX(Weeks!$D:$D,MATCH($C2256,Weeks!$A:$A,0)),Tasks!$I:$I,"&lt;&gt;")/COUNTIFS(Tasks!$A:$A,$A2256,Tasks!$B:$B,$B2256,Tasks!$C:$C,$G2256)*100,0),"")</f>
        <v/>
      </c>
    </row>
    <row r="2257" spans="1:8" ht="15" hidden="1" customHeight="1">
      <c r="A2257" t="s">
        <v>102</v>
      </c>
      <c r="B2257" t="s">
        <v>106</v>
      </c>
      <c r="C2257">
        <v>20</v>
      </c>
      <c r="D2257">
        <v>5</v>
      </c>
      <c r="E2257">
        <v>3</v>
      </c>
      <c r="F2257">
        <v>2</v>
      </c>
      <c r="G2257" t="s">
        <v>121</v>
      </c>
      <c r="H2257" t="str">
        <f>IFERROR(ROUND(COUNTIFS(Tasks!$A:$A,$A2257,Tasks!$B:$B,$B2257,Tasks!$C:$C,$G2257,Tasks!$I:$I,"&lt;="&amp;INDEX(Weeks!$D:$D,MATCH($C2257,Weeks!$A:$A,0)),Tasks!$I:$I,"&lt;&gt;")/COUNTIFS(Tasks!$A:$A,$A2257,Tasks!$B:$B,$B2257,Tasks!$C:$C,$G2257)*100,0),"")</f>
        <v/>
      </c>
    </row>
    <row r="2258" spans="1:8" ht="15" hidden="1" customHeight="1">
      <c r="A2258" t="s">
        <v>102</v>
      </c>
      <c r="B2258" t="s">
        <v>106</v>
      </c>
      <c r="C2258">
        <v>21</v>
      </c>
      <c r="D2258">
        <v>5</v>
      </c>
      <c r="E2258">
        <v>4</v>
      </c>
      <c r="F2258">
        <v>2</v>
      </c>
      <c r="G2258" t="s">
        <v>121</v>
      </c>
      <c r="H2258" t="str">
        <f>IFERROR(ROUND(COUNTIFS(Tasks!$A:$A,$A2258,Tasks!$B:$B,$B2258,Tasks!$C:$C,$G2258,Tasks!$I:$I,"&lt;="&amp;INDEX(Weeks!$D:$D,MATCH($C2258,Weeks!$A:$A,0)),Tasks!$I:$I,"&lt;&gt;")/COUNTIFS(Tasks!$A:$A,$A2258,Tasks!$B:$B,$B2258,Tasks!$C:$C,$G2258)*100,0),"")</f>
        <v/>
      </c>
    </row>
    <row r="2259" spans="1:8" ht="15" hidden="1" customHeight="1">
      <c r="A2259" t="s">
        <v>102</v>
      </c>
      <c r="B2259" t="s">
        <v>106</v>
      </c>
      <c r="C2259">
        <v>22</v>
      </c>
      <c r="D2259">
        <v>5</v>
      </c>
      <c r="E2259">
        <v>5</v>
      </c>
      <c r="F2259">
        <v>2</v>
      </c>
      <c r="G2259" t="s">
        <v>121</v>
      </c>
      <c r="H2259" t="str">
        <f>IFERROR(ROUND(COUNTIFS(Tasks!$A:$A,$A2259,Tasks!$B:$B,$B2259,Tasks!$C:$C,$G2259,Tasks!$I:$I,"&lt;="&amp;INDEX(Weeks!$D:$D,MATCH($C2259,Weeks!$A:$A,0)),Tasks!$I:$I,"&lt;&gt;")/COUNTIFS(Tasks!$A:$A,$A2259,Tasks!$B:$B,$B2259,Tasks!$C:$C,$G2259)*100,0),"")</f>
        <v/>
      </c>
    </row>
    <row r="2260" spans="1:8" ht="15" hidden="1" customHeight="1">
      <c r="A2260" t="s">
        <v>102</v>
      </c>
      <c r="B2260" t="s">
        <v>106</v>
      </c>
      <c r="C2260">
        <v>23</v>
      </c>
      <c r="D2260">
        <v>6</v>
      </c>
      <c r="E2260">
        <v>1</v>
      </c>
      <c r="F2260">
        <v>2</v>
      </c>
      <c r="G2260" t="s">
        <v>121</v>
      </c>
      <c r="H2260" t="str">
        <f>IFERROR(ROUND(COUNTIFS(Tasks!$A:$A,$A2260,Tasks!$B:$B,$B2260,Tasks!$C:$C,$G2260,Tasks!$I:$I,"&lt;="&amp;INDEX(Weeks!$D:$D,MATCH($C2260,Weeks!$A:$A,0)),Tasks!$I:$I,"&lt;&gt;")/COUNTIFS(Tasks!$A:$A,$A2260,Tasks!$B:$B,$B2260,Tasks!$C:$C,$G2260)*100,0),"")</f>
        <v/>
      </c>
    </row>
    <row r="2261" spans="1:8" ht="15" hidden="1" customHeight="1">
      <c r="A2261" t="s">
        <v>102</v>
      </c>
      <c r="B2261" t="s">
        <v>106</v>
      </c>
      <c r="C2261">
        <v>24</v>
      </c>
      <c r="D2261">
        <v>6</v>
      </c>
      <c r="E2261">
        <v>2</v>
      </c>
      <c r="F2261">
        <v>2</v>
      </c>
      <c r="G2261" t="s">
        <v>121</v>
      </c>
      <c r="H2261" t="str">
        <f>IFERROR(ROUND(COUNTIFS(Tasks!$A:$A,$A2261,Tasks!$B:$B,$B2261,Tasks!$C:$C,$G2261,Tasks!$I:$I,"&lt;="&amp;INDEX(Weeks!$D:$D,MATCH($C2261,Weeks!$A:$A,0)),Tasks!$I:$I,"&lt;&gt;")/COUNTIFS(Tasks!$A:$A,$A2261,Tasks!$B:$B,$B2261,Tasks!$C:$C,$G2261)*100,0),"")</f>
        <v/>
      </c>
    </row>
    <row r="2262" spans="1:8" ht="15" hidden="1" customHeight="1">
      <c r="A2262" t="s">
        <v>102</v>
      </c>
      <c r="B2262" t="s">
        <v>106</v>
      </c>
      <c r="C2262">
        <v>25</v>
      </c>
      <c r="D2262">
        <v>6</v>
      </c>
      <c r="E2262">
        <v>3</v>
      </c>
      <c r="F2262">
        <v>2</v>
      </c>
      <c r="G2262" t="s">
        <v>121</v>
      </c>
      <c r="H2262" t="str">
        <f>IFERROR(ROUND(COUNTIFS(Tasks!$A:$A,$A2262,Tasks!$B:$B,$B2262,Tasks!$C:$C,$G2262,Tasks!$I:$I,"&lt;="&amp;INDEX(Weeks!$D:$D,MATCH($C2262,Weeks!$A:$A,0)),Tasks!$I:$I,"&lt;&gt;")/COUNTIFS(Tasks!$A:$A,$A2262,Tasks!$B:$B,$B2262,Tasks!$C:$C,$G2262)*100,0),"")</f>
        <v/>
      </c>
    </row>
    <row r="2263" spans="1:8" ht="15" hidden="1" customHeight="1">
      <c r="A2263" t="s">
        <v>102</v>
      </c>
      <c r="B2263" t="s">
        <v>106</v>
      </c>
      <c r="C2263">
        <v>26</v>
      </c>
      <c r="D2263">
        <v>6</v>
      </c>
      <c r="E2263">
        <v>4</v>
      </c>
      <c r="F2263">
        <v>2</v>
      </c>
      <c r="G2263" t="s">
        <v>121</v>
      </c>
      <c r="H2263" t="str">
        <f>IFERROR(ROUND(COUNTIFS(Tasks!$A:$A,$A2263,Tasks!$B:$B,$B2263,Tasks!$C:$C,$G2263,Tasks!$I:$I,"&lt;="&amp;INDEX(Weeks!$D:$D,MATCH($C2263,Weeks!$A:$A,0)),Tasks!$I:$I,"&lt;&gt;")/COUNTIFS(Tasks!$A:$A,$A2263,Tasks!$B:$B,$B2263,Tasks!$C:$C,$G2263)*100,0),"")</f>
        <v/>
      </c>
    </row>
    <row r="2264" spans="1:8" ht="15" hidden="1" customHeight="1">
      <c r="A2264" t="s">
        <v>102</v>
      </c>
      <c r="B2264" t="s">
        <v>106</v>
      </c>
      <c r="C2264">
        <v>27</v>
      </c>
      <c r="D2264">
        <v>7</v>
      </c>
      <c r="E2264">
        <v>1</v>
      </c>
      <c r="F2264">
        <v>2</v>
      </c>
      <c r="G2264" t="s">
        <v>121</v>
      </c>
      <c r="H2264" t="str">
        <f>IFERROR(ROUND(COUNTIFS(Tasks!$A:$A,$A2264,Tasks!$B:$B,$B2264,Tasks!$C:$C,$G2264,Tasks!$I:$I,"&lt;="&amp;INDEX(Weeks!$D:$D,MATCH($C2264,Weeks!$A:$A,0)),Tasks!$I:$I,"&lt;&gt;")/COUNTIFS(Tasks!$A:$A,$A2264,Tasks!$B:$B,$B2264,Tasks!$C:$C,$G2264)*100,0),"")</f>
        <v/>
      </c>
    </row>
    <row r="2265" spans="1:8" ht="15" hidden="1" customHeight="1">
      <c r="A2265" t="s">
        <v>102</v>
      </c>
      <c r="B2265" t="s">
        <v>106</v>
      </c>
      <c r="C2265">
        <v>28</v>
      </c>
      <c r="D2265">
        <v>7</v>
      </c>
      <c r="E2265">
        <v>2</v>
      </c>
      <c r="F2265">
        <v>2</v>
      </c>
      <c r="G2265" t="s">
        <v>121</v>
      </c>
      <c r="H2265" t="str">
        <f>IFERROR(ROUND(COUNTIFS(Tasks!$A:$A,$A2265,Tasks!$B:$B,$B2265,Tasks!$C:$C,$G2265,Tasks!$I:$I,"&lt;="&amp;INDEX(Weeks!$D:$D,MATCH($C2265,Weeks!$A:$A,0)),Tasks!$I:$I,"&lt;&gt;")/COUNTIFS(Tasks!$A:$A,$A2265,Tasks!$B:$B,$B2265,Tasks!$C:$C,$G2265)*100,0),"")</f>
        <v/>
      </c>
    </row>
    <row r="2266" spans="1:8" ht="15" hidden="1" customHeight="1">
      <c r="A2266" t="s">
        <v>102</v>
      </c>
      <c r="B2266" t="s">
        <v>106</v>
      </c>
      <c r="C2266">
        <v>29</v>
      </c>
      <c r="D2266">
        <v>7</v>
      </c>
      <c r="E2266">
        <v>3</v>
      </c>
      <c r="F2266">
        <v>2</v>
      </c>
      <c r="G2266" t="s">
        <v>121</v>
      </c>
      <c r="H2266" t="str">
        <f>IFERROR(ROUND(COUNTIFS(Tasks!$A:$A,$A2266,Tasks!$B:$B,$B2266,Tasks!$C:$C,$G2266,Tasks!$I:$I,"&lt;="&amp;INDEX(Weeks!$D:$D,MATCH($C2266,Weeks!$A:$A,0)),Tasks!$I:$I,"&lt;&gt;")/COUNTIFS(Tasks!$A:$A,$A2266,Tasks!$B:$B,$B2266,Tasks!$C:$C,$G2266)*100,0),"")</f>
        <v/>
      </c>
    </row>
    <row r="2267" spans="1:8" ht="15" hidden="1" customHeight="1">
      <c r="A2267" t="s">
        <v>102</v>
      </c>
      <c r="B2267" t="s">
        <v>106</v>
      </c>
      <c r="C2267">
        <v>30</v>
      </c>
      <c r="D2267">
        <v>7</v>
      </c>
      <c r="E2267">
        <v>4</v>
      </c>
      <c r="F2267">
        <v>2</v>
      </c>
      <c r="G2267" t="s">
        <v>121</v>
      </c>
      <c r="H2267" t="str">
        <f>IFERROR(ROUND(COUNTIFS(Tasks!$A:$A,$A2267,Tasks!$B:$B,$B2267,Tasks!$C:$C,$G2267,Tasks!$I:$I,"&lt;="&amp;INDEX(Weeks!$D:$D,MATCH($C2267,Weeks!$A:$A,0)),Tasks!$I:$I,"&lt;&gt;")/COUNTIFS(Tasks!$A:$A,$A2267,Tasks!$B:$B,$B2267,Tasks!$C:$C,$G2267)*100,0),"")</f>
        <v/>
      </c>
    </row>
    <row r="2268" spans="1:8" ht="15" hidden="1" customHeight="1">
      <c r="A2268" t="s">
        <v>102</v>
      </c>
      <c r="B2268" t="s">
        <v>106</v>
      </c>
      <c r="C2268">
        <v>31</v>
      </c>
      <c r="D2268">
        <v>8</v>
      </c>
      <c r="E2268">
        <v>1</v>
      </c>
      <c r="F2268">
        <v>2</v>
      </c>
      <c r="G2268" t="s">
        <v>121</v>
      </c>
      <c r="H2268" t="str">
        <f>IFERROR(ROUND(COUNTIFS(Tasks!$A:$A,$A2268,Tasks!$B:$B,$B2268,Tasks!$C:$C,$G2268,Tasks!$I:$I,"&lt;="&amp;INDEX(Weeks!$D:$D,MATCH($C2268,Weeks!$A:$A,0)),Tasks!$I:$I,"&lt;&gt;")/COUNTIFS(Tasks!$A:$A,$A2268,Tasks!$B:$B,$B2268,Tasks!$C:$C,$G2268)*100,0),"")</f>
        <v/>
      </c>
    </row>
    <row r="2269" spans="1:8" ht="15" hidden="1" customHeight="1">
      <c r="A2269" t="s">
        <v>102</v>
      </c>
      <c r="B2269" t="s">
        <v>106</v>
      </c>
      <c r="C2269">
        <v>32</v>
      </c>
      <c r="D2269">
        <v>8</v>
      </c>
      <c r="E2269">
        <v>2</v>
      </c>
      <c r="F2269">
        <v>2</v>
      </c>
      <c r="G2269" t="s">
        <v>121</v>
      </c>
      <c r="H2269" t="str">
        <f>IFERROR(ROUND(COUNTIFS(Tasks!$A:$A,$A2269,Tasks!$B:$B,$B2269,Tasks!$C:$C,$G2269,Tasks!$I:$I,"&lt;="&amp;INDEX(Weeks!$D:$D,MATCH($C2269,Weeks!$A:$A,0)),Tasks!$I:$I,"&lt;&gt;")/COUNTIFS(Tasks!$A:$A,$A2269,Tasks!$B:$B,$B2269,Tasks!$C:$C,$G2269)*100,0),"")</f>
        <v/>
      </c>
    </row>
    <row r="2270" spans="1:8" ht="15" hidden="1" customHeight="1">
      <c r="A2270" t="s">
        <v>102</v>
      </c>
      <c r="B2270" t="s">
        <v>106</v>
      </c>
      <c r="C2270">
        <v>33</v>
      </c>
      <c r="D2270">
        <v>8</v>
      </c>
      <c r="E2270">
        <v>3</v>
      </c>
      <c r="F2270">
        <v>2</v>
      </c>
      <c r="G2270" t="s">
        <v>121</v>
      </c>
      <c r="H2270" t="str">
        <f>IFERROR(ROUND(COUNTIFS(Tasks!$A:$A,$A2270,Tasks!$B:$B,$B2270,Tasks!$C:$C,$G2270,Tasks!$I:$I,"&lt;="&amp;INDEX(Weeks!$D:$D,MATCH($C2270,Weeks!$A:$A,0)),Tasks!$I:$I,"&lt;&gt;")/COUNTIFS(Tasks!$A:$A,$A2270,Tasks!$B:$B,$B2270,Tasks!$C:$C,$G2270)*100,0),"")</f>
        <v/>
      </c>
    </row>
    <row r="2271" spans="1:8" ht="15" hidden="1" customHeight="1">
      <c r="A2271" t="s">
        <v>102</v>
      </c>
      <c r="B2271" t="s">
        <v>106</v>
      </c>
      <c r="C2271">
        <v>34</v>
      </c>
      <c r="D2271">
        <v>8</v>
      </c>
      <c r="E2271">
        <v>4</v>
      </c>
      <c r="F2271">
        <v>2</v>
      </c>
      <c r="G2271" t="s">
        <v>121</v>
      </c>
      <c r="H2271" t="str">
        <f>IFERROR(ROUND(COUNTIFS(Tasks!$A:$A,$A2271,Tasks!$B:$B,$B2271,Tasks!$C:$C,$G2271,Tasks!$I:$I,"&lt;="&amp;INDEX(Weeks!$D:$D,MATCH($C2271,Weeks!$A:$A,0)),Tasks!$I:$I,"&lt;&gt;")/COUNTIFS(Tasks!$A:$A,$A2271,Tasks!$B:$B,$B2271,Tasks!$C:$C,$G2271)*100,0),"")</f>
        <v/>
      </c>
    </row>
    <row r="2272" spans="1:8" ht="15" hidden="1" customHeight="1">
      <c r="A2272" t="s">
        <v>102</v>
      </c>
      <c r="B2272" t="s">
        <v>106</v>
      </c>
      <c r="C2272">
        <v>35</v>
      </c>
      <c r="D2272">
        <v>8</v>
      </c>
      <c r="E2272">
        <v>5</v>
      </c>
      <c r="F2272">
        <v>2</v>
      </c>
      <c r="G2272" t="s">
        <v>121</v>
      </c>
      <c r="H2272" t="str">
        <f>IFERROR(ROUND(COUNTIFS(Tasks!$A:$A,$A2272,Tasks!$B:$B,$B2272,Tasks!$C:$C,$G2272,Tasks!$I:$I,"&lt;="&amp;INDEX(Weeks!$D:$D,MATCH($C2272,Weeks!$A:$A,0)),Tasks!$I:$I,"&lt;&gt;")/COUNTIFS(Tasks!$A:$A,$A2272,Tasks!$B:$B,$B2272,Tasks!$C:$C,$G2272)*100,0),"")</f>
        <v/>
      </c>
    </row>
    <row r="2273" spans="1:8" ht="15" hidden="1" customHeight="1">
      <c r="A2273" t="s">
        <v>102</v>
      </c>
      <c r="B2273" t="s">
        <v>106</v>
      </c>
      <c r="C2273">
        <v>36</v>
      </c>
      <c r="D2273">
        <v>9</v>
      </c>
      <c r="E2273">
        <v>1</v>
      </c>
      <c r="F2273">
        <v>2</v>
      </c>
      <c r="G2273" t="s">
        <v>121</v>
      </c>
      <c r="H2273" t="str">
        <f>IFERROR(ROUND(COUNTIFS(Tasks!$A:$A,$A2273,Tasks!$B:$B,$B2273,Tasks!$C:$C,$G2273,Tasks!$I:$I,"&lt;="&amp;INDEX(Weeks!$D:$D,MATCH($C2273,Weeks!$A:$A,0)),Tasks!$I:$I,"&lt;&gt;")/COUNTIFS(Tasks!$A:$A,$A2273,Tasks!$B:$B,$B2273,Tasks!$C:$C,$G2273)*100,0),"")</f>
        <v/>
      </c>
    </row>
    <row r="2274" spans="1:8" ht="15" hidden="1" customHeight="1">
      <c r="A2274" t="s">
        <v>102</v>
      </c>
      <c r="B2274" t="s">
        <v>106</v>
      </c>
      <c r="C2274">
        <v>37</v>
      </c>
      <c r="D2274">
        <v>9</v>
      </c>
      <c r="E2274">
        <v>2</v>
      </c>
      <c r="F2274">
        <v>2</v>
      </c>
      <c r="G2274" t="s">
        <v>121</v>
      </c>
      <c r="H2274" t="str">
        <f>IFERROR(ROUND(COUNTIFS(Tasks!$A:$A,$A2274,Tasks!$B:$B,$B2274,Tasks!$C:$C,$G2274,Tasks!$I:$I,"&lt;="&amp;INDEX(Weeks!$D:$D,MATCH($C2274,Weeks!$A:$A,0)),Tasks!$I:$I,"&lt;&gt;")/COUNTIFS(Tasks!$A:$A,$A2274,Tasks!$B:$B,$B2274,Tasks!$C:$C,$G2274)*100,0),"")</f>
        <v/>
      </c>
    </row>
    <row r="2275" spans="1:8" ht="15" hidden="1" customHeight="1">
      <c r="A2275" t="s">
        <v>102</v>
      </c>
      <c r="B2275" t="s">
        <v>106</v>
      </c>
      <c r="C2275">
        <v>38</v>
      </c>
      <c r="D2275">
        <v>9</v>
      </c>
      <c r="E2275">
        <v>3</v>
      </c>
      <c r="F2275">
        <v>2</v>
      </c>
      <c r="G2275" t="s">
        <v>121</v>
      </c>
      <c r="H2275" t="str">
        <f>IFERROR(ROUND(COUNTIFS(Tasks!$A:$A,$A2275,Tasks!$B:$B,$B2275,Tasks!$C:$C,$G2275,Tasks!$I:$I,"&lt;="&amp;INDEX(Weeks!$D:$D,MATCH($C2275,Weeks!$A:$A,0)),Tasks!$I:$I,"&lt;&gt;")/COUNTIFS(Tasks!$A:$A,$A2275,Tasks!$B:$B,$B2275,Tasks!$C:$C,$G2275)*100,0),"")</f>
        <v/>
      </c>
    </row>
    <row r="2276" spans="1:8" ht="15" hidden="1" customHeight="1">
      <c r="A2276" t="s">
        <v>102</v>
      </c>
      <c r="B2276" t="s">
        <v>106</v>
      </c>
      <c r="C2276">
        <v>39</v>
      </c>
      <c r="D2276">
        <v>9</v>
      </c>
      <c r="E2276">
        <v>4</v>
      </c>
      <c r="F2276">
        <v>2</v>
      </c>
      <c r="G2276" t="s">
        <v>121</v>
      </c>
      <c r="H2276" t="str">
        <f>IFERROR(ROUND(COUNTIFS(Tasks!$A:$A,$A2276,Tasks!$B:$B,$B2276,Tasks!$C:$C,$G2276,Tasks!$I:$I,"&lt;="&amp;INDEX(Weeks!$D:$D,MATCH($C2276,Weeks!$A:$A,0)),Tasks!$I:$I,"&lt;&gt;")/COUNTIFS(Tasks!$A:$A,$A2276,Tasks!$B:$B,$B2276,Tasks!$C:$C,$G2276)*100,0),"")</f>
        <v/>
      </c>
    </row>
    <row r="2277" spans="1:8" ht="15" hidden="1" customHeight="1">
      <c r="A2277" t="s">
        <v>102</v>
      </c>
      <c r="B2277" t="s">
        <v>106</v>
      </c>
      <c r="C2277">
        <v>40</v>
      </c>
      <c r="D2277">
        <v>10</v>
      </c>
      <c r="E2277">
        <v>1</v>
      </c>
      <c r="F2277">
        <v>2</v>
      </c>
      <c r="G2277" t="s">
        <v>121</v>
      </c>
      <c r="H2277" t="str">
        <f>IFERROR(ROUND(COUNTIFS(Tasks!$A:$A,$A2277,Tasks!$B:$B,$B2277,Tasks!$C:$C,$G2277,Tasks!$I:$I,"&lt;="&amp;INDEX(Weeks!$D:$D,MATCH($C2277,Weeks!$A:$A,0)),Tasks!$I:$I,"&lt;&gt;")/COUNTIFS(Tasks!$A:$A,$A2277,Tasks!$B:$B,$B2277,Tasks!$C:$C,$G2277)*100,0),"")</f>
        <v/>
      </c>
    </row>
    <row r="2278" spans="1:8" ht="15" hidden="1" customHeight="1">
      <c r="A2278" t="s">
        <v>102</v>
      </c>
      <c r="B2278" t="s">
        <v>106</v>
      </c>
      <c r="C2278">
        <v>41</v>
      </c>
      <c r="D2278">
        <v>10</v>
      </c>
      <c r="E2278">
        <v>2</v>
      </c>
      <c r="F2278">
        <v>2</v>
      </c>
      <c r="G2278" t="s">
        <v>121</v>
      </c>
      <c r="H2278" t="str">
        <f>IFERROR(ROUND(COUNTIFS(Tasks!$A:$A,$A2278,Tasks!$B:$B,$B2278,Tasks!$C:$C,$G2278,Tasks!$I:$I,"&lt;="&amp;INDEX(Weeks!$D:$D,MATCH($C2278,Weeks!$A:$A,0)),Tasks!$I:$I,"&lt;&gt;")/COUNTIFS(Tasks!$A:$A,$A2278,Tasks!$B:$B,$B2278,Tasks!$C:$C,$G2278)*100,0),"")</f>
        <v/>
      </c>
    </row>
    <row r="2279" spans="1:8" ht="15" hidden="1" customHeight="1">
      <c r="A2279" t="s">
        <v>102</v>
      </c>
      <c r="B2279" t="s">
        <v>106</v>
      </c>
      <c r="C2279">
        <v>42</v>
      </c>
      <c r="D2279">
        <v>10</v>
      </c>
      <c r="E2279">
        <v>3</v>
      </c>
      <c r="F2279">
        <v>2</v>
      </c>
      <c r="G2279" t="s">
        <v>121</v>
      </c>
      <c r="H2279" t="str">
        <f>IFERROR(ROUND(COUNTIFS(Tasks!$A:$A,$A2279,Tasks!$B:$B,$B2279,Tasks!$C:$C,$G2279,Tasks!$I:$I,"&lt;="&amp;INDEX(Weeks!$D:$D,MATCH($C2279,Weeks!$A:$A,0)),Tasks!$I:$I,"&lt;&gt;")/COUNTIFS(Tasks!$A:$A,$A2279,Tasks!$B:$B,$B2279,Tasks!$C:$C,$G2279)*100,0),"")</f>
        <v/>
      </c>
    </row>
    <row r="2280" spans="1:8" ht="15" hidden="1" customHeight="1">
      <c r="A2280" t="s">
        <v>102</v>
      </c>
      <c r="B2280" t="s">
        <v>106</v>
      </c>
      <c r="C2280">
        <v>43</v>
      </c>
      <c r="D2280">
        <v>10</v>
      </c>
      <c r="E2280">
        <v>4</v>
      </c>
      <c r="F2280">
        <v>2</v>
      </c>
      <c r="G2280" t="s">
        <v>121</v>
      </c>
      <c r="H2280" t="str">
        <f>IFERROR(ROUND(COUNTIFS(Tasks!$A:$A,$A2280,Tasks!$B:$B,$B2280,Tasks!$C:$C,$G2280,Tasks!$I:$I,"&lt;="&amp;INDEX(Weeks!$D:$D,MATCH($C2280,Weeks!$A:$A,0)),Tasks!$I:$I,"&lt;&gt;")/COUNTIFS(Tasks!$A:$A,$A2280,Tasks!$B:$B,$B2280,Tasks!$C:$C,$G2280)*100,0),"")</f>
        <v/>
      </c>
    </row>
    <row r="2281" spans="1:8" ht="15" hidden="1" customHeight="1">
      <c r="A2281" t="s">
        <v>102</v>
      </c>
      <c r="B2281" t="s">
        <v>106</v>
      </c>
      <c r="C2281">
        <v>44</v>
      </c>
      <c r="D2281">
        <v>10</v>
      </c>
      <c r="E2281">
        <v>5</v>
      </c>
      <c r="F2281">
        <v>2</v>
      </c>
      <c r="G2281" t="s">
        <v>121</v>
      </c>
      <c r="H2281" t="str">
        <f>IFERROR(ROUND(COUNTIFS(Tasks!$A:$A,$A2281,Tasks!$B:$B,$B2281,Tasks!$C:$C,$G2281,Tasks!$I:$I,"&lt;="&amp;INDEX(Weeks!$D:$D,MATCH($C2281,Weeks!$A:$A,0)),Tasks!$I:$I,"&lt;&gt;")/COUNTIFS(Tasks!$A:$A,$A2281,Tasks!$B:$B,$B2281,Tasks!$C:$C,$G2281)*100,0),"")</f>
        <v/>
      </c>
    </row>
    <row r="2282" spans="1:8" ht="15" hidden="1" customHeight="1">
      <c r="A2282" t="s">
        <v>102</v>
      </c>
      <c r="B2282" t="s">
        <v>106</v>
      </c>
      <c r="C2282">
        <v>45</v>
      </c>
      <c r="D2282">
        <v>11</v>
      </c>
      <c r="E2282">
        <v>1</v>
      </c>
      <c r="F2282">
        <v>2</v>
      </c>
      <c r="G2282" t="s">
        <v>121</v>
      </c>
      <c r="H2282" t="str">
        <f>IFERROR(ROUND(COUNTIFS(Tasks!$A:$A,$A2282,Tasks!$B:$B,$B2282,Tasks!$C:$C,$G2282,Tasks!$I:$I,"&lt;="&amp;INDEX(Weeks!$D:$D,MATCH($C2282,Weeks!$A:$A,0)),Tasks!$I:$I,"&lt;&gt;")/COUNTIFS(Tasks!$A:$A,$A2282,Tasks!$B:$B,$B2282,Tasks!$C:$C,$G2282)*100,0),"")</f>
        <v/>
      </c>
    </row>
    <row r="2283" spans="1:8" ht="15" hidden="1" customHeight="1">
      <c r="A2283" t="s">
        <v>102</v>
      </c>
      <c r="B2283" t="s">
        <v>106</v>
      </c>
      <c r="C2283">
        <v>46</v>
      </c>
      <c r="D2283">
        <v>11</v>
      </c>
      <c r="E2283">
        <v>2</v>
      </c>
      <c r="F2283">
        <v>2</v>
      </c>
      <c r="G2283" t="s">
        <v>121</v>
      </c>
      <c r="H2283" t="str">
        <f>IFERROR(ROUND(COUNTIFS(Tasks!$A:$A,$A2283,Tasks!$B:$B,$B2283,Tasks!$C:$C,$G2283,Tasks!$I:$I,"&lt;="&amp;INDEX(Weeks!$D:$D,MATCH($C2283,Weeks!$A:$A,0)),Tasks!$I:$I,"&lt;&gt;")/COUNTIFS(Tasks!$A:$A,$A2283,Tasks!$B:$B,$B2283,Tasks!$C:$C,$G2283)*100,0),"")</f>
        <v/>
      </c>
    </row>
    <row r="2284" spans="1:8" ht="15" hidden="1" customHeight="1">
      <c r="A2284" t="s">
        <v>102</v>
      </c>
      <c r="B2284" t="s">
        <v>106</v>
      </c>
      <c r="C2284">
        <v>47</v>
      </c>
      <c r="D2284">
        <v>11</v>
      </c>
      <c r="E2284">
        <v>3</v>
      </c>
      <c r="F2284">
        <v>2</v>
      </c>
      <c r="G2284" t="s">
        <v>121</v>
      </c>
      <c r="H2284" t="str">
        <f>IFERROR(ROUND(COUNTIFS(Tasks!$A:$A,$A2284,Tasks!$B:$B,$B2284,Tasks!$C:$C,$G2284,Tasks!$I:$I,"&lt;="&amp;INDEX(Weeks!$D:$D,MATCH($C2284,Weeks!$A:$A,0)),Tasks!$I:$I,"&lt;&gt;")/COUNTIFS(Tasks!$A:$A,$A2284,Tasks!$B:$B,$B2284,Tasks!$C:$C,$G2284)*100,0),"")</f>
        <v/>
      </c>
    </row>
    <row r="2285" spans="1:8" ht="15" hidden="1" customHeight="1">
      <c r="A2285" t="s">
        <v>102</v>
      </c>
      <c r="B2285" t="s">
        <v>106</v>
      </c>
      <c r="C2285">
        <v>48</v>
      </c>
      <c r="D2285">
        <v>11</v>
      </c>
      <c r="E2285">
        <v>4</v>
      </c>
      <c r="F2285">
        <v>2</v>
      </c>
      <c r="G2285" t="s">
        <v>121</v>
      </c>
      <c r="H2285" t="str">
        <f>IFERROR(ROUND(COUNTIFS(Tasks!$A:$A,$A2285,Tasks!$B:$B,$B2285,Tasks!$C:$C,$G2285,Tasks!$I:$I,"&lt;="&amp;INDEX(Weeks!$D:$D,MATCH($C2285,Weeks!$A:$A,0)),Tasks!$I:$I,"&lt;&gt;")/COUNTIFS(Tasks!$A:$A,$A2285,Tasks!$B:$B,$B2285,Tasks!$C:$C,$G2285)*100,0),"")</f>
        <v/>
      </c>
    </row>
    <row r="2286" spans="1:8" ht="15" hidden="1" customHeight="1">
      <c r="A2286" t="s">
        <v>102</v>
      </c>
      <c r="B2286" t="s">
        <v>106</v>
      </c>
      <c r="C2286">
        <v>49</v>
      </c>
      <c r="D2286">
        <v>12</v>
      </c>
      <c r="E2286">
        <v>1</v>
      </c>
      <c r="F2286">
        <v>2</v>
      </c>
      <c r="G2286" t="s">
        <v>121</v>
      </c>
      <c r="H2286" t="str">
        <f>IFERROR(ROUND(COUNTIFS(Tasks!$A:$A,$A2286,Tasks!$B:$B,$B2286,Tasks!$C:$C,$G2286,Tasks!$I:$I,"&lt;="&amp;INDEX(Weeks!$D:$D,MATCH($C2286,Weeks!$A:$A,0)),Tasks!$I:$I,"&lt;&gt;")/COUNTIFS(Tasks!$A:$A,$A2286,Tasks!$B:$B,$B2286,Tasks!$C:$C,$G2286)*100,0),"")</f>
        <v/>
      </c>
    </row>
    <row r="2287" spans="1:8" ht="15" hidden="1" customHeight="1">
      <c r="A2287" t="s">
        <v>102</v>
      </c>
      <c r="B2287" t="s">
        <v>106</v>
      </c>
      <c r="C2287">
        <v>50</v>
      </c>
      <c r="D2287">
        <v>12</v>
      </c>
      <c r="E2287">
        <v>2</v>
      </c>
      <c r="F2287">
        <v>2</v>
      </c>
      <c r="G2287" t="s">
        <v>121</v>
      </c>
      <c r="H2287" t="str">
        <f>IFERROR(ROUND(COUNTIFS(Tasks!$A:$A,$A2287,Tasks!$B:$B,$B2287,Tasks!$C:$C,$G2287,Tasks!$I:$I,"&lt;="&amp;INDEX(Weeks!$D:$D,MATCH($C2287,Weeks!$A:$A,0)),Tasks!$I:$I,"&lt;&gt;")/COUNTIFS(Tasks!$A:$A,$A2287,Tasks!$B:$B,$B2287,Tasks!$C:$C,$G2287)*100,0),"")</f>
        <v/>
      </c>
    </row>
    <row r="2288" spans="1:8" ht="15" hidden="1" customHeight="1">
      <c r="A2288" t="s">
        <v>102</v>
      </c>
      <c r="B2288" t="s">
        <v>106</v>
      </c>
      <c r="C2288">
        <v>51</v>
      </c>
      <c r="D2288">
        <v>12</v>
      </c>
      <c r="E2288">
        <v>3</v>
      </c>
      <c r="F2288">
        <v>2</v>
      </c>
      <c r="G2288" t="s">
        <v>121</v>
      </c>
      <c r="H2288" t="str">
        <f>IFERROR(ROUND(COUNTIFS(Tasks!$A:$A,$A2288,Tasks!$B:$B,$B2288,Tasks!$C:$C,$G2288,Tasks!$I:$I,"&lt;="&amp;INDEX(Weeks!$D:$D,MATCH($C2288,Weeks!$A:$A,0)),Tasks!$I:$I,"&lt;&gt;")/COUNTIFS(Tasks!$A:$A,$A2288,Tasks!$B:$B,$B2288,Tasks!$C:$C,$G2288)*100,0),"")</f>
        <v/>
      </c>
    </row>
    <row r="2289" spans="1:8" ht="15" hidden="1" customHeight="1">
      <c r="A2289" t="s">
        <v>102</v>
      </c>
      <c r="B2289" t="s">
        <v>106</v>
      </c>
      <c r="C2289">
        <v>52</v>
      </c>
      <c r="D2289">
        <v>12</v>
      </c>
      <c r="E2289">
        <v>4</v>
      </c>
      <c r="F2289">
        <v>2</v>
      </c>
      <c r="G2289" t="s">
        <v>121</v>
      </c>
      <c r="H2289" t="str">
        <f>IFERROR(ROUND(COUNTIFS(Tasks!$A:$A,$A2289,Tasks!$B:$B,$B2289,Tasks!$C:$C,$G2289,Tasks!$I:$I,"&lt;="&amp;INDEX(Weeks!$D:$D,MATCH($C2289,Weeks!$A:$A,0)),Tasks!$I:$I,"&lt;&gt;")/COUNTIFS(Tasks!$A:$A,$A2289,Tasks!$B:$B,$B2289,Tasks!$C:$C,$G2289)*100,0),"")</f>
        <v/>
      </c>
    </row>
    <row r="2290" spans="1:8" ht="15" hidden="1" customHeight="1">
      <c r="A2290" t="s">
        <v>102</v>
      </c>
      <c r="B2290" t="s">
        <v>106</v>
      </c>
      <c r="C2290">
        <v>1</v>
      </c>
      <c r="D2290">
        <v>1</v>
      </c>
      <c r="E2290">
        <v>1</v>
      </c>
      <c r="F2290">
        <v>3</v>
      </c>
      <c r="G2290" t="s">
        <v>122</v>
      </c>
      <c r="H2290" t="str">
        <f>IFERROR(ROUND(COUNTIFS(Tasks!$A:$A,$A2290,Tasks!$B:$B,$B2290,Tasks!$C:$C,$G2290,Tasks!$I:$I,"&lt;="&amp;INDEX(Weeks!$D:$D,MATCH($C2290,Weeks!$A:$A,0)),Tasks!$I:$I,"&lt;&gt;")/COUNTIFS(Tasks!$A:$A,$A2290,Tasks!$B:$B,$B2290,Tasks!$C:$C,$G2290)*100,0),"")</f>
        <v/>
      </c>
    </row>
    <row r="2291" spans="1:8" ht="15" hidden="1" customHeight="1">
      <c r="A2291" t="s">
        <v>102</v>
      </c>
      <c r="B2291" t="s">
        <v>106</v>
      </c>
      <c r="C2291">
        <v>2</v>
      </c>
      <c r="D2291">
        <v>1</v>
      </c>
      <c r="E2291">
        <v>2</v>
      </c>
      <c r="F2291">
        <v>3</v>
      </c>
      <c r="G2291" t="s">
        <v>122</v>
      </c>
      <c r="H2291" t="str">
        <f>IFERROR(ROUND(COUNTIFS(Tasks!$A:$A,$A2291,Tasks!$B:$B,$B2291,Tasks!$C:$C,$G2291,Tasks!$I:$I,"&lt;="&amp;INDEX(Weeks!$D:$D,MATCH($C2291,Weeks!$A:$A,0)),Tasks!$I:$I,"&lt;&gt;")/COUNTIFS(Tasks!$A:$A,$A2291,Tasks!$B:$B,$B2291,Tasks!$C:$C,$G2291)*100,0),"")</f>
        <v/>
      </c>
    </row>
    <row r="2292" spans="1:8" ht="15" hidden="1" customHeight="1">
      <c r="A2292" t="s">
        <v>102</v>
      </c>
      <c r="B2292" t="s">
        <v>106</v>
      </c>
      <c r="C2292">
        <v>3</v>
      </c>
      <c r="D2292">
        <v>1</v>
      </c>
      <c r="E2292">
        <v>3</v>
      </c>
      <c r="F2292">
        <v>3</v>
      </c>
      <c r="G2292" t="s">
        <v>122</v>
      </c>
      <c r="H2292" t="str">
        <f>IFERROR(ROUND(COUNTIFS(Tasks!$A:$A,$A2292,Tasks!$B:$B,$B2292,Tasks!$C:$C,$G2292,Tasks!$I:$I,"&lt;="&amp;INDEX(Weeks!$D:$D,MATCH($C2292,Weeks!$A:$A,0)),Tasks!$I:$I,"&lt;&gt;")/COUNTIFS(Tasks!$A:$A,$A2292,Tasks!$B:$B,$B2292,Tasks!$C:$C,$G2292)*100,0),"")</f>
        <v/>
      </c>
    </row>
    <row r="2293" spans="1:8" ht="15" hidden="1" customHeight="1">
      <c r="A2293" t="s">
        <v>102</v>
      </c>
      <c r="B2293" t="s">
        <v>106</v>
      </c>
      <c r="C2293">
        <v>4</v>
      </c>
      <c r="D2293">
        <v>1</v>
      </c>
      <c r="E2293">
        <v>4</v>
      </c>
      <c r="F2293">
        <v>3</v>
      </c>
      <c r="G2293" t="s">
        <v>122</v>
      </c>
      <c r="H2293" t="str">
        <f>IFERROR(ROUND(COUNTIFS(Tasks!$A:$A,$A2293,Tasks!$B:$B,$B2293,Tasks!$C:$C,$G2293,Tasks!$I:$I,"&lt;="&amp;INDEX(Weeks!$D:$D,MATCH($C2293,Weeks!$A:$A,0)),Tasks!$I:$I,"&lt;&gt;")/COUNTIFS(Tasks!$A:$A,$A2293,Tasks!$B:$B,$B2293,Tasks!$C:$C,$G2293)*100,0),"")</f>
        <v/>
      </c>
    </row>
    <row r="2294" spans="1:8" ht="15" hidden="1" customHeight="1">
      <c r="A2294" t="s">
        <v>102</v>
      </c>
      <c r="B2294" t="s">
        <v>106</v>
      </c>
      <c r="C2294">
        <v>5</v>
      </c>
      <c r="D2294">
        <v>1</v>
      </c>
      <c r="E2294">
        <v>5</v>
      </c>
      <c r="F2294">
        <v>3</v>
      </c>
      <c r="G2294" t="s">
        <v>122</v>
      </c>
      <c r="H2294" t="str">
        <f>IFERROR(ROUND(COUNTIFS(Tasks!$A:$A,$A2294,Tasks!$B:$B,$B2294,Tasks!$C:$C,$G2294,Tasks!$I:$I,"&lt;="&amp;INDEX(Weeks!$D:$D,MATCH($C2294,Weeks!$A:$A,0)),Tasks!$I:$I,"&lt;&gt;")/COUNTIFS(Tasks!$A:$A,$A2294,Tasks!$B:$B,$B2294,Tasks!$C:$C,$G2294)*100,0),"")</f>
        <v/>
      </c>
    </row>
    <row r="2295" spans="1:8" ht="15" hidden="1" customHeight="1">
      <c r="A2295" t="s">
        <v>102</v>
      </c>
      <c r="B2295" t="s">
        <v>106</v>
      </c>
      <c r="C2295">
        <v>6</v>
      </c>
      <c r="D2295">
        <v>2</v>
      </c>
      <c r="E2295">
        <v>1</v>
      </c>
      <c r="F2295">
        <v>3</v>
      </c>
      <c r="G2295" t="s">
        <v>122</v>
      </c>
      <c r="H2295" t="str">
        <f>IFERROR(ROUND(COUNTIFS(Tasks!$A:$A,$A2295,Tasks!$B:$B,$B2295,Tasks!$C:$C,$G2295,Tasks!$I:$I,"&lt;="&amp;INDEX(Weeks!$D:$D,MATCH($C2295,Weeks!$A:$A,0)),Tasks!$I:$I,"&lt;&gt;")/COUNTIFS(Tasks!$A:$A,$A2295,Tasks!$B:$B,$B2295,Tasks!$C:$C,$G2295)*100,0),"")</f>
        <v/>
      </c>
    </row>
    <row r="2296" spans="1:8" ht="15" hidden="1" customHeight="1">
      <c r="A2296" t="s">
        <v>102</v>
      </c>
      <c r="B2296" t="s">
        <v>106</v>
      </c>
      <c r="C2296">
        <v>7</v>
      </c>
      <c r="D2296">
        <v>2</v>
      </c>
      <c r="E2296">
        <v>2</v>
      </c>
      <c r="F2296">
        <v>3</v>
      </c>
      <c r="G2296" t="s">
        <v>122</v>
      </c>
      <c r="H2296" t="str">
        <f>IFERROR(ROUND(COUNTIFS(Tasks!$A:$A,$A2296,Tasks!$B:$B,$B2296,Tasks!$C:$C,$G2296,Tasks!$I:$I,"&lt;="&amp;INDEX(Weeks!$D:$D,MATCH($C2296,Weeks!$A:$A,0)),Tasks!$I:$I,"&lt;&gt;")/COUNTIFS(Tasks!$A:$A,$A2296,Tasks!$B:$B,$B2296,Tasks!$C:$C,$G2296)*100,0),"")</f>
        <v/>
      </c>
    </row>
    <row r="2297" spans="1:8" ht="15" hidden="1" customHeight="1">
      <c r="A2297" t="s">
        <v>102</v>
      </c>
      <c r="B2297" t="s">
        <v>106</v>
      </c>
      <c r="C2297">
        <v>8</v>
      </c>
      <c r="D2297">
        <v>2</v>
      </c>
      <c r="E2297">
        <v>3</v>
      </c>
      <c r="F2297">
        <v>3</v>
      </c>
      <c r="G2297" t="s">
        <v>122</v>
      </c>
      <c r="H2297" t="str">
        <f>IFERROR(ROUND(COUNTIFS(Tasks!$A:$A,$A2297,Tasks!$B:$B,$B2297,Tasks!$C:$C,$G2297,Tasks!$I:$I,"&lt;="&amp;INDEX(Weeks!$D:$D,MATCH($C2297,Weeks!$A:$A,0)),Tasks!$I:$I,"&lt;&gt;")/COUNTIFS(Tasks!$A:$A,$A2297,Tasks!$B:$B,$B2297,Tasks!$C:$C,$G2297)*100,0),"")</f>
        <v/>
      </c>
    </row>
    <row r="2298" spans="1:8" ht="15" hidden="1" customHeight="1">
      <c r="A2298" t="s">
        <v>102</v>
      </c>
      <c r="B2298" t="s">
        <v>106</v>
      </c>
      <c r="C2298">
        <v>9</v>
      </c>
      <c r="D2298">
        <v>2</v>
      </c>
      <c r="E2298">
        <v>4</v>
      </c>
      <c r="F2298">
        <v>3</v>
      </c>
      <c r="G2298" t="s">
        <v>122</v>
      </c>
      <c r="H2298" t="str">
        <f>IFERROR(ROUND(COUNTIFS(Tasks!$A:$A,$A2298,Tasks!$B:$B,$B2298,Tasks!$C:$C,$G2298,Tasks!$I:$I,"&lt;="&amp;INDEX(Weeks!$D:$D,MATCH($C2298,Weeks!$A:$A,0)),Tasks!$I:$I,"&lt;&gt;")/COUNTIFS(Tasks!$A:$A,$A2298,Tasks!$B:$B,$B2298,Tasks!$C:$C,$G2298)*100,0),"")</f>
        <v/>
      </c>
    </row>
    <row r="2299" spans="1:8" ht="15" hidden="1" customHeight="1">
      <c r="A2299" t="s">
        <v>102</v>
      </c>
      <c r="B2299" t="s">
        <v>106</v>
      </c>
      <c r="C2299">
        <v>10</v>
      </c>
      <c r="D2299">
        <v>3</v>
      </c>
      <c r="E2299">
        <v>1</v>
      </c>
      <c r="F2299">
        <v>3</v>
      </c>
      <c r="G2299" t="s">
        <v>122</v>
      </c>
      <c r="H2299" t="str">
        <f>IFERROR(ROUND(COUNTIFS(Tasks!$A:$A,$A2299,Tasks!$B:$B,$B2299,Tasks!$C:$C,$G2299,Tasks!$I:$I,"&lt;="&amp;INDEX(Weeks!$D:$D,MATCH($C2299,Weeks!$A:$A,0)),Tasks!$I:$I,"&lt;&gt;")/COUNTIFS(Tasks!$A:$A,$A2299,Tasks!$B:$B,$B2299,Tasks!$C:$C,$G2299)*100,0),"")</f>
        <v/>
      </c>
    </row>
    <row r="2300" spans="1:8" ht="15" hidden="1" customHeight="1">
      <c r="A2300" t="s">
        <v>102</v>
      </c>
      <c r="B2300" t="s">
        <v>106</v>
      </c>
      <c r="C2300">
        <v>11</v>
      </c>
      <c r="D2300">
        <v>3</v>
      </c>
      <c r="E2300">
        <v>2</v>
      </c>
      <c r="F2300">
        <v>3</v>
      </c>
      <c r="G2300" t="s">
        <v>122</v>
      </c>
      <c r="H2300" t="str">
        <f>IFERROR(ROUND(COUNTIFS(Tasks!$A:$A,$A2300,Tasks!$B:$B,$B2300,Tasks!$C:$C,$G2300,Tasks!$I:$I,"&lt;="&amp;INDEX(Weeks!$D:$D,MATCH($C2300,Weeks!$A:$A,0)),Tasks!$I:$I,"&lt;&gt;")/COUNTIFS(Tasks!$A:$A,$A2300,Tasks!$B:$B,$B2300,Tasks!$C:$C,$G2300)*100,0),"")</f>
        <v/>
      </c>
    </row>
    <row r="2301" spans="1:8" ht="15" hidden="1" customHeight="1">
      <c r="A2301" t="s">
        <v>102</v>
      </c>
      <c r="B2301" t="s">
        <v>106</v>
      </c>
      <c r="C2301">
        <v>12</v>
      </c>
      <c r="D2301">
        <v>3</v>
      </c>
      <c r="E2301">
        <v>3</v>
      </c>
      <c r="F2301">
        <v>3</v>
      </c>
      <c r="G2301" t="s">
        <v>122</v>
      </c>
      <c r="H2301" t="str">
        <f>IFERROR(ROUND(COUNTIFS(Tasks!$A:$A,$A2301,Tasks!$B:$B,$B2301,Tasks!$C:$C,$G2301,Tasks!$I:$I,"&lt;="&amp;INDEX(Weeks!$D:$D,MATCH($C2301,Weeks!$A:$A,0)),Tasks!$I:$I,"&lt;&gt;")/COUNTIFS(Tasks!$A:$A,$A2301,Tasks!$B:$B,$B2301,Tasks!$C:$C,$G2301)*100,0),"")</f>
        <v/>
      </c>
    </row>
    <row r="2302" spans="1:8" ht="15" hidden="1" customHeight="1">
      <c r="A2302" t="s">
        <v>102</v>
      </c>
      <c r="B2302" t="s">
        <v>106</v>
      </c>
      <c r="C2302">
        <v>13</v>
      </c>
      <c r="D2302">
        <v>3</v>
      </c>
      <c r="E2302">
        <v>4</v>
      </c>
      <c r="F2302">
        <v>3</v>
      </c>
      <c r="G2302" t="s">
        <v>122</v>
      </c>
      <c r="H2302" t="str">
        <f>IFERROR(ROUND(COUNTIFS(Tasks!$A:$A,$A2302,Tasks!$B:$B,$B2302,Tasks!$C:$C,$G2302,Tasks!$I:$I,"&lt;="&amp;INDEX(Weeks!$D:$D,MATCH($C2302,Weeks!$A:$A,0)),Tasks!$I:$I,"&lt;&gt;")/COUNTIFS(Tasks!$A:$A,$A2302,Tasks!$B:$B,$B2302,Tasks!$C:$C,$G2302)*100,0),"")</f>
        <v/>
      </c>
    </row>
    <row r="2303" spans="1:8" ht="15" hidden="1" customHeight="1">
      <c r="A2303" t="s">
        <v>102</v>
      </c>
      <c r="B2303" t="s">
        <v>106</v>
      </c>
      <c r="C2303">
        <v>14</v>
      </c>
      <c r="D2303">
        <v>4</v>
      </c>
      <c r="E2303">
        <v>1</v>
      </c>
      <c r="F2303">
        <v>3</v>
      </c>
      <c r="G2303" t="s">
        <v>122</v>
      </c>
      <c r="H2303" t="str">
        <f>IFERROR(ROUND(COUNTIFS(Tasks!$A:$A,$A2303,Tasks!$B:$B,$B2303,Tasks!$C:$C,$G2303,Tasks!$I:$I,"&lt;="&amp;INDEX(Weeks!$D:$D,MATCH($C2303,Weeks!$A:$A,0)),Tasks!$I:$I,"&lt;&gt;")/COUNTIFS(Tasks!$A:$A,$A2303,Tasks!$B:$B,$B2303,Tasks!$C:$C,$G2303)*100,0),"")</f>
        <v/>
      </c>
    </row>
    <row r="2304" spans="1:8" ht="15" hidden="1" customHeight="1">
      <c r="A2304" t="s">
        <v>102</v>
      </c>
      <c r="B2304" t="s">
        <v>106</v>
      </c>
      <c r="C2304">
        <v>15</v>
      </c>
      <c r="D2304">
        <v>4</v>
      </c>
      <c r="E2304">
        <v>2</v>
      </c>
      <c r="F2304">
        <v>3</v>
      </c>
      <c r="G2304" t="s">
        <v>122</v>
      </c>
      <c r="H2304" t="str">
        <f>IFERROR(ROUND(COUNTIFS(Tasks!$A:$A,$A2304,Tasks!$B:$B,$B2304,Tasks!$C:$C,$G2304,Tasks!$I:$I,"&lt;="&amp;INDEX(Weeks!$D:$D,MATCH($C2304,Weeks!$A:$A,0)),Tasks!$I:$I,"&lt;&gt;")/COUNTIFS(Tasks!$A:$A,$A2304,Tasks!$B:$B,$B2304,Tasks!$C:$C,$G2304)*100,0),"")</f>
        <v/>
      </c>
    </row>
    <row r="2305" spans="1:8" ht="15" hidden="1" customHeight="1">
      <c r="A2305" t="s">
        <v>102</v>
      </c>
      <c r="B2305" t="s">
        <v>106</v>
      </c>
      <c r="C2305">
        <v>16</v>
      </c>
      <c r="D2305">
        <v>4</v>
      </c>
      <c r="E2305">
        <v>3</v>
      </c>
      <c r="F2305">
        <v>3</v>
      </c>
      <c r="G2305" t="s">
        <v>122</v>
      </c>
      <c r="H2305" t="str">
        <f>IFERROR(ROUND(COUNTIFS(Tasks!$A:$A,$A2305,Tasks!$B:$B,$B2305,Tasks!$C:$C,$G2305,Tasks!$I:$I,"&lt;="&amp;INDEX(Weeks!$D:$D,MATCH($C2305,Weeks!$A:$A,0)),Tasks!$I:$I,"&lt;&gt;")/COUNTIFS(Tasks!$A:$A,$A2305,Tasks!$B:$B,$B2305,Tasks!$C:$C,$G2305)*100,0),"")</f>
        <v/>
      </c>
    </row>
    <row r="2306" spans="1:8" ht="15" hidden="1" customHeight="1">
      <c r="A2306" t="s">
        <v>102</v>
      </c>
      <c r="B2306" t="s">
        <v>106</v>
      </c>
      <c r="C2306">
        <v>17</v>
      </c>
      <c r="D2306">
        <v>4</v>
      </c>
      <c r="E2306">
        <v>4</v>
      </c>
      <c r="F2306">
        <v>3</v>
      </c>
      <c r="G2306" t="s">
        <v>122</v>
      </c>
      <c r="H2306" t="str">
        <f>IFERROR(ROUND(COUNTIFS(Tasks!$A:$A,$A2306,Tasks!$B:$B,$B2306,Tasks!$C:$C,$G2306,Tasks!$I:$I,"&lt;="&amp;INDEX(Weeks!$D:$D,MATCH($C2306,Weeks!$A:$A,0)),Tasks!$I:$I,"&lt;&gt;")/COUNTIFS(Tasks!$A:$A,$A2306,Tasks!$B:$B,$B2306,Tasks!$C:$C,$G2306)*100,0),"")</f>
        <v/>
      </c>
    </row>
    <row r="2307" spans="1:8" ht="15" hidden="1" customHeight="1">
      <c r="A2307" t="s">
        <v>102</v>
      </c>
      <c r="B2307" t="s">
        <v>106</v>
      </c>
      <c r="C2307">
        <v>18</v>
      </c>
      <c r="D2307">
        <v>5</v>
      </c>
      <c r="E2307">
        <v>1</v>
      </c>
      <c r="F2307">
        <v>3</v>
      </c>
      <c r="G2307" t="s">
        <v>122</v>
      </c>
      <c r="H2307" t="str">
        <f>IFERROR(ROUND(COUNTIFS(Tasks!$A:$A,$A2307,Tasks!$B:$B,$B2307,Tasks!$C:$C,$G2307,Tasks!$I:$I,"&lt;="&amp;INDEX(Weeks!$D:$D,MATCH($C2307,Weeks!$A:$A,0)),Tasks!$I:$I,"&lt;&gt;")/COUNTIFS(Tasks!$A:$A,$A2307,Tasks!$B:$B,$B2307,Tasks!$C:$C,$G2307)*100,0),"")</f>
        <v/>
      </c>
    </row>
    <row r="2308" spans="1:8" ht="15" hidden="1" customHeight="1">
      <c r="A2308" t="s">
        <v>102</v>
      </c>
      <c r="B2308" t="s">
        <v>106</v>
      </c>
      <c r="C2308">
        <v>19</v>
      </c>
      <c r="D2308">
        <v>5</v>
      </c>
      <c r="E2308">
        <v>2</v>
      </c>
      <c r="F2308">
        <v>3</v>
      </c>
      <c r="G2308" t="s">
        <v>122</v>
      </c>
      <c r="H2308" t="str">
        <f>IFERROR(ROUND(COUNTIFS(Tasks!$A:$A,$A2308,Tasks!$B:$B,$B2308,Tasks!$C:$C,$G2308,Tasks!$I:$I,"&lt;="&amp;INDEX(Weeks!$D:$D,MATCH($C2308,Weeks!$A:$A,0)),Tasks!$I:$I,"&lt;&gt;")/COUNTIFS(Tasks!$A:$A,$A2308,Tasks!$B:$B,$B2308,Tasks!$C:$C,$G2308)*100,0),"")</f>
        <v/>
      </c>
    </row>
    <row r="2309" spans="1:8" ht="15" hidden="1" customHeight="1">
      <c r="A2309" t="s">
        <v>102</v>
      </c>
      <c r="B2309" t="s">
        <v>106</v>
      </c>
      <c r="C2309">
        <v>20</v>
      </c>
      <c r="D2309">
        <v>5</v>
      </c>
      <c r="E2309">
        <v>3</v>
      </c>
      <c r="F2309">
        <v>3</v>
      </c>
      <c r="G2309" t="s">
        <v>122</v>
      </c>
      <c r="H2309" t="str">
        <f>IFERROR(ROUND(COUNTIFS(Tasks!$A:$A,$A2309,Tasks!$B:$B,$B2309,Tasks!$C:$C,$G2309,Tasks!$I:$I,"&lt;="&amp;INDEX(Weeks!$D:$D,MATCH($C2309,Weeks!$A:$A,0)),Tasks!$I:$I,"&lt;&gt;")/COUNTIFS(Tasks!$A:$A,$A2309,Tasks!$B:$B,$B2309,Tasks!$C:$C,$G2309)*100,0),"")</f>
        <v/>
      </c>
    </row>
    <row r="2310" spans="1:8" ht="15" hidden="1" customHeight="1">
      <c r="A2310" t="s">
        <v>102</v>
      </c>
      <c r="B2310" t="s">
        <v>106</v>
      </c>
      <c r="C2310">
        <v>21</v>
      </c>
      <c r="D2310">
        <v>5</v>
      </c>
      <c r="E2310">
        <v>4</v>
      </c>
      <c r="F2310">
        <v>3</v>
      </c>
      <c r="G2310" t="s">
        <v>122</v>
      </c>
      <c r="H2310" t="str">
        <f>IFERROR(ROUND(COUNTIFS(Tasks!$A:$A,$A2310,Tasks!$B:$B,$B2310,Tasks!$C:$C,$G2310,Tasks!$I:$I,"&lt;="&amp;INDEX(Weeks!$D:$D,MATCH($C2310,Weeks!$A:$A,0)),Tasks!$I:$I,"&lt;&gt;")/COUNTIFS(Tasks!$A:$A,$A2310,Tasks!$B:$B,$B2310,Tasks!$C:$C,$G2310)*100,0),"")</f>
        <v/>
      </c>
    </row>
    <row r="2311" spans="1:8" ht="15" hidden="1" customHeight="1">
      <c r="A2311" t="s">
        <v>102</v>
      </c>
      <c r="B2311" t="s">
        <v>106</v>
      </c>
      <c r="C2311">
        <v>22</v>
      </c>
      <c r="D2311">
        <v>5</v>
      </c>
      <c r="E2311">
        <v>5</v>
      </c>
      <c r="F2311">
        <v>3</v>
      </c>
      <c r="G2311" t="s">
        <v>122</v>
      </c>
      <c r="H2311" t="str">
        <f>IFERROR(ROUND(COUNTIFS(Tasks!$A:$A,$A2311,Tasks!$B:$B,$B2311,Tasks!$C:$C,$G2311,Tasks!$I:$I,"&lt;="&amp;INDEX(Weeks!$D:$D,MATCH($C2311,Weeks!$A:$A,0)),Tasks!$I:$I,"&lt;&gt;")/COUNTIFS(Tasks!$A:$A,$A2311,Tasks!$B:$B,$B2311,Tasks!$C:$C,$G2311)*100,0),"")</f>
        <v/>
      </c>
    </row>
    <row r="2312" spans="1:8" ht="15" hidden="1" customHeight="1">
      <c r="A2312" t="s">
        <v>102</v>
      </c>
      <c r="B2312" t="s">
        <v>106</v>
      </c>
      <c r="C2312">
        <v>23</v>
      </c>
      <c r="D2312">
        <v>6</v>
      </c>
      <c r="E2312">
        <v>1</v>
      </c>
      <c r="F2312">
        <v>3</v>
      </c>
      <c r="G2312" t="s">
        <v>122</v>
      </c>
      <c r="H2312" t="str">
        <f>IFERROR(ROUND(COUNTIFS(Tasks!$A:$A,$A2312,Tasks!$B:$B,$B2312,Tasks!$C:$C,$G2312,Tasks!$I:$I,"&lt;="&amp;INDEX(Weeks!$D:$D,MATCH($C2312,Weeks!$A:$A,0)),Tasks!$I:$I,"&lt;&gt;")/COUNTIFS(Tasks!$A:$A,$A2312,Tasks!$B:$B,$B2312,Tasks!$C:$C,$G2312)*100,0),"")</f>
        <v/>
      </c>
    </row>
    <row r="2313" spans="1:8" ht="15" hidden="1" customHeight="1">
      <c r="A2313" t="s">
        <v>102</v>
      </c>
      <c r="B2313" t="s">
        <v>106</v>
      </c>
      <c r="C2313">
        <v>24</v>
      </c>
      <c r="D2313">
        <v>6</v>
      </c>
      <c r="E2313">
        <v>2</v>
      </c>
      <c r="F2313">
        <v>3</v>
      </c>
      <c r="G2313" t="s">
        <v>122</v>
      </c>
      <c r="H2313" t="str">
        <f>IFERROR(ROUND(COUNTIFS(Tasks!$A:$A,$A2313,Tasks!$B:$B,$B2313,Tasks!$C:$C,$G2313,Tasks!$I:$I,"&lt;="&amp;INDEX(Weeks!$D:$D,MATCH($C2313,Weeks!$A:$A,0)),Tasks!$I:$I,"&lt;&gt;")/COUNTIFS(Tasks!$A:$A,$A2313,Tasks!$B:$B,$B2313,Tasks!$C:$C,$G2313)*100,0),"")</f>
        <v/>
      </c>
    </row>
    <row r="2314" spans="1:8" ht="15" hidden="1" customHeight="1">
      <c r="A2314" t="s">
        <v>102</v>
      </c>
      <c r="B2314" t="s">
        <v>106</v>
      </c>
      <c r="C2314">
        <v>25</v>
      </c>
      <c r="D2314">
        <v>6</v>
      </c>
      <c r="E2314">
        <v>3</v>
      </c>
      <c r="F2314">
        <v>3</v>
      </c>
      <c r="G2314" t="s">
        <v>122</v>
      </c>
      <c r="H2314" t="str">
        <f>IFERROR(ROUND(COUNTIFS(Tasks!$A:$A,$A2314,Tasks!$B:$B,$B2314,Tasks!$C:$C,$G2314,Tasks!$I:$I,"&lt;="&amp;INDEX(Weeks!$D:$D,MATCH($C2314,Weeks!$A:$A,0)),Tasks!$I:$I,"&lt;&gt;")/COUNTIFS(Tasks!$A:$A,$A2314,Tasks!$B:$B,$B2314,Tasks!$C:$C,$G2314)*100,0),"")</f>
        <v/>
      </c>
    </row>
    <row r="2315" spans="1:8" ht="15" hidden="1" customHeight="1">
      <c r="A2315" t="s">
        <v>102</v>
      </c>
      <c r="B2315" t="s">
        <v>106</v>
      </c>
      <c r="C2315">
        <v>26</v>
      </c>
      <c r="D2315">
        <v>6</v>
      </c>
      <c r="E2315">
        <v>4</v>
      </c>
      <c r="F2315">
        <v>3</v>
      </c>
      <c r="G2315" t="s">
        <v>122</v>
      </c>
      <c r="H2315" t="str">
        <f>IFERROR(ROUND(COUNTIFS(Tasks!$A:$A,$A2315,Tasks!$B:$B,$B2315,Tasks!$C:$C,$G2315,Tasks!$I:$I,"&lt;="&amp;INDEX(Weeks!$D:$D,MATCH($C2315,Weeks!$A:$A,0)),Tasks!$I:$I,"&lt;&gt;")/COUNTIFS(Tasks!$A:$A,$A2315,Tasks!$B:$B,$B2315,Tasks!$C:$C,$G2315)*100,0),"")</f>
        <v/>
      </c>
    </row>
    <row r="2316" spans="1:8" ht="15" hidden="1" customHeight="1">
      <c r="A2316" t="s">
        <v>102</v>
      </c>
      <c r="B2316" t="s">
        <v>106</v>
      </c>
      <c r="C2316">
        <v>27</v>
      </c>
      <c r="D2316">
        <v>7</v>
      </c>
      <c r="E2316">
        <v>1</v>
      </c>
      <c r="F2316">
        <v>3</v>
      </c>
      <c r="G2316" t="s">
        <v>122</v>
      </c>
      <c r="H2316" t="str">
        <f>IFERROR(ROUND(COUNTIFS(Tasks!$A:$A,$A2316,Tasks!$B:$B,$B2316,Tasks!$C:$C,$G2316,Tasks!$I:$I,"&lt;="&amp;INDEX(Weeks!$D:$D,MATCH($C2316,Weeks!$A:$A,0)),Tasks!$I:$I,"&lt;&gt;")/COUNTIFS(Tasks!$A:$A,$A2316,Tasks!$B:$B,$B2316,Tasks!$C:$C,$G2316)*100,0),"")</f>
        <v/>
      </c>
    </row>
    <row r="2317" spans="1:8" ht="15" hidden="1" customHeight="1">
      <c r="A2317" t="s">
        <v>102</v>
      </c>
      <c r="B2317" t="s">
        <v>106</v>
      </c>
      <c r="C2317">
        <v>28</v>
      </c>
      <c r="D2317">
        <v>7</v>
      </c>
      <c r="E2317">
        <v>2</v>
      </c>
      <c r="F2317">
        <v>3</v>
      </c>
      <c r="G2317" t="s">
        <v>122</v>
      </c>
      <c r="H2317" t="str">
        <f>IFERROR(ROUND(COUNTIFS(Tasks!$A:$A,$A2317,Tasks!$B:$B,$B2317,Tasks!$C:$C,$G2317,Tasks!$I:$I,"&lt;="&amp;INDEX(Weeks!$D:$D,MATCH($C2317,Weeks!$A:$A,0)),Tasks!$I:$I,"&lt;&gt;")/COUNTIFS(Tasks!$A:$A,$A2317,Tasks!$B:$B,$B2317,Tasks!$C:$C,$G2317)*100,0),"")</f>
        <v/>
      </c>
    </row>
    <row r="2318" spans="1:8" ht="15" hidden="1" customHeight="1">
      <c r="A2318" t="s">
        <v>102</v>
      </c>
      <c r="B2318" t="s">
        <v>106</v>
      </c>
      <c r="C2318">
        <v>29</v>
      </c>
      <c r="D2318">
        <v>7</v>
      </c>
      <c r="E2318">
        <v>3</v>
      </c>
      <c r="F2318">
        <v>3</v>
      </c>
      <c r="G2318" t="s">
        <v>122</v>
      </c>
      <c r="H2318" t="str">
        <f>IFERROR(ROUND(COUNTIFS(Tasks!$A:$A,$A2318,Tasks!$B:$B,$B2318,Tasks!$C:$C,$G2318,Tasks!$I:$I,"&lt;="&amp;INDEX(Weeks!$D:$D,MATCH($C2318,Weeks!$A:$A,0)),Tasks!$I:$I,"&lt;&gt;")/COUNTIFS(Tasks!$A:$A,$A2318,Tasks!$B:$B,$B2318,Tasks!$C:$C,$G2318)*100,0),"")</f>
        <v/>
      </c>
    </row>
    <row r="2319" spans="1:8" ht="15" hidden="1" customHeight="1">
      <c r="A2319" t="s">
        <v>102</v>
      </c>
      <c r="B2319" t="s">
        <v>106</v>
      </c>
      <c r="C2319">
        <v>30</v>
      </c>
      <c r="D2319">
        <v>7</v>
      </c>
      <c r="E2319">
        <v>4</v>
      </c>
      <c r="F2319">
        <v>3</v>
      </c>
      <c r="G2319" t="s">
        <v>122</v>
      </c>
      <c r="H2319" t="str">
        <f>IFERROR(ROUND(COUNTIFS(Tasks!$A:$A,$A2319,Tasks!$B:$B,$B2319,Tasks!$C:$C,$G2319,Tasks!$I:$I,"&lt;="&amp;INDEX(Weeks!$D:$D,MATCH($C2319,Weeks!$A:$A,0)),Tasks!$I:$I,"&lt;&gt;")/COUNTIFS(Tasks!$A:$A,$A2319,Tasks!$B:$B,$B2319,Tasks!$C:$C,$G2319)*100,0),"")</f>
        <v/>
      </c>
    </row>
    <row r="2320" spans="1:8" ht="15" hidden="1" customHeight="1">
      <c r="A2320" t="s">
        <v>102</v>
      </c>
      <c r="B2320" t="s">
        <v>106</v>
      </c>
      <c r="C2320">
        <v>31</v>
      </c>
      <c r="D2320">
        <v>8</v>
      </c>
      <c r="E2320">
        <v>1</v>
      </c>
      <c r="F2320">
        <v>3</v>
      </c>
      <c r="G2320" t="s">
        <v>122</v>
      </c>
      <c r="H2320" t="str">
        <f>IFERROR(ROUND(COUNTIFS(Tasks!$A:$A,$A2320,Tasks!$B:$B,$B2320,Tasks!$C:$C,$G2320,Tasks!$I:$I,"&lt;="&amp;INDEX(Weeks!$D:$D,MATCH($C2320,Weeks!$A:$A,0)),Tasks!$I:$I,"&lt;&gt;")/COUNTIFS(Tasks!$A:$A,$A2320,Tasks!$B:$B,$B2320,Tasks!$C:$C,$G2320)*100,0),"")</f>
        <v/>
      </c>
    </row>
    <row r="2321" spans="1:8" ht="15" hidden="1" customHeight="1">
      <c r="A2321" t="s">
        <v>102</v>
      </c>
      <c r="B2321" t="s">
        <v>106</v>
      </c>
      <c r="C2321">
        <v>32</v>
      </c>
      <c r="D2321">
        <v>8</v>
      </c>
      <c r="E2321">
        <v>2</v>
      </c>
      <c r="F2321">
        <v>3</v>
      </c>
      <c r="G2321" t="s">
        <v>122</v>
      </c>
      <c r="H2321" t="str">
        <f>IFERROR(ROUND(COUNTIFS(Tasks!$A:$A,$A2321,Tasks!$B:$B,$B2321,Tasks!$C:$C,$G2321,Tasks!$I:$I,"&lt;="&amp;INDEX(Weeks!$D:$D,MATCH($C2321,Weeks!$A:$A,0)),Tasks!$I:$I,"&lt;&gt;")/COUNTIFS(Tasks!$A:$A,$A2321,Tasks!$B:$B,$B2321,Tasks!$C:$C,$G2321)*100,0),"")</f>
        <v/>
      </c>
    </row>
    <row r="2322" spans="1:8" ht="15" hidden="1" customHeight="1">
      <c r="A2322" t="s">
        <v>102</v>
      </c>
      <c r="B2322" t="s">
        <v>106</v>
      </c>
      <c r="C2322">
        <v>33</v>
      </c>
      <c r="D2322">
        <v>8</v>
      </c>
      <c r="E2322">
        <v>3</v>
      </c>
      <c r="F2322">
        <v>3</v>
      </c>
      <c r="G2322" t="s">
        <v>122</v>
      </c>
      <c r="H2322" t="str">
        <f>IFERROR(ROUND(COUNTIFS(Tasks!$A:$A,$A2322,Tasks!$B:$B,$B2322,Tasks!$C:$C,$G2322,Tasks!$I:$I,"&lt;="&amp;INDEX(Weeks!$D:$D,MATCH($C2322,Weeks!$A:$A,0)),Tasks!$I:$I,"&lt;&gt;")/COUNTIFS(Tasks!$A:$A,$A2322,Tasks!$B:$B,$B2322,Tasks!$C:$C,$G2322)*100,0),"")</f>
        <v/>
      </c>
    </row>
    <row r="2323" spans="1:8" ht="15" hidden="1" customHeight="1">
      <c r="A2323" t="s">
        <v>102</v>
      </c>
      <c r="B2323" t="s">
        <v>106</v>
      </c>
      <c r="C2323">
        <v>34</v>
      </c>
      <c r="D2323">
        <v>8</v>
      </c>
      <c r="E2323">
        <v>4</v>
      </c>
      <c r="F2323">
        <v>3</v>
      </c>
      <c r="G2323" t="s">
        <v>122</v>
      </c>
      <c r="H2323" t="str">
        <f>IFERROR(ROUND(COUNTIFS(Tasks!$A:$A,$A2323,Tasks!$B:$B,$B2323,Tasks!$C:$C,$G2323,Tasks!$I:$I,"&lt;="&amp;INDEX(Weeks!$D:$D,MATCH($C2323,Weeks!$A:$A,0)),Tasks!$I:$I,"&lt;&gt;")/COUNTIFS(Tasks!$A:$A,$A2323,Tasks!$B:$B,$B2323,Tasks!$C:$C,$G2323)*100,0),"")</f>
        <v/>
      </c>
    </row>
    <row r="2324" spans="1:8" ht="15" hidden="1" customHeight="1">
      <c r="A2324" t="s">
        <v>102</v>
      </c>
      <c r="B2324" t="s">
        <v>106</v>
      </c>
      <c r="C2324">
        <v>35</v>
      </c>
      <c r="D2324">
        <v>8</v>
      </c>
      <c r="E2324">
        <v>5</v>
      </c>
      <c r="F2324">
        <v>3</v>
      </c>
      <c r="G2324" t="s">
        <v>122</v>
      </c>
      <c r="H2324" t="str">
        <f>IFERROR(ROUND(COUNTIFS(Tasks!$A:$A,$A2324,Tasks!$B:$B,$B2324,Tasks!$C:$C,$G2324,Tasks!$I:$I,"&lt;="&amp;INDEX(Weeks!$D:$D,MATCH($C2324,Weeks!$A:$A,0)),Tasks!$I:$I,"&lt;&gt;")/COUNTIFS(Tasks!$A:$A,$A2324,Tasks!$B:$B,$B2324,Tasks!$C:$C,$G2324)*100,0),"")</f>
        <v/>
      </c>
    </row>
    <row r="2325" spans="1:8" ht="15" hidden="1" customHeight="1">
      <c r="A2325" t="s">
        <v>102</v>
      </c>
      <c r="B2325" t="s">
        <v>106</v>
      </c>
      <c r="C2325">
        <v>36</v>
      </c>
      <c r="D2325">
        <v>9</v>
      </c>
      <c r="E2325">
        <v>1</v>
      </c>
      <c r="F2325">
        <v>3</v>
      </c>
      <c r="G2325" t="s">
        <v>122</v>
      </c>
      <c r="H2325" t="str">
        <f>IFERROR(ROUND(COUNTIFS(Tasks!$A:$A,$A2325,Tasks!$B:$B,$B2325,Tasks!$C:$C,$G2325,Tasks!$I:$I,"&lt;="&amp;INDEX(Weeks!$D:$D,MATCH($C2325,Weeks!$A:$A,0)),Tasks!$I:$I,"&lt;&gt;")/COUNTIFS(Tasks!$A:$A,$A2325,Tasks!$B:$B,$B2325,Tasks!$C:$C,$G2325)*100,0),"")</f>
        <v/>
      </c>
    </row>
    <row r="2326" spans="1:8" ht="15" hidden="1" customHeight="1">
      <c r="A2326" t="s">
        <v>102</v>
      </c>
      <c r="B2326" t="s">
        <v>106</v>
      </c>
      <c r="C2326">
        <v>37</v>
      </c>
      <c r="D2326">
        <v>9</v>
      </c>
      <c r="E2326">
        <v>2</v>
      </c>
      <c r="F2326">
        <v>3</v>
      </c>
      <c r="G2326" t="s">
        <v>122</v>
      </c>
      <c r="H2326" t="str">
        <f>IFERROR(ROUND(COUNTIFS(Tasks!$A:$A,$A2326,Tasks!$B:$B,$B2326,Tasks!$C:$C,$G2326,Tasks!$I:$I,"&lt;="&amp;INDEX(Weeks!$D:$D,MATCH($C2326,Weeks!$A:$A,0)),Tasks!$I:$I,"&lt;&gt;")/COUNTIFS(Tasks!$A:$A,$A2326,Tasks!$B:$B,$B2326,Tasks!$C:$C,$G2326)*100,0),"")</f>
        <v/>
      </c>
    </row>
    <row r="2327" spans="1:8" ht="15" hidden="1" customHeight="1">
      <c r="A2327" t="s">
        <v>102</v>
      </c>
      <c r="B2327" t="s">
        <v>106</v>
      </c>
      <c r="C2327">
        <v>38</v>
      </c>
      <c r="D2327">
        <v>9</v>
      </c>
      <c r="E2327">
        <v>3</v>
      </c>
      <c r="F2327">
        <v>3</v>
      </c>
      <c r="G2327" t="s">
        <v>122</v>
      </c>
      <c r="H2327" t="str">
        <f>IFERROR(ROUND(COUNTIFS(Tasks!$A:$A,$A2327,Tasks!$B:$B,$B2327,Tasks!$C:$C,$G2327,Tasks!$I:$I,"&lt;="&amp;INDEX(Weeks!$D:$D,MATCH($C2327,Weeks!$A:$A,0)),Tasks!$I:$I,"&lt;&gt;")/COUNTIFS(Tasks!$A:$A,$A2327,Tasks!$B:$B,$B2327,Tasks!$C:$C,$G2327)*100,0),"")</f>
        <v/>
      </c>
    </row>
    <row r="2328" spans="1:8" ht="15" hidden="1" customHeight="1">
      <c r="A2328" t="s">
        <v>102</v>
      </c>
      <c r="B2328" t="s">
        <v>106</v>
      </c>
      <c r="C2328">
        <v>39</v>
      </c>
      <c r="D2328">
        <v>9</v>
      </c>
      <c r="E2328">
        <v>4</v>
      </c>
      <c r="F2328">
        <v>3</v>
      </c>
      <c r="G2328" t="s">
        <v>122</v>
      </c>
      <c r="H2328" t="str">
        <f>IFERROR(ROUND(COUNTIFS(Tasks!$A:$A,$A2328,Tasks!$B:$B,$B2328,Tasks!$C:$C,$G2328,Tasks!$I:$I,"&lt;="&amp;INDEX(Weeks!$D:$D,MATCH($C2328,Weeks!$A:$A,0)),Tasks!$I:$I,"&lt;&gt;")/COUNTIFS(Tasks!$A:$A,$A2328,Tasks!$B:$B,$B2328,Tasks!$C:$C,$G2328)*100,0),"")</f>
        <v/>
      </c>
    </row>
    <row r="2329" spans="1:8" ht="15" hidden="1" customHeight="1">
      <c r="A2329" t="s">
        <v>102</v>
      </c>
      <c r="B2329" t="s">
        <v>106</v>
      </c>
      <c r="C2329">
        <v>40</v>
      </c>
      <c r="D2329">
        <v>10</v>
      </c>
      <c r="E2329">
        <v>1</v>
      </c>
      <c r="F2329">
        <v>3</v>
      </c>
      <c r="G2329" t="s">
        <v>122</v>
      </c>
      <c r="H2329" t="str">
        <f>IFERROR(ROUND(COUNTIFS(Tasks!$A:$A,$A2329,Tasks!$B:$B,$B2329,Tasks!$C:$C,$G2329,Tasks!$I:$I,"&lt;="&amp;INDEX(Weeks!$D:$D,MATCH($C2329,Weeks!$A:$A,0)),Tasks!$I:$I,"&lt;&gt;")/COUNTIFS(Tasks!$A:$A,$A2329,Tasks!$B:$B,$B2329,Tasks!$C:$C,$G2329)*100,0),"")</f>
        <v/>
      </c>
    </row>
    <row r="2330" spans="1:8" ht="15" hidden="1" customHeight="1">
      <c r="A2330" t="s">
        <v>102</v>
      </c>
      <c r="B2330" t="s">
        <v>106</v>
      </c>
      <c r="C2330">
        <v>41</v>
      </c>
      <c r="D2330">
        <v>10</v>
      </c>
      <c r="E2330">
        <v>2</v>
      </c>
      <c r="F2330">
        <v>3</v>
      </c>
      <c r="G2330" t="s">
        <v>122</v>
      </c>
      <c r="H2330" t="str">
        <f>IFERROR(ROUND(COUNTIFS(Tasks!$A:$A,$A2330,Tasks!$B:$B,$B2330,Tasks!$C:$C,$G2330,Tasks!$I:$I,"&lt;="&amp;INDEX(Weeks!$D:$D,MATCH($C2330,Weeks!$A:$A,0)),Tasks!$I:$I,"&lt;&gt;")/COUNTIFS(Tasks!$A:$A,$A2330,Tasks!$B:$B,$B2330,Tasks!$C:$C,$G2330)*100,0),"")</f>
        <v/>
      </c>
    </row>
    <row r="2331" spans="1:8" ht="15" hidden="1" customHeight="1">
      <c r="A2331" t="s">
        <v>102</v>
      </c>
      <c r="B2331" t="s">
        <v>106</v>
      </c>
      <c r="C2331">
        <v>42</v>
      </c>
      <c r="D2331">
        <v>10</v>
      </c>
      <c r="E2331">
        <v>3</v>
      </c>
      <c r="F2331">
        <v>3</v>
      </c>
      <c r="G2331" t="s">
        <v>122</v>
      </c>
      <c r="H2331" t="str">
        <f>IFERROR(ROUND(COUNTIFS(Tasks!$A:$A,$A2331,Tasks!$B:$B,$B2331,Tasks!$C:$C,$G2331,Tasks!$I:$I,"&lt;="&amp;INDEX(Weeks!$D:$D,MATCH($C2331,Weeks!$A:$A,0)),Tasks!$I:$I,"&lt;&gt;")/COUNTIFS(Tasks!$A:$A,$A2331,Tasks!$B:$B,$B2331,Tasks!$C:$C,$G2331)*100,0),"")</f>
        <v/>
      </c>
    </row>
    <row r="2332" spans="1:8" ht="15" hidden="1" customHeight="1">
      <c r="A2332" t="s">
        <v>102</v>
      </c>
      <c r="B2332" t="s">
        <v>106</v>
      </c>
      <c r="C2332">
        <v>43</v>
      </c>
      <c r="D2332">
        <v>10</v>
      </c>
      <c r="E2332">
        <v>4</v>
      </c>
      <c r="F2332">
        <v>3</v>
      </c>
      <c r="G2332" t="s">
        <v>122</v>
      </c>
      <c r="H2332" t="str">
        <f>IFERROR(ROUND(COUNTIFS(Tasks!$A:$A,$A2332,Tasks!$B:$B,$B2332,Tasks!$C:$C,$G2332,Tasks!$I:$I,"&lt;="&amp;INDEX(Weeks!$D:$D,MATCH($C2332,Weeks!$A:$A,0)),Tasks!$I:$I,"&lt;&gt;")/COUNTIFS(Tasks!$A:$A,$A2332,Tasks!$B:$B,$B2332,Tasks!$C:$C,$G2332)*100,0),"")</f>
        <v/>
      </c>
    </row>
    <row r="2333" spans="1:8" ht="15" hidden="1" customHeight="1">
      <c r="A2333" t="s">
        <v>102</v>
      </c>
      <c r="B2333" t="s">
        <v>106</v>
      </c>
      <c r="C2333">
        <v>44</v>
      </c>
      <c r="D2333">
        <v>10</v>
      </c>
      <c r="E2333">
        <v>5</v>
      </c>
      <c r="F2333">
        <v>3</v>
      </c>
      <c r="G2333" t="s">
        <v>122</v>
      </c>
      <c r="H2333" t="str">
        <f>IFERROR(ROUND(COUNTIFS(Tasks!$A:$A,$A2333,Tasks!$B:$B,$B2333,Tasks!$C:$C,$G2333,Tasks!$I:$I,"&lt;="&amp;INDEX(Weeks!$D:$D,MATCH($C2333,Weeks!$A:$A,0)),Tasks!$I:$I,"&lt;&gt;")/COUNTIFS(Tasks!$A:$A,$A2333,Tasks!$B:$B,$B2333,Tasks!$C:$C,$G2333)*100,0),"")</f>
        <v/>
      </c>
    </row>
    <row r="2334" spans="1:8" ht="15" hidden="1" customHeight="1">
      <c r="A2334" t="s">
        <v>102</v>
      </c>
      <c r="B2334" t="s">
        <v>106</v>
      </c>
      <c r="C2334">
        <v>45</v>
      </c>
      <c r="D2334">
        <v>11</v>
      </c>
      <c r="E2334">
        <v>1</v>
      </c>
      <c r="F2334">
        <v>3</v>
      </c>
      <c r="G2334" t="s">
        <v>122</v>
      </c>
      <c r="H2334" t="str">
        <f>IFERROR(ROUND(COUNTIFS(Tasks!$A:$A,$A2334,Tasks!$B:$B,$B2334,Tasks!$C:$C,$G2334,Tasks!$I:$I,"&lt;="&amp;INDEX(Weeks!$D:$D,MATCH($C2334,Weeks!$A:$A,0)),Tasks!$I:$I,"&lt;&gt;")/COUNTIFS(Tasks!$A:$A,$A2334,Tasks!$B:$B,$B2334,Tasks!$C:$C,$G2334)*100,0),"")</f>
        <v/>
      </c>
    </row>
    <row r="2335" spans="1:8" ht="15" hidden="1" customHeight="1">
      <c r="A2335" t="s">
        <v>102</v>
      </c>
      <c r="B2335" t="s">
        <v>106</v>
      </c>
      <c r="C2335">
        <v>46</v>
      </c>
      <c r="D2335">
        <v>11</v>
      </c>
      <c r="E2335">
        <v>2</v>
      </c>
      <c r="F2335">
        <v>3</v>
      </c>
      <c r="G2335" t="s">
        <v>122</v>
      </c>
      <c r="H2335" t="str">
        <f>IFERROR(ROUND(COUNTIFS(Tasks!$A:$A,$A2335,Tasks!$B:$B,$B2335,Tasks!$C:$C,$G2335,Tasks!$I:$I,"&lt;="&amp;INDEX(Weeks!$D:$D,MATCH($C2335,Weeks!$A:$A,0)),Tasks!$I:$I,"&lt;&gt;")/COUNTIFS(Tasks!$A:$A,$A2335,Tasks!$B:$B,$B2335,Tasks!$C:$C,$G2335)*100,0),"")</f>
        <v/>
      </c>
    </row>
    <row r="2336" spans="1:8" ht="15" hidden="1" customHeight="1">
      <c r="A2336" t="s">
        <v>102</v>
      </c>
      <c r="B2336" t="s">
        <v>106</v>
      </c>
      <c r="C2336">
        <v>47</v>
      </c>
      <c r="D2336">
        <v>11</v>
      </c>
      <c r="E2336">
        <v>3</v>
      </c>
      <c r="F2336">
        <v>3</v>
      </c>
      <c r="G2336" t="s">
        <v>122</v>
      </c>
      <c r="H2336" t="str">
        <f>IFERROR(ROUND(COUNTIFS(Tasks!$A:$A,$A2336,Tasks!$B:$B,$B2336,Tasks!$C:$C,$G2336,Tasks!$I:$I,"&lt;="&amp;INDEX(Weeks!$D:$D,MATCH($C2336,Weeks!$A:$A,0)),Tasks!$I:$I,"&lt;&gt;")/COUNTIFS(Tasks!$A:$A,$A2336,Tasks!$B:$B,$B2336,Tasks!$C:$C,$G2336)*100,0),"")</f>
        <v/>
      </c>
    </row>
    <row r="2337" spans="1:8" ht="15" hidden="1" customHeight="1">
      <c r="A2337" t="s">
        <v>102</v>
      </c>
      <c r="B2337" t="s">
        <v>106</v>
      </c>
      <c r="C2337">
        <v>48</v>
      </c>
      <c r="D2337">
        <v>11</v>
      </c>
      <c r="E2337">
        <v>4</v>
      </c>
      <c r="F2337">
        <v>3</v>
      </c>
      <c r="G2337" t="s">
        <v>122</v>
      </c>
      <c r="H2337" t="str">
        <f>IFERROR(ROUND(COUNTIFS(Tasks!$A:$A,$A2337,Tasks!$B:$B,$B2337,Tasks!$C:$C,$G2337,Tasks!$I:$I,"&lt;="&amp;INDEX(Weeks!$D:$D,MATCH($C2337,Weeks!$A:$A,0)),Tasks!$I:$I,"&lt;&gt;")/COUNTIFS(Tasks!$A:$A,$A2337,Tasks!$B:$B,$B2337,Tasks!$C:$C,$G2337)*100,0),"")</f>
        <v/>
      </c>
    </row>
    <row r="2338" spans="1:8" ht="15" hidden="1" customHeight="1">
      <c r="A2338" t="s">
        <v>102</v>
      </c>
      <c r="B2338" t="s">
        <v>106</v>
      </c>
      <c r="C2338">
        <v>49</v>
      </c>
      <c r="D2338">
        <v>12</v>
      </c>
      <c r="E2338">
        <v>1</v>
      </c>
      <c r="F2338">
        <v>3</v>
      </c>
      <c r="G2338" t="s">
        <v>122</v>
      </c>
      <c r="H2338" t="str">
        <f>IFERROR(ROUND(COUNTIFS(Tasks!$A:$A,$A2338,Tasks!$B:$B,$B2338,Tasks!$C:$C,$G2338,Tasks!$I:$I,"&lt;="&amp;INDEX(Weeks!$D:$D,MATCH($C2338,Weeks!$A:$A,0)),Tasks!$I:$I,"&lt;&gt;")/COUNTIFS(Tasks!$A:$A,$A2338,Tasks!$B:$B,$B2338,Tasks!$C:$C,$G2338)*100,0),"")</f>
        <v/>
      </c>
    </row>
    <row r="2339" spans="1:8" ht="15" hidden="1" customHeight="1">
      <c r="A2339" t="s">
        <v>102</v>
      </c>
      <c r="B2339" t="s">
        <v>106</v>
      </c>
      <c r="C2339">
        <v>50</v>
      </c>
      <c r="D2339">
        <v>12</v>
      </c>
      <c r="E2339">
        <v>2</v>
      </c>
      <c r="F2339">
        <v>3</v>
      </c>
      <c r="G2339" t="s">
        <v>122</v>
      </c>
      <c r="H2339" t="str">
        <f>IFERROR(ROUND(COUNTIFS(Tasks!$A:$A,$A2339,Tasks!$B:$B,$B2339,Tasks!$C:$C,$G2339,Tasks!$I:$I,"&lt;="&amp;INDEX(Weeks!$D:$D,MATCH($C2339,Weeks!$A:$A,0)),Tasks!$I:$I,"&lt;&gt;")/COUNTIFS(Tasks!$A:$A,$A2339,Tasks!$B:$B,$B2339,Tasks!$C:$C,$G2339)*100,0),"")</f>
        <v/>
      </c>
    </row>
    <row r="2340" spans="1:8" ht="15" hidden="1" customHeight="1">
      <c r="A2340" t="s">
        <v>102</v>
      </c>
      <c r="B2340" t="s">
        <v>106</v>
      </c>
      <c r="C2340">
        <v>51</v>
      </c>
      <c r="D2340">
        <v>12</v>
      </c>
      <c r="E2340">
        <v>3</v>
      </c>
      <c r="F2340">
        <v>3</v>
      </c>
      <c r="G2340" t="s">
        <v>122</v>
      </c>
      <c r="H2340" t="str">
        <f>IFERROR(ROUND(COUNTIFS(Tasks!$A:$A,$A2340,Tasks!$B:$B,$B2340,Tasks!$C:$C,$G2340,Tasks!$I:$I,"&lt;="&amp;INDEX(Weeks!$D:$D,MATCH($C2340,Weeks!$A:$A,0)),Tasks!$I:$I,"&lt;&gt;")/COUNTIFS(Tasks!$A:$A,$A2340,Tasks!$B:$B,$B2340,Tasks!$C:$C,$G2340)*100,0),"")</f>
        <v/>
      </c>
    </row>
    <row r="2341" spans="1:8" ht="15" hidden="1" customHeight="1">
      <c r="A2341" t="s">
        <v>102</v>
      </c>
      <c r="B2341" t="s">
        <v>106</v>
      </c>
      <c r="C2341">
        <v>52</v>
      </c>
      <c r="D2341">
        <v>12</v>
      </c>
      <c r="E2341">
        <v>4</v>
      </c>
      <c r="F2341">
        <v>3</v>
      </c>
      <c r="G2341" t="s">
        <v>122</v>
      </c>
      <c r="H2341" t="str">
        <f>IFERROR(ROUND(COUNTIFS(Tasks!$A:$A,$A2341,Tasks!$B:$B,$B2341,Tasks!$C:$C,$G2341,Tasks!$I:$I,"&lt;="&amp;INDEX(Weeks!$D:$D,MATCH($C2341,Weeks!$A:$A,0)),Tasks!$I:$I,"&lt;&gt;")/COUNTIFS(Tasks!$A:$A,$A2341,Tasks!$B:$B,$B2341,Tasks!$C:$C,$G2341)*100,0),"")</f>
        <v/>
      </c>
    </row>
    <row r="2342" spans="1:8" ht="15" hidden="1" customHeight="1">
      <c r="A2342" t="s">
        <v>102</v>
      </c>
      <c r="B2342" t="s">
        <v>106</v>
      </c>
      <c r="C2342">
        <v>1</v>
      </c>
      <c r="D2342">
        <v>1</v>
      </c>
      <c r="E2342">
        <v>1</v>
      </c>
      <c r="F2342">
        <v>4</v>
      </c>
      <c r="G2342" t="s">
        <v>123</v>
      </c>
      <c r="H2342" t="str">
        <f>IFERROR(ROUND(COUNTIFS(Tasks!$A:$A,$A2342,Tasks!$B:$B,$B2342,Tasks!$C:$C,$G2342,Tasks!$I:$I,"&lt;="&amp;INDEX(Weeks!$D:$D,MATCH($C2342,Weeks!$A:$A,0)),Tasks!$I:$I,"&lt;&gt;")/COUNTIFS(Tasks!$A:$A,$A2342,Tasks!$B:$B,$B2342,Tasks!$C:$C,$G2342)*100,0),"")</f>
        <v/>
      </c>
    </row>
    <row r="2343" spans="1:8" ht="15" hidden="1" customHeight="1">
      <c r="A2343" t="s">
        <v>102</v>
      </c>
      <c r="B2343" t="s">
        <v>106</v>
      </c>
      <c r="C2343">
        <v>2</v>
      </c>
      <c r="D2343">
        <v>1</v>
      </c>
      <c r="E2343">
        <v>2</v>
      </c>
      <c r="F2343">
        <v>4</v>
      </c>
      <c r="G2343" t="s">
        <v>123</v>
      </c>
      <c r="H2343" t="str">
        <f>IFERROR(ROUND(COUNTIFS(Tasks!$A:$A,$A2343,Tasks!$B:$B,$B2343,Tasks!$C:$C,$G2343,Tasks!$I:$I,"&lt;="&amp;INDEX(Weeks!$D:$D,MATCH($C2343,Weeks!$A:$A,0)),Tasks!$I:$I,"&lt;&gt;")/COUNTIFS(Tasks!$A:$A,$A2343,Tasks!$B:$B,$B2343,Tasks!$C:$C,$G2343)*100,0),"")</f>
        <v/>
      </c>
    </row>
    <row r="2344" spans="1:8" ht="15" hidden="1" customHeight="1">
      <c r="A2344" t="s">
        <v>102</v>
      </c>
      <c r="B2344" t="s">
        <v>106</v>
      </c>
      <c r="C2344">
        <v>3</v>
      </c>
      <c r="D2344">
        <v>1</v>
      </c>
      <c r="E2344">
        <v>3</v>
      </c>
      <c r="F2344">
        <v>4</v>
      </c>
      <c r="G2344" t="s">
        <v>123</v>
      </c>
      <c r="H2344" t="str">
        <f>IFERROR(ROUND(COUNTIFS(Tasks!$A:$A,$A2344,Tasks!$B:$B,$B2344,Tasks!$C:$C,$G2344,Tasks!$I:$I,"&lt;="&amp;INDEX(Weeks!$D:$D,MATCH($C2344,Weeks!$A:$A,0)),Tasks!$I:$I,"&lt;&gt;")/COUNTIFS(Tasks!$A:$A,$A2344,Tasks!$B:$B,$B2344,Tasks!$C:$C,$G2344)*100,0),"")</f>
        <v/>
      </c>
    </row>
    <row r="2345" spans="1:8" ht="15" hidden="1" customHeight="1">
      <c r="A2345" t="s">
        <v>102</v>
      </c>
      <c r="B2345" t="s">
        <v>106</v>
      </c>
      <c r="C2345">
        <v>4</v>
      </c>
      <c r="D2345">
        <v>1</v>
      </c>
      <c r="E2345">
        <v>4</v>
      </c>
      <c r="F2345">
        <v>4</v>
      </c>
      <c r="G2345" t="s">
        <v>123</v>
      </c>
      <c r="H2345" t="str">
        <f>IFERROR(ROUND(COUNTIFS(Tasks!$A:$A,$A2345,Tasks!$B:$B,$B2345,Tasks!$C:$C,$G2345,Tasks!$I:$I,"&lt;="&amp;INDEX(Weeks!$D:$D,MATCH($C2345,Weeks!$A:$A,0)),Tasks!$I:$I,"&lt;&gt;")/COUNTIFS(Tasks!$A:$A,$A2345,Tasks!$B:$B,$B2345,Tasks!$C:$C,$G2345)*100,0),"")</f>
        <v/>
      </c>
    </row>
    <row r="2346" spans="1:8" ht="15" hidden="1" customHeight="1">
      <c r="A2346" t="s">
        <v>102</v>
      </c>
      <c r="B2346" t="s">
        <v>106</v>
      </c>
      <c r="C2346">
        <v>5</v>
      </c>
      <c r="D2346">
        <v>1</v>
      </c>
      <c r="E2346">
        <v>5</v>
      </c>
      <c r="F2346">
        <v>4</v>
      </c>
      <c r="G2346" t="s">
        <v>123</v>
      </c>
      <c r="H2346" t="str">
        <f>IFERROR(ROUND(COUNTIFS(Tasks!$A:$A,$A2346,Tasks!$B:$B,$B2346,Tasks!$C:$C,$G2346,Tasks!$I:$I,"&lt;="&amp;INDEX(Weeks!$D:$D,MATCH($C2346,Weeks!$A:$A,0)),Tasks!$I:$I,"&lt;&gt;")/COUNTIFS(Tasks!$A:$A,$A2346,Tasks!$B:$B,$B2346,Tasks!$C:$C,$G2346)*100,0),"")</f>
        <v/>
      </c>
    </row>
    <row r="2347" spans="1:8" ht="15" hidden="1" customHeight="1">
      <c r="A2347" t="s">
        <v>102</v>
      </c>
      <c r="B2347" t="s">
        <v>106</v>
      </c>
      <c r="C2347">
        <v>6</v>
      </c>
      <c r="D2347">
        <v>2</v>
      </c>
      <c r="E2347">
        <v>1</v>
      </c>
      <c r="F2347">
        <v>4</v>
      </c>
      <c r="G2347" t="s">
        <v>123</v>
      </c>
      <c r="H2347" t="str">
        <f>IFERROR(ROUND(COUNTIFS(Tasks!$A:$A,$A2347,Tasks!$B:$B,$B2347,Tasks!$C:$C,$G2347,Tasks!$I:$I,"&lt;="&amp;INDEX(Weeks!$D:$D,MATCH($C2347,Weeks!$A:$A,0)),Tasks!$I:$I,"&lt;&gt;")/COUNTIFS(Tasks!$A:$A,$A2347,Tasks!$B:$B,$B2347,Tasks!$C:$C,$G2347)*100,0),"")</f>
        <v/>
      </c>
    </row>
    <row r="2348" spans="1:8" ht="15" hidden="1" customHeight="1">
      <c r="A2348" t="s">
        <v>102</v>
      </c>
      <c r="B2348" t="s">
        <v>106</v>
      </c>
      <c r="C2348">
        <v>7</v>
      </c>
      <c r="D2348">
        <v>2</v>
      </c>
      <c r="E2348">
        <v>2</v>
      </c>
      <c r="F2348">
        <v>4</v>
      </c>
      <c r="G2348" t="s">
        <v>123</v>
      </c>
      <c r="H2348" t="str">
        <f>IFERROR(ROUND(COUNTIFS(Tasks!$A:$A,$A2348,Tasks!$B:$B,$B2348,Tasks!$C:$C,$G2348,Tasks!$I:$I,"&lt;="&amp;INDEX(Weeks!$D:$D,MATCH($C2348,Weeks!$A:$A,0)),Tasks!$I:$I,"&lt;&gt;")/COUNTIFS(Tasks!$A:$A,$A2348,Tasks!$B:$B,$B2348,Tasks!$C:$C,$G2348)*100,0),"")</f>
        <v/>
      </c>
    </row>
    <row r="2349" spans="1:8" ht="15" hidden="1" customHeight="1">
      <c r="A2349" t="s">
        <v>102</v>
      </c>
      <c r="B2349" t="s">
        <v>106</v>
      </c>
      <c r="C2349">
        <v>8</v>
      </c>
      <c r="D2349">
        <v>2</v>
      </c>
      <c r="E2349">
        <v>3</v>
      </c>
      <c r="F2349">
        <v>4</v>
      </c>
      <c r="G2349" t="s">
        <v>123</v>
      </c>
      <c r="H2349" t="str">
        <f>IFERROR(ROUND(COUNTIFS(Tasks!$A:$A,$A2349,Tasks!$B:$B,$B2349,Tasks!$C:$C,$G2349,Tasks!$I:$I,"&lt;="&amp;INDEX(Weeks!$D:$D,MATCH($C2349,Weeks!$A:$A,0)),Tasks!$I:$I,"&lt;&gt;")/COUNTIFS(Tasks!$A:$A,$A2349,Tasks!$B:$B,$B2349,Tasks!$C:$C,$G2349)*100,0),"")</f>
        <v/>
      </c>
    </row>
    <row r="2350" spans="1:8" ht="15" hidden="1" customHeight="1">
      <c r="A2350" t="s">
        <v>102</v>
      </c>
      <c r="B2350" t="s">
        <v>106</v>
      </c>
      <c r="C2350">
        <v>9</v>
      </c>
      <c r="D2350">
        <v>2</v>
      </c>
      <c r="E2350">
        <v>4</v>
      </c>
      <c r="F2350">
        <v>4</v>
      </c>
      <c r="G2350" t="s">
        <v>123</v>
      </c>
      <c r="H2350" t="str">
        <f>IFERROR(ROUND(COUNTIFS(Tasks!$A:$A,$A2350,Tasks!$B:$B,$B2350,Tasks!$C:$C,$G2350,Tasks!$I:$I,"&lt;="&amp;INDEX(Weeks!$D:$D,MATCH($C2350,Weeks!$A:$A,0)),Tasks!$I:$I,"&lt;&gt;")/COUNTIFS(Tasks!$A:$A,$A2350,Tasks!$B:$B,$B2350,Tasks!$C:$C,$G2350)*100,0),"")</f>
        <v/>
      </c>
    </row>
    <row r="2351" spans="1:8" ht="15" hidden="1" customHeight="1">
      <c r="A2351" t="s">
        <v>102</v>
      </c>
      <c r="B2351" t="s">
        <v>106</v>
      </c>
      <c r="C2351">
        <v>10</v>
      </c>
      <c r="D2351">
        <v>3</v>
      </c>
      <c r="E2351">
        <v>1</v>
      </c>
      <c r="F2351">
        <v>4</v>
      </c>
      <c r="G2351" t="s">
        <v>123</v>
      </c>
      <c r="H2351" t="str">
        <f>IFERROR(ROUND(COUNTIFS(Tasks!$A:$A,$A2351,Tasks!$B:$B,$B2351,Tasks!$C:$C,$G2351,Tasks!$I:$I,"&lt;="&amp;INDEX(Weeks!$D:$D,MATCH($C2351,Weeks!$A:$A,0)),Tasks!$I:$I,"&lt;&gt;")/COUNTIFS(Tasks!$A:$A,$A2351,Tasks!$B:$B,$B2351,Tasks!$C:$C,$G2351)*100,0),"")</f>
        <v/>
      </c>
    </row>
    <row r="2352" spans="1:8" ht="15" hidden="1" customHeight="1">
      <c r="A2352" t="s">
        <v>102</v>
      </c>
      <c r="B2352" t="s">
        <v>106</v>
      </c>
      <c r="C2352">
        <v>11</v>
      </c>
      <c r="D2352">
        <v>3</v>
      </c>
      <c r="E2352">
        <v>2</v>
      </c>
      <c r="F2352">
        <v>4</v>
      </c>
      <c r="G2352" t="s">
        <v>123</v>
      </c>
      <c r="H2352" t="str">
        <f>IFERROR(ROUND(COUNTIFS(Tasks!$A:$A,$A2352,Tasks!$B:$B,$B2352,Tasks!$C:$C,$G2352,Tasks!$I:$I,"&lt;="&amp;INDEX(Weeks!$D:$D,MATCH($C2352,Weeks!$A:$A,0)),Tasks!$I:$I,"&lt;&gt;")/COUNTIFS(Tasks!$A:$A,$A2352,Tasks!$B:$B,$B2352,Tasks!$C:$C,$G2352)*100,0),"")</f>
        <v/>
      </c>
    </row>
    <row r="2353" spans="1:8" ht="15" hidden="1" customHeight="1">
      <c r="A2353" t="s">
        <v>102</v>
      </c>
      <c r="B2353" t="s">
        <v>106</v>
      </c>
      <c r="C2353">
        <v>12</v>
      </c>
      <c r="D2353">
        <v>3</v>
      </c>
      <c r="E2353">
        <v>3</v>
      </c>
      <c r="F2353">
        <v>4</v>
      </c>
      <c r="G2353" t="s">
        <v>123</v>
      </c>
      <c r="H2353" t="str">
        <f>IFERROR(ROUND(COUNTIFS(Tasks!$A:$A,$A2353,Tasks!$B:$B,$B2353,Tasks!$C:$C,$G2353,Tasks!$I:$I,"&lt;="&amp;INDEX(Weeks!$D:$D,MATCH($C2353,Weeks!$A:$A,0)),Tasks!$I:$I,"&lt;&gt;")/COUNTIFS(Tasks!$A:$A,$A2353,Tasks!$B:$B,$B2353,Tasks!$C:$C,$G2353)*100,0),"")</f>
        <v/>
      </c>
    </row>
    <row r="2354" spans="1:8" ht="15" hidden="1" customHeight="1">
      <c r="A2354" t="s">
        <v>102</v>
      </c>
      <c r="B2354" t="s">
        <v>106</v>
      </c>
      <c r="C2354">
        <v>13</v>
      </c>
      <c r="D2354">
        <v>3</v>
      </c>
      <c r="E2354">
        <v>4</v>
      </c>
      <c r="F2354">
        <v>4</v>
      </c>
      <c r="G2354" t="s">
        <v>123</v>
      </c>
      <c r="H2354" t="str">
        <f>IFERROR(ROUND(COUNTIFS(Tasks!$A:$A,$A2354,Tasks!$B:$B,$B2354,Tasks!$C:$C,$G2354,Tasks!$I:$I,"&lt;="&amp;INDEX(Weeks!$D:$D,MATCH($C2354,Weeks!$A:$A,0)),Tasks!$I:$I,"&lt;&gt;")/COUNTIFS(Tasks!$A:$A,$A2354,Tasks!$B:$B,$B2354,Tasks!$C:$C,$G2354)*100,0),"")</f>
        <v/>
      </c>
    </row>
    <row r="2355" spans="1:8" ht="15" hidden="1" customHeight="1">
      <c r="A2355" t="s">
        <v>102</v>
      </c>
      <c r="B2355" t="s">
        <v>106</v>
      </c>
      <c r="C2355">
        <v>14</v>
      </c>
      <c r="D2355">
        <v>4</v>
      </c>
      <c r="E2355">
        <v>1</v>
      </c>
      <c r="F2355">
        <v>4</v>
      </c>
      <c r="G2355" t="s">
        <v>123</v>
      </c>
      <c r="H2355" t="str">
        <f>IFERROR(ROUND(COUNTIFS(Tasks!$A:$A,$A2355,Tasks!$B:$B,$B2355,Tasks!$C:$C,$G2355,Tasks!$I:$I,"&lt;="&amp;INDEX(Weeks!$D:$D,MATCH($C2355,Weeks!$A:$A,0)),Tasks!$I:$I,"&lt;&gt;")/COUNTIFS(Tasks!$A:$A,$A2355,Tasks!$B:$B,$B2355,Tasks!$C:$C,$G2355)*100,0),"")</f>
        <v/>
      </c>
    </row>
    <row r="2356" spans="1:8" ht="15" hidden="1" customHeight="1">
      <c r="A2356" t="s">
        <v>102</v>
      </c>
      <c r="B2356" t="s">
        <v>106</v>
      </c>
      <c r="C2356">
        <v>15</v>
      </c>
      <c r="D2356">
        <v>4</v>
      </c>
      <c r="E2356">
        <v>2</v>
      </c>
      <c r="F2356">
        <v>4</v>
      </c>
      <c r="G2356" t="s">
        <v>123</v>
      </c>
      <c r="H2356" t="str">
        <f>IFERROR(ROUND(COUNTIFS(Tasks!$A:$A,$A2356,Tasks!$B:$B,$B2356,Tasks!$C:$C,$G2356,Tasks!$I:$I,"&lt;="&amp;INDEX(Weeks!$D:$D,MATCH($C2356,Weeks!$A:$A,0)),Tasks!$I:$I,"&lt;&gt;")/COUNTIFS(Tasks!$A:$A,$A2356,Tasks!$B:$B,$B2356,Tasks!$C:$C,$G2356)*100,0),"")</f>
        <v/>
      </c>
    </row>
    <row r="2357" spans="1:8" ht="15" hidden="1" customHeight="1">
      <c r="A2357" t="s">
        <v>102</v>
      </c>
      <c r="B2357" t="s">
        <v>106</v>
      </c>
      <c r="C2357">
        <v>16</v>
      </c>
      <c r="D2357">
        <v>4</v>
      </c>
      <c r="E2357">
        <v>3</v>
      </c>
      <c r="F2357">
        <v>4</v>
      </c>
      <c r="G2357" t="s">
        <v>123</v>
      </c>
      <c r="H2357" t="str">
        <f>IFERROR(ROUND(COUNTIFS(Tasks!$A:$A,$A2357,Tasks!$B:$B,$B2357,Tasks!$C:$C,$G2357,Tasks!$I:$I,"&lt;="&amp;INDEX(Weeks!$D:$D,MATCH($C2357,Weeks!$A:$A,0)),Tasks!$I:$I,"&lt;&gt;")/COUNTIFS(Tasks!$A:$A,$A2357,Tasks!$B:$B,$B2357,Tasks!$C:$C,$G2357)*100,0),"")</f>
        <v/>
      </c>
    </row>
    <row r="2358" spans="1:8" ht="15" hidden="1" customHeight="1">
      <c r="A2358" t="s">
        <v>102</v>
      </c>
      <c r="B2358" t="s">
        <v>106</v>
      </c>
      <c r="C2358">
        <v>17</v>
      </c>
      <c r="D2358">
        <v>4</v>
      </c>
      <c r="E2358">
        <v>4</v>
      </c>
      <c r="F2358">
        <v>4</v>
      </c>
      <c r="G2358" t="s">
        <v>123</v>
      </c>
      <c r="H2358" t="str">
        <f>IFERROR(ROUND(COUNTIFS(Tasks!$A:$A,$A2358,Tasks!$B:$B,$B2358,Tasks!$C:$C,$G2358,Tasks!$I:$I,"&lt;="&amp;INDEX(Weeks!$D:$D,MATCH($C2358,Weeks!$A:$A,0)),Tasks!$I:$I,"&lt;&gt;")/COUNTIFS(Tasks!$A:$A,$A2358,Tasks!$B:$B,$B2358,Tasks!$C:$C,$G2358)*100,0),"")</f>
        <v/>
      </c>
    </row>
    <row r="2359" spans="1:8" ht="15" hidden="1" customHeight="1">
      <c r="A2359" t="s">
        <v>102</v>
      </c>
      <c r="B2359" t="s">
        <v>106</v>
      </c>
      <c r="C2359">
        <v>18</v>
      </c>
      <c r="D2359">
        <v>5</v>
      </c>
      <c r="E2359">
        <v>1</v>
      </c>
      <c r="F2359">
        <v>4</v>
      </c>
      <c r="G2359" t="s">
        <v>123</v>
      </c>
      <c r="H2359" t="str">
        <f>IFERROR(ROUND(COUNTIFS(Tasks!$A:$A,$A2359,Tasks!$B:$B,$B2359,Tasks!$C:$C,$G2359,Tasks!$I:$I,"&lt;="&amp;INDEX(Weeks!$D:$D,MATCH($C2359,Weeks!$A:$A,0)),Tasks!$I:$I,"&lt;&gt;")/COUNTIFS(Tasks!$A:$A,$A2359,Tasks!$B:$B,$B2359,Tasks!$C:$C,$G2359)*100,0),"")</f>
        <v/>
      </c>
    </row>
    <row r="2360" spans="1:8" ht="15" hidden="1" customHeight="1">
      <c r="A2360" t="s">
        <v>102</v>
      </c>
      <c r="B2360" t="s">
        <v>106</v>
      </c>
      <c r="C2360">
        <v>19</v>
      </c>
      <c r="D2360">
        <v>5</v>
      </c>
      <c r="E2360">
        <v>2</v>
      </c>
      <c r="F2360">
        <v>4</v>
      </c>
      <c r="G2360" t="s">
        <v>123</v>
      </c>
      <c r="H2360" t="str">
        <f>IFERROR(ROUND(COUNTIFS(Tasks!$A:$A,$A2360,Tasks!$B:$B,$B2360,Tasks!$C:$C,$G2360,Tasks!$I:$I,"&lt;="&amp;INDEX(Weeks!$D:$D,MATCH($C2360,Weeks!$A:$A,0)),Tasks!$I:$I,"&lt;&gt;")/COUNTIFS(Tasks!$A:$A,$A2360,Tasks!$B:$B,$B2360,Tasks!$C:$C,$G2360)*100,0),"")</f>
        <v/>
      </c>
    </row>
    <row r="2361" spans="1:8" ht="15" hidden="1" customHeight="1">
      <c r="A2361" t="s">
        <v>102</v>
      </c>
      <c r="B2361" t="s">
        <v>106</v>
      </c>
      <c r="C2361">
        <v>20</v>
      </c>
      <c r="D2361">
        <v>5</v>
      </c>
      <c r="E2361">
        <v>3</v>
      </c>
      <c r="F2361">
        <v>4</v>
      </c>
      <c r="G2361" t="s">
        <v>123</v>
      </c>
      <c r="H2361" t="str">
        <f>IFERROR(ROUND(COUNTIFS(Tasks!$A:$A,$A2361,Tasks!$B:$B,$B2361,Tasks!$C:$C,$G2361,Tasks!$I:$I,"&lt;="&amp;INDEX(Weeks!$D:$D,MATCH($C2361,Weeks!$A:$A,0)),Tasks!$I:$I,"&lt;&gt;")/COUNTIFS(Tasks!$A:$A,$A2361,Tasks!$B:$B,$B2361,Tasks!$C:$C,$G2361)*100,0),"")</f>
        <v/>
      </c>
    </row>
    <row r="2362" spans="1:8" ht="15" hidden="1" customHeight="1">
      <c r="A2362" t="s">
        <v>102</v>
      </c>
      <c r="B2362" t="s">
        <v>106</v>
      </c>
      <c r="C2362">
        <v>21</v>
      </c>
      <c r="D2362">
        <v>5</v>
      </c>
      <c r="E2362">
        <v>4</v>
      </c>
      <c r="F2362">
        <v>4</v>
      </c>
      <c r="G2362" t="s">
        <v>123</v>
      </c>
      <c r="H2362" t="str">
        <f>IFERROR(ROUND(COUNTIFS(Tasks!$A:$A,$A2362,Tasks!$B:$B,$B2362,Tasks!$C:$C,$G2362,Tasks!$I:$I,"&lt;="&amp;INDEX(Weeks!$D:$D,MATCH($C2362,Weeks!$A:$A,0)),Tasks!$I:$I,"&lt;&gt;")/COUNTIFS(Tasks!$A:$A,$A2362,Tasks!$B:$B,$B2362,Tasks!$C:$C,$G2362)*100,0),"")</f>
        <v/>
      </c>
    </row>
    <row r="2363" spans="1:8" ht="15" hidden="1" customHeight="1">
      <c r="A2363" t="s">
        <v>102</v>
      </c>
      <c r="B2363" t="s">
        <v>106</v>
      </c>
      <c r="C2363">
        <v>22</v>
      </c>
      <c r="D2363">
        <v>5</v>
      </c>
      <c r="E2363">
        <v>5</v>
      </c>
      <c r="F2363">
        <v>4</v>
      </c>
      <c r="G2363" t="s">
        <v>123</v>
      </c>
      <c r="H2363" t="str">
        <f>IFERROR(ROUND(COUNTIFS(Tasks!$A:$A,$A2363,Tasks!$B:$B,$B2363,Tasks!$C:$C,$G2363,Tasks!$I:$I,"&lt;="&amp;INDEX(Weeks!$D:$D,MATCH($C2363,Weeks!$A:$A,0)),Tasks!$I:$I,"&lt;&gt;")/COUNTIFS(Tasks!$A:$A,$A2363,Tasks!$B:$B,$B2363,Tasks!$C:$C,$G2363)*100,0),"")</f>
        <v/>
      </c>
    </row>
    <row r="2364" spans="1:8" ht="15" hidden="1" customHeight="1">
      <c r="A2364" t="s">
        <v>102</v>
      </c>
      <c r="B2364" t="s">
        <v>106</v>
      </c>
      <c r="C2364">
        <v>23</v>
      </c>
      <c r="D2364">
        <v>6</v>
      </c>
      <c r="E2364">
        <v>1</v>
      </c>
      <c r="F2364">
        <v>4</v>
      </c>
      <c r="G2364" t="s">
        <v>123</v>
      </c>
      <c r="H2364" t="str">
        <f>IFERROR(ROUND(COUNTIFS(Tasks!$A:$A,$A2364,Tasks!$B:$B,$B2364,Tasks!$C:$C,$G2364,Tasks!$I:$I,"&lt;="&amp;INDEX(Weeks!$D:$D,MATCH($C2364,Weeks!$A:$A,0)),Tasks!$I:$I,"&lt;&gt;")/COUNTIFS(Tasks!$A:$A,$A2364,Tasks!$B:$B,$B2364,Tasks!$C:$C,$G2364)*100,0),"")</f>
        <v/>
      </c>
    </row>
    <row r="2365" spans="1:8" ht="15" hidden="1" customHeight="1">
      <c r="A2365" t="s">
        <v>102</v>
      </c>
      <c r="B2365" t="s">
        <v>106</v>
      </c>
      <c r="C2365">
        <v>24</v>
      </c>
      <c r="D2365">
        <v>6</v>
      </c>
      <c r="E2365">
        <v>2</v>
      </c>
      <c r="F2365">
        <v>4</v>
      </c>
      <c r="G2365" t="s">
        <v>123</v>
      </c>
      <c r="H2365" t="str">
        <f>IFERROR(ROUND(COUNTIFS(Tasks!$A:$A,$A2365,Tasks!$B:$B,$B2365,Tasks!$C:$C,$G2365,Tasks!$I:$I,"&lt;="&amp;INDEX(Weeks!$D:$D,MATCH($C2365,Weeks!$A:$A,0)),Tasks!$I:$I,"&lt;&gt;")/COUNTIFS(Tasks!$A:$A,$A2365,Tasks!$B:$B,$B2365,Tasks!$C:$C,$G2365)*100,0),"")</f>
        <v/>
      </c>
    </row>
    <row r="2366" spans="1:8" ht="15" hidden="1" customHeight="1">
      <c r="A2366" t="s">
        <v>102</v>
      </c>
      <c r="B2366" t="s">
        <v>106</v>
      </c>
      <c r="C2366">
        <v>25</v>
      </c>
      <c r="D2366">
        <v>6</v>
      </c>
      <c r="E2366">
        <v>3</v>
      </c>
      <c r="F2366">
        <v>4</v>
      </c>
      <c r="G2366" t="s">
        <v>123</v>
      </c>
      <c r="H2366" t="str">
        <f>IFERROR(ROUND(COUNTIFS(Tasks!$A:$A,$A2366,Tasks!$B:$B,$B2366,Tasks!$C:$C,$G2366,Tasks!$I:$I,"&lt;="&amp;INDEX(Weeks!$D:$D,MATCH($C2366,Weeks!$A:$A,0)),Tasks!$I:$I,"&lt;&gt;")/COUNTIFS(Tasks!$A:$A,$A2366,Tasks!$B:$B,$B2366,Tasks!$C:$C,$G2366)*100,0),"")</f>
        <v/>
      </c>
    </row>
    <row r="2367" spans="1:8" ht="15" hidden="1" customHeight="1">
      <c r="A2367" t="s">
        <v>102</v>
      </c>
      <c r="B2367" t="s">
        <v>106</v>
      </c>
      <c r="C2367">
        <v>26</v>
      </c>
      <c r="D2367">
        <v>6</v>
      </c>
      <c r="E2367">
        <v>4</v>
      </c>
      <c r="F2367">
        <v>4</v>
      </c>
      <c r="G2367" t="s">
        <v>123</v>
      </c>
      <c r="H2367" t="str">
        <f>IFERROR(ROUND(COUNTIFS(Tasks!$A:$A,$A2367,Tasks!$B:$B,$B2367,Tasks!$C:$C,$G2367,Tasks!$I:$I,"&lt;="&amp;INDEX(Weeks!$D:$D,MATCH($C2367,Weeks!$A:$A,0)),Tasks!$I:$I,"&lt;&gt;")/COUNTIFS(Tasks!$A:$A,$A2367,Tasks!$B:$B,$B2367,Tasks!$C:$C,$G2367)*100,0),"")</f>
        <v/>
      </c>
    </row>
    <row r="2368" spans="1:8" ht="15" hidden="1" customHeight="1">
      <c r="A2368" t="s">
        <v>102</v>
      </c>
      <c r="B2368" t="s">
        <v>106</v>
      </c>
      <c r="C2368">
        <v>27</v>
      </c>
      <c r="D2368">
        <v>7</v>
      </c>
      <c r="E2368">
        <v>1</v>
      </c>
      <c r="F2368">
        <v>4</v>
      </c>
      <c r="G2368" t="s">
        <v>123</v>
      </c>
      <c r="H2368" t="str">
        <f>IFERROR(ROUND(COUNTIFS(Tasks!$A:$A,$A2368,Tasks!$B:$B,$B2368,Tasks!$C:$C,$G2368,Tasks!$I:$I,"&lt;="&amp;INDEX(Weeks!$D:$D,MATCH($C2368,Weeks!$A:$A,0)),Tasks!$I:$I,"&lt;&gt;")/COUNTIFS(Tasks!$A:$A,$A2368,Tasks!$B:$B,$B2368,Tasks!$C:$C,$G2368)*100,0),"")</f>
        <v/>
      </c>
    </row>
    <row r="2369" spans="1:8" ht="15" hidden="1" customHeight="1">
      <c r="A2369" t="s">
        <v>102</v>
      </c>
      <c r="B2369" t="s">
        <v>106</v>
      </c>
      <c r="C2369">
        <v>28</v>
      </c>
      <c r="D2369">
        <v>7</v>
      </c>
      <c r="E2369">
        <v>2</v>
      </c>
      <c r="F2369">
        <v>4</v>
      </c>
      <c r="G2369" t="s">
        <v>123</v>
      </c>
      <c r="H2369" t="str">
        <f>IFERROR(ROUND(COUNTIFS(Tasks!$A:$A,$A2369,Tasks!$B:$B,$B2369,Tasks!$C:$C,$G2369,Tasks!$I:$I,"&lt;="&amp;INDEX(Weeks!$D:$D,MATCH($C2369,Weeks!$A:$A,0)),Tasks!$I:$I,"&lt;&gt;")/COUNTIFS(Tasks!$A:$A,$A2369,Tasks!$B:$B,$B2369,Tasks!$C:$C,$G2369)*100,0),"")</f>
        <v/>
      </c>
    </row>
    <row r="2370" spans="1:8" ht="15" hidden="1" customHeight="1">
      <c r="A2370" t="s">
        <v>102</v>
      </c>
      <c r="B2370" t="s">
        <v>106</v>
      </c>
      <c r="C2370">
        <v>29</v>
      </c>
      <c r="D2370">
        <v>7</v>
      </c>
      <c r="E2370">
        <v>3</v>
      </c>
      <c r="F2370">
        <v>4</v>
      </c>
      <c r="G2370" t="s">
        <v>123</v>
      </c>
      <c r="H2370" t="str">
        <f>IFERROR(ROUND(COUNTIFS(Tasks!$A:$A,$A2370,Tasks!$B:$B,$B2370,Tasks!$C:$C,$G2370,Tasks!$I:$I,"&lt;="&amp;INDEX(Weeks!$D:$D,MATCH($C2370,Weeks!$A:$A,0)),Tasks!$I:$I,"&lt;&gt;")/COUNTIFS(Tasks!$A:$A,$A2370,Tasks!$B:$B,$B2370,Tasks!$C:$C,$G2370)*100,0),"")</f>
        <v/>
      </c>
    </row>
    <row r="2371" spans="1:8" ht="15" hidden="1" customHeight="1">
      <c r="A2371" t="s">
        <v>102</v>
      </c>
      <c r="B2371" t="s">
        <v>106</v>
      </c>
      <c r="C2371">
        <v>30</v>
      </c>
      <c r="D2371">
        <v>7</v>
      </c>
      <c r="E2371">
        <v>4</v>
      </c>
      <c r="F2371">
        <v>4</v>
      </c>
      <c r="G2371" t="s">
        <v>123</v>
      </c>
      <c r="H2371" t="str">
        <f>IFERROR(ROUND(COUNTIFS(Tasks!$A:$A,$A2371,Tasks!$B:$B,$B2371,Tasks!$C:$C,$G2371,Tasks!$I:$I,"&lt;="&amp;INDEX(Weeks!$D:$D,MATCH($C2371,Weeks!$A:$A,0)),Tasks!$I:$I,"&lt;&gt;")/COUNTIFS(Tasks!$A:$A,$A2371,Tasks!$B:$B,$B2371,Tasks!$C:$C,$G2371)*100,0),"")</f>
        <v/>
      </c>
    </row>
    <row r="2372" spans="1:8" ht="15" hidden="1" customHeight="1">
      <c r="A2372" t="s">
        <v>102</v>
      </c>
      <c r="B2372" t="s">
        <v>106</v>
      </c>
      <c r="C2372">
        <v>31</v>
      </c>
      <c r="D2372">
        <v>8</v>
      </c>
      <c r="E2372">
        <v>1</v>
      </c>
      <c r="F2372">
        <v>4</v>
      </c>
      <c r="G2372" t="s">
        <v>123</v>
      </c>
      <c r="H2372" t="str">
        <f>IFERROR(ROUND(COUNTIFS(Tasks!$A:$A,$A2372,Tasks!$B:$B,$B2372,Tasks!$C:$C,$G2372,Tasks!$I:$I,"&lt;="&amp;INDEX(Weeks!$D:$D,MATCH($C2372,Weeks!$A:$A,0)),Tasks!$I:$I,"&lt;&gt;")/COUNTIFS(Tasks!$A:$A,$A2372,Tasks!$B:$B,$B2372,Tasks!$C:$C,$G2372)*100,0),"")</f>
        <v/>
      </c>
    </row>
    <row r="2373" spans="1:8" ht="15" hidden="1" customHeight="1">
      <c r="A2373" t="s">
        <v>102</v>
      </c>
      <c r="B2373" t="s">
        <v>106</v>
      </c>
      <c r="C2373">
        <v>32</v>
      </c>
      <c r="D2373">
        <v>8</v>
      </c>
      <c r="E2373">
        <v>2</v>
      </c>
      <c r="F2373">
        <v>4</v>
      </c>
      <c r="G2373" t="s">
        <v>123</v>
      </c>
      <c r="H2373" t="str">
        <f>IFERROR(ROUND(COUNTIFS(Tasks!$A:$A,$A2373,Tasks!$B:$B,$B2373,Tasks!$C:$C,$G2373,Tasks!$I:$I,"&lt;="&amp;INDEX(Weeks!$D:$D,MATCH($C2373,Weeks!$A:$A,0)),Tasks!$I:$I,"&lt;&gt;")/COUNTIFS(Tasks!$A:$A,$A2373,Tasks!$B:$B,$B2373,Tasks!$C:$C,$G2373)*100,0),"")</f>
        <v/>
      </c>
    </row>
    <row r="2374" spans="1:8" ht="15" hidden="1" customHeight="1">
      <c r="A2374" t="s">
        <v>102</v>
      </c>
      <c r="B2374" t="s">
        <v>106</v>
      </c>
      <c r="C2374">
        <v>33</v>
      </c>
      <c r="D2374">
        <v>8</v>
      </c>
      <c r="E2374">
        <v>3</v>
      </c>
      <c r="F2374">
        <v>4</v>
      </c>
      <c r="G2374" t="s">
        <v>123</v>
      </c>
      <c r="H2374" t="str">
        <f>IFERROR(ROUND(COUNTIFS(Tasks!$A:$A,$A2374,Tasks!$B:$B,$B2374,Tasks!$C:$C,$G2374,Tasks!$I:$I,"&lt;="&amp;INDEX(Weeks!$D:$D,MATCH($C2374,Weeks!$A:$A,0)),Tasks!$I:$I,"&lt;&gt;")/COUNTIFS(Tasks!$A:$A,$A2374,Tasks!$B:$B,$B2374,Tasks!$C:$C,$G2374)*100,0),"")</f>
        <v/>
      </c>
    </row>
    <row r="2375" spans="1:8" ht="15" hidden="1" customHeight="1">
      <c r="A2375" t="s">
        <v>102</v>
      </c>
      <c r="B2375" t="s">
        <v>106</v>
      </c>
      <c r="C2375">
        <v>34</v>
      </c>
      <c r="D2375">
        <v>8</v>
      </c>
      <c r="E2375">
        <v>4</v>
      </c>
      <c r="F2375">
        <v>4</v>
      </c>
      <c r="G2375" t="s">
        <v>123</v>
      </c>
      <c r="H2375" t="str">
        <f>IFERROR(ROUND(COUNTIFS(Tasks!$A:$A,$A2375,Tasks!$B:$B,$B2375,Tasks!$C:$C,$G2375,Tasks!$I:$I,"&lt;="&amp;INDEX(Weeks!$D:$D,MATCH($C2375,Weeks!$A:$A,0)),Tasks!$I:$I,"&lt;&gt;")/COUNTIFS(Tasks!$A:$A,$A2375,Tasks!$B:$B,$B2375,Tasks!$C:$C,$G2375)*100,0),"")</f>
        <v/>
      </c>
    </row>
    <row r="2376" spans="1:8" ht="15" hidden="1" customHeight="1">
      <c r="A2376" t="s">
        <v>102</v>
      </c>
      <c r="B2376" t="s">
        <v>106</v>
      </c>
      <c r="C2376">
        <v>35</v>
      </c>
      <c r="D2376">
        <v>8</v>
      </c>
      <c r="E2376">
        <v>5</v>
      </c>
      <c r="F2376">
        <v>4</v>
      </c>
      <c r="G2376" t="s">
        <v>123</v>
      </c>
      <c r="H2376" t="str">
        <f>IFERROR(ROUND(COUNTIFS(Tasks!$A:$A,$A2376,Tasks!$B:$B,$B2376,Tasks!$C:$C,$G2376,Tasks!$I:$I,"&lt;="&amp;INDEX(Weeks!$D:$D,MATCH($C2376,Weeks!$A:$A,0)),Tasks!$I:$I,"&lt;&gt;")/COUNTIFS(Tasks!$A:$A,$A2376,Tasks!$B:$B,$B2376,Tasks!$C:$C,$G2376)*100,0),"")</f>
        <v/>
      </c>
    </row>
    <row r="2377" spans="1:8" ht="15" hidden="1" customHeight="1">
      <c r="A2377" t="s">
        <v>102</v>
      </c>
      <c r="B2377" t="s">
        <v>106</v>
      </c>
      <c r="C2377">
        <v>36</v>
      </c>
      <c r="D2377">
        <v>9</v>
      </c>
      <c r="E2377">
        <v>1</v>
      </c>
      <c r="F2377">
        <v>4</v>
      </c>
      <c r="G2377" t="s">
        <v>123</v>
      </c>
      <c r="H2377" t="str">
        <f>IFERROR(ROUND(COUNTIFS(Tasks!$A:$A,$A2377,Tasks!$B:$B,$B2377,Tasks!$C:$C,$G2377,Tasks!$I:$I,"&lt;="&amp;INDEX(Weeks!$D:$D,MATCH($C2377,Weeks!$A:$A,0)),Tasks!$I:$I,"&lt;&gt;")/COUNTIFS(Tasks!$A:$A,$A2377,Tasks!$B:$B,$B2377,Tasks!$C:$C,$G2377)*100,0),"")</f>
        <v/>
      </c>
    </row>
    <row r="2378" spans="1:8" ht="15" hidden="1" customHeight="1">
      <c r="A2378" t="s">
        <v>102</v>
      </c>
      <c r="B2378" t="s">
        <v>106</v>
      </c>
      <c r="C2378">
        <v>37</v>
      </c>
      <c r="D2378">
        <v>9</v>
      </c>
      <c r="E2378">
        <v>2</v>
      </c>
      <c r="F2378">
        <v>4</v>
      </c>
      <c r="G2378" t="s">
        <v>123</v>
      </c>
      <c r="H2378" t="str">
        <f>IFERROR(ROUND(COUNTIFS(Tasks!$A:$A,$A2378,Tasks!$B:$B,$B2378,Tasks!$C:$C,$G2378,Tasks!$I:$I,"&lt;="&amp;INDEX(Weeks!$D:$D,MATCH($C2378,Weeks!$A:$A,0)),Tasks!$I:$I,"&lt;&gt;")/COUNTIFS(Tasks!$A:$A,$A2378,Tasks!$B:$B,$B2378,Tasks!$C:$C,$G2378)*100,0),"")</f>
        <v/>
      </c>
    </row>
    <row r="2379" spans="1:8" ht="15" hidden="1" customHeight="1">
      <c r="A2379" t="s">
        <v>102</v>
      </c>
      <c r="B2379" t="s">
        <v>106</v>
      </c>
      <c r="C2379">
        <v>38</v>
      </c>
      <c r="D2379">
        <v>9</v>
      </c>
      <c r="E2379">
        <v>3</v>
      </c>
      <c r="F2379">
        <v>4</v>
      </c>
      <c r="G2379" t="s">
        <v>123</v>
      </c>
      <c r="H2379" t="str">
        <f>IFERROR(ROUND(COUNTIFS(Tasks!$A:$A,$A2379,Tasks!$B:$B,$B2379,Tasks!$C:$C,$G2379,Tasks!$I:$I,"&lt;="&amp;INDEX(Weeks!$D:$D,MATCH($C2379,Weeks!$A:$A,0)),Tasks!$I:$I,"&lt;&gt;")/COUNTIFS(Tasks!$A:$A,$A2379,Tasks!$B:$B,$B2379,Tasks!$C:$C,$G2379)*100,0),"")</f>
        <v/>
      </c>
    </row>
    <row r="2380" spans="1:8" ht="15" hidden="1" customHeight="1">
      <c r="A2380" t="s">
        <v>102</v>
      </c>
      <c r="B2380" t="s">
        <v>106</v>
      </c>
      <c r="C2380">
        <v>39</v>
      </c>
      <c r="D2380">
        <v>9</v>
      </c>
      <c r="E2380">
        <v>4</v>
      </c>
      <c r="F2380">
        <v>4</v>
      </c>
      <c r="G2380" t="s">
        <v>123</v>
      </c>
      <c r="H2380" t="str">
        <f>IFERROR(ROUND(COUNTIFS(Tasks!$A:$A,$A2380,Tasks!$B:$B,$B2380,Tasks!$C:$C,$G2380,Tasks!$I:$I,"&lt;="&amp;INDEX(Weeks!$D:$D,MATCH($C2380,Weeks!$A:$A,0)),Tasks!$I:$I,"&lt;&gt;")/COUNTIFS(Tasks!$A:$A,$A2380,Tasks!$B:$B,$B2380,Tasks!$C:$C,$G2380)*100,0),"")</f>
        <v/>
      </c>
    </row>
    <row r="2381" spans="1:8" ht="15" hidden="1" customHeight="1">
      <c r="A2381" t="s">
        <v>102</v>
      </c>
      <c r="B2381" t="s">
        <v>106</v>
      </c>
      <c r="C2381">
        <v>40</v>
      </c>
      <c r="D2381">
        <v>10</v>
      </c>
      <c r="E2381">
        <v>1</v>
      </c>
      <c r="F2381">
        <v>4</v>
      </c>
      <c r="G2381" t="s">
        <v>123</v>
      </c>
      <c r="H2381" t="str">
        <f>IFERROR(ROUND(COUNTIFS(Tasks!$A:$A,$A2381,Tasks!$B:$B,$B2381,Tasks!$C:$C,$G2381,Tasks!$I:$I,"&lt;="&amp;INDEX(Weeks!$D:$D,MATCH($C2381,Weeks!$A:$A,0)),Tasks!$I:$I,"&lt;&gt;")/COUNTIFS(Tasks!$A:$A,$A2381,Tasks!$B:$B,$B2381,Tasks!$C:$C,$G2381)*100,0),"")</f>
        <v/>
      </c>
    </row>
    <row r="2382" spans="1:8" ht="15" hidden="1" customHeight="1">
      <c r="A2382" t="s">
        <v>102</v>
      </c>
      <c r="B2382" t="s">
        <v>106</v>
      </c>
      <c r="C2382">
        <v>41</v>
      </c>
      <c r="D2382">
        <v>10</v>
      </c>
      <c r="E2382">
        <v>2</v>
      </c>
      <c r="F2382">
        <v>4</v>
      </c>
      <c r="G2382" t="s">
        <v>123</v>
      </c>
      <c r="H2382" t="str">
        <f>IFERROR(ROUND(COUNTIFS(Tasks!$A:$A,$A2382,Tasks!$B:$B,$B2382,Tasks!$C:$C,$G2382,Tasks!$I:$I,"&lt;="&amp;INDEX(Weeks!$D:$D,MATCH($C2382,Weeks!$A:$A,0)),Tasks!$I:$I,"&lt;&gt;")/COUNTIFS(Tasks!$A:$A,$A2382,Tasks!$B:$B,$B2382,Tasks!$C:$C,$G2382)*100,0),"")</f>
        <v/>
      </c>
    </row>
    <row r="2383" spans="1:8" ht="15" hidden="1" customHeight="1">
      <c r="A2383" t="s">
        <v>102</v>
      </c>
      <c r="B2383" t="s">
        <v>106</v>
      </c>
      <c r="C2383">
        <v>42</v>
      </c>
      <c r="D2383">
        <v>10</v>
      </c>
      <c r="E2383">
        <v>3</v>
      </c>
      <c r="F2383">
        <v>4</v>
      </c>
      <c r="G2383" t="s">
        <v>123</v>
      </c>
      <c r="H2383" t="str">
        <f>IFERROR(ROUND(COUNTIFS(Tasks!$A:$A,$A2383,Tasks!$B:$B,$B2383,Tasks!$C:$C,$G2383,Tasks!$I:$I,"&lt;="&amp;INDEX(Weeks!$D:$D,MATCH($C2383,Weeks!$A:$A,0)),Tasks!$I:$I,"&lt;&gt;")/COUNTIFS(Tasks!$A:$A,$A2383,Tasks!$B:$B,$B2383,Tasks!$C:$C,$G2383)*100,0),"")</f>
        <v/>
      </c>
    </row>
    <row r="2384" spans="1:8" ht="15" hidden="1" customHeight="1">
      <c r="A2384" t="s">
        <v>102</v>
      </c>
      <c r="B2384" t="s">
        <v>106</v>
      </c>
      <c r="C2384">
        <v>43</v>
      </c>
      <c r="D2384">
        <v>10</v>
      </c>
      <c r="E2384">
        <v>4</v>
      </c>
      <c r="F2384">
        <v>4</v>
      </c>
      <c r="G2384" t="s">
        <v>123</v>
      </c>
      <c r="H2384" t="str">
        <f>IFERROR(ROUND(COUNTIFS(Tasks!$A:$A,$A2384,Tasks!$B:$B,$B2384,Tasks!$C:$C,$G2384,Tasks!$I:$I,"&lt;="&amp;INDEX(Weeks!$D:$D,MATCH($C2384,Weeks!$A:$A,0)),Tasks!$I:$I,"&lt;&gt;")/COUNTIFS(Tasks!$A:$A,$A2384,Tasks!$B:$B,$B2384,Tasks!$C:$C,$G2384)*100,0),"")</f>
        <v/>
      </c>
    </row>
    <row r="2385" spans="1:8" ht="15" hidden="1" customHeight="1">
      <c r="A2385" t="s">
        <v>102</v>
      </c>
      <c r="B2385" t="s">
        <v>106</v>
      </c>
      <c r="C2385">
        <v>44</v>
      </c>
      <c r="D2385">
        <v>10</v>
      </c>
      <c r="E2385">
        <v>5</v>
      </c>
      <c r="F2385">
        <v>4</v>
      </c>
      <c r="G2385" t="s">
        <v>123</v>
      </c>
      <c r="H2385" t="str">
        <f>IFERROR(ROUND(COUNTIFS(Tasks!$A:$A,$A2385,Tasks!$B:$B,$B2385,Tasks!$C:$C,$G2385,Tasks!$I:$I,"&lt;="&amp;INDEX(Weeks!$D:$D,MATCH($C2385,Weeks!$A:$A,0)),Tasks!$I:$I,"&lt;&gt;")/COUNTIFS(Tasks!$A:$A,$A2385,Tasks!$B:$B,$B2385,Tasks!$C:$C,$G2385)*100,0),"")</f>
        <v/>
      </c>
    </row>
    <row r="2386" spans="1:8" ht="15" hidden="1" customHeight="1">
      <c r="A2386" t="s">
        <v>102</v>
      </c>
      <c r="B2386" t="s">
        <v>106</v>
      </c>
      <c r="C2386">
        <v>45</v>
      </c>
      <c r="D2386">
        <v>11</v>
      </c>
      <c r="E2386">
        <v>1</v>
      </c>
      <c r="F2386">
        <v>4</v>
      </c>
      <c r="G2386" t="s">
        <v>123</v>
      </c>
      <c r="H2386" t="str">
        <f>IFERROR(ROUND(COUNTIFS(Tasks!$A:$A,$A2386,Tasks!$B:$B,$B2386,Tasks!$C:$C,$G2386,Tasks!$I:$I,"&lt;="&amp;INDEX(Weeks!$D:$D,MATCH($C2386,Weeks!$A:$A,0)),Tasks!$I:$I,"&lt;&gt;")/COUNTIFS(Tasks!$A:$A,$A2386,Tasks!$B:$B,$B2386,Tasks!$C:$C,$G2386)*100,0),"")</f>
        <v/>
      </c>
    </row>
    <row r="2387" spans="1:8" ht="15" hidden="1" customHeight="1">
      <c r="A2387" t="s">
        <v>102</v>
      </c>
      <c r="B2387" t="s">
        <v>106</v>
      </c>
      <c r="C2387">
        <v>46</v>
      </c>
      <c r="D2387">
        <v>11</v>
      </c>
      <c r="E2387">
        <v>2</v>
      </c>
      <c r="F2387">
        <v>4</v>
      </c>
      <c r="G2387" t="s">
        <v>123</v>
      </c>
      <c r="H2387" t="str">
        <f>IFERROR(ROUND(COUNTIFS(Tasks!$A:$A,$A2387,Tasks!$B:$B,$B2387,Tasks!$C:$C,$G2387,Tasks!$I:$I,"&lt;="&amp;INDEX(Weeks!$D:$D,MATCH($C2387,Weeks!$A:$A,0)),Tasks!$I:$I,"&lt;&gt;")/COUNTIFS(Tasks!$A:$A,$A2387,Tasks!$B:$B,$B2387,Tasks!$C:$C,$G2387)*100,0),"")</f>
        <v/>
      </c>
    </row>
    <row r="2388" spans="1:8" ht="15" hidden="1" customHeight="1">
      <c r="A2388" t="s">
        <v>102</v>
      </c>
      <c r="B2388" t="s">
        <v>106</v>
      </c>
      <c r="C2388">
        <v>47</v>
      </c>
      <c r="D2388">
        <v>11</v>
      </c>
      <c r="E2388">
        <v>3</v>
      </c>
      <c r="F2388">
        <v>4</v>
      </c>
      <c r="G2388" t="s">
        <v>123</v>
      </c>
      <c r="H2388" t="str">
        <f>IFERROR(ROUND(COUNTIFS(Tasks!$A:$A,$A2388,Tasks!$B:$B,$B2388,Tasks!$C:$C,$G2388,Tasks!$I:$I,"&lt;="&amp;INDEX(Weeks!$D:$D,MATCH($C2388,Weeks!$A:$A,0)),Tasks!$I:$I,"&lt;&gt;")/COUNTIFS(Tasks!$A:$A,$A2388,Tasks!$B:$B,$B2388,Tasks!$C:$C,$G2388)*100,0),"")</f>
        <v/>
      </c>
    </row>
    <row r="2389" spans="1:8" ht="15" hidden="1" customHeight="1">
      <c r="A2389" t="s">
        <v>102</v>
      </c>
      <c r="B2389" t="s">
        <v>106</v>
      </c>
      <c r="C2389">
        <v>48</v>
      </c>
      <c r="D2389">
        <v>11</v>
      </c>
      <c r="E2389">
        <v>4</v>
      </c>
      <c r="F2389">
        <v>4</v>
      </c>
      <c r="G2389" t="s">
        <v>123</v>
      </c>
      <c r="H2389" t="str">
        <f>IFERROR(ROUND(COUNTIFS(Tasks!$A:$A,$A2389,Tasks!$B:$B,$B2389,Tasks!$C:$C,$G2389,Tasks!$I:$I,"&lt;="&amp;INDEX(Weeks!$D:$D,MATCH($C2389,Weeks!$A:$A,0)),Tasks!$I:$I,"&lt;&gt;")/COUNTIFS(Tasks!$A:$A,$A2389,Tasks!$B:$B,$B2389,Tasks!$C:$C,$G2389)*100,0),"")</f>
        <v/>
      </c>
    </row>
    <row r="2390" spans="1:8" ht="15" hidden="1" customHeight="1">
      <c r="A2390" t="s">
        <v>102</v>
      </c>
      <c r="B2390" t="s">
        <v>106</v>
      </c>
      <c r="C2390">
        <v>49</v>
      </c>
      <c r="D2390">
        <v>12</v>
      </c>
      <c r="E2390">
        <v>1</v>
      </c>
      <c r="F2390">
        <v>4</v>
      </c>
      <c r="G2390" t="s">
        <v>123</v>
      </c>
      <c r="H2390" t="str">
        <f>IFERROR(ROUND(COUNTIFS(Tasks!$A:$A,$A2390,Tasks!$B:$B,$B2390,Tasks!$C:$C,$G2390,Tasks!$I:$I,"&lt;="&amp;INDEX(Weeks!$D:$D,MATCH($C2390,Weeks!$A:$A,0)),Tasks!$I:$I,"&lt;&gt;")/COUNTIFS(Tasks!$A:$A,$A2390,Tasks!$B:$B,$B2390,Tasks!$C:$C,$G2390)*100,0),"")</f>
        <v/>
      </c>
    </row>
    <row r="2391" spans="1:8" ht="15" hidden="1" customHeight="1">
      <c r="A2391" t="s">
        <v>102</v>
      </c>
      <c r="B2391" t="s">
        <v>106</v>
      </c>
      <c r="C2391">
        <v>50</v>
      </c>
      <c r="D2391">
        <v>12</v>
      </c>
      <c r="E2391">
        <v>2</v>
      </c>
      <c r="F2391">
        <v>4</v>
      </c>
      <c r="G2391" t="s">
        <v>123</v>
      </c>
      <c r="H2391" t="str">
        <f>IFERROR(ROUND(COUNTIFS(Tasks!$A:$A,$A2391,Tasks!$B:$B,$B2391,Tasks!$C:$C,$G2391,Tasks!$I:$I,"&lt;="&amp;INDEX(Weeks!$D:$D,MATCH($C2391,Weeks!$A:$A,0)),Tasks!$I:$I,"&lt;&gt;")/COUNTIFS(Tasks!$A:$A,$A2391,Tasks!$B:$B,$B2391,Tasks!$C:$C,$G2391)*100,0),"")</f>
        <v/>
      </c>
    </row>
    <row r="2392" spans="1:8" ht="15" hidden="1" customHeight="1">
      <c r="A2392" t="s">
        <v>102</v>
      </c>
      <c r="B2392" t="s">
        <v>106</v>
      </c>
      <c r="C2392">
        <v>51</v>
      </c>
      <c r="D2392">
        <v>12</v>
      </c>
      <c r="E2392">
        <v>3</v>
      </c>
      <c r="F2392">
        <v>4</v>
      </c>
      <c r="G2392" t="s">
        <v>123</v>
      </c>
      <c r="H2392" t="str">
        <f>IFERROR(ROUND(COUNTIFS(Tasks!$A:$A,$A2392,Tasks!$B:$B,$B2392,Tasks!$C:$C,$G2392,Tasks!$I:$I,"&lt;="&amp;INDEX(Weeks!$D:$D,MATCH($C2392,Weeks!$A:$A,0)),Tasks!$I:$I,"&lt;&gt;")/COUNTIFS(Tasks!$A:$A,$A2392,Tasks!$B:$B,$B2392,Tasks!$C:$C,$G2392)*100,0),"")</f>
        <v/>
      </c>
    </row>
    <row r="2393" spans="1:8" ht="15" hidden="1" customHeight="1">
      <c r="A2393" t="s">
        <v>102</v>
      </c>
      <c r="B2393" t="s">
        <v>106</v>
      </c>
      <c r="C2393">
        <v>52</v>
      </c>
      <c r="D2393">
        <v>12</v>
      </c>
      <c r="E2393">
        <v>4</v>
      </c>
      <c r="F2393">
        <v>4</v>
      </c>
      <c r="G2393" t="s">
        <v>123</v>
      </c>
      <c r="H2393" t="str">
        <f>IFERROR(ROUND(COUNTIFS(Tasks!$A:$A,$A2393,Tasks!$B:$B,$B2393,Tasks!$C:$C,$G2393,Tasks!$I:$I,"&lt;="&amp;INDEX(Weeks!$D:$D,MATCH($C2393,Weeks!$A:$A,0)),Tasks!$I:$I,"&lt;&gt;")/COUNTIFS(Tasks!$A:$A,$A2393,Tasks!$B:$B,$B2393,Tasks!$C:$C,$G2393)*100,0),"")</f>
        <v/>
      </c>
    </row>
    <row r="2394" spans="1:8" ht="15" hidden="1" customHeight="1">
      <c r="A2394" t="s">
        <v>107</v>
      </c>
      <c r="B2394" t="s">
        <v>108</v>
      </c>
      <c r="C2394">
        <v>1</v>
      </c>
      <c r="D2394">
        <v>1</v>
      </c>
      <c r="E2394">
        <v>1</v>
      </c>
      <c r="F2394">
        <v>1</v>
      </c>
      <c r="G2394" t="s">
        <v>120</v>
      </c>
      <c r="H2394" t="str">
        <f>IFERROR(ROUND(COUNTIFS(Tasks!$A:$A,$A2394,Tasks!$B:$B,$B2394,Tasks!$C:$C,$G2394,Tasks!$I:$I,"&lt;="&amp;INDEX(Weeks!$D:$D,MATCH($C2394,Weeks!$A:$A,0)),Tasks!$I:$I,"&lt;&gt;")/COUNTIFS(Tasks!$A:$A,$A2394,Tasks!$B:$B,$B2394,Tasks!$C:$C,$G2394)*100,0),"")</f>
        <v/>
      </c>
    </row>
    <row r="2395" spans="1:8" ht="15" hidden="1" customHeight="1">
      <c r="A2395" t="s">
        <v>107</v>
      </c>
      <c r="B2395" t="s">
        <v>108</v>
      </c>
      <c r="C2395">
        <v>2</v>
      </c>
      <c r="D2395">
        <v>1</v>
      </c>
      <c r="E2395">
        <v>2</v>
      </c>
      <c r="F2395">
        <v>1</v>
      </c>
      <c r="G2395" t="s">
        <v>120</v>
      </c>
      <c r="H2395" t="str">
        <f>IFERROR(ROUND(COUNTIFS(Tasks!$A:$A,$A2395,Tasks!$B:$B,$B2395,Tasks!$C:$C,$G2395,Tasks!$I:$I,"&lt;="&amp;INDEX(Weeks!$D:$D,MATCH($C2395,Weeks!$A:$A,0)),Tasks!$I:$I,"&lt;&gt;")/COUNTIFS(Tasks!$A:$A,$A2395,Tasks!$B:$B,$B2395,Tasks!$C:$C,$G2395)*100,0),"")</f>
        <v/>
      </c>
    </row>
    <row r="2396" spans="1:8" ht="15" hidden="1" customHeight="1">
      <c r="A2396" t="s">
        <v>107</v>
      </c>
      <c r="B2396" t="s">
        <v>108</v>
      </c>
      <c r="C2396">
        <v>3</v>
      </c>
      <c r="D2396">
        <v>1</v>
      </c>
      <c r="E2396">
        <v>3</v>
      </c>
      <c r="F2396">
        <v>1</v>
      </c>
      <c r="G2396" t="s">
        <v>120</v>
      </c>
      <c r="H2396" t="str">
        <f>IFERROR(ROUND(COUNTIFS(Tasks!$A:$A,$A2396,Tasks!$B:$B,$B2396,Tasks!$C:$C,$G2396,Tasks!$I:$I,"&lt;="&amp;INDEX(Weeks!$D:$D,MATCH($C2396,Weeks!$A:$A,0)),Tasks!$I:$I,"&lt;&gt;")/COUNTIFS(Tasks!$A:$A,$A2396,Tasks!$B:$B,$B2396,Tasks!$C:$C,$G2396)*100,0),"")</f>
        <v/>
      </c>
    </row>
    <row r="2397" spans="1:8" ht="15" hidden="1" customHeight="1">
      <c r="A2397" t="s">
        <v>107</v>
      </c>
      <c r="B2397" t="s">
        <v>108</v>
      </c>
      <c r="C2397">
        <v>4</v>
      </c>
      <c r="D2397">
        <v>1</v>
      </c>
      <c r="E2397">
        <v>4</v>
      </c>
      <c r="F2397">
        <v>1</v>
      </c>
      <c r="G2397" t="s">
        <v>120</v>
      </c>
      <c r="H2397" t="str">
        <f>IFERROR(ROUND(COUNTIFS(Tasks!$A:$A,$A2397,Tasks!$B:$B,$B2397,Tasks!$C:$C,$G2397,Tasks!$I:$I,"&lt;="&amp;INDEX(Weeks!$D:$D,MATCH($C2397,Weeks!$A:$A,0)),Tasks!$I:$I,"&lt;&gt;")/COUNTIFS(Tasks!$A:$A,$A2397,Tasks!$B:$B,$B2397,Tasks!$C:$C,$G2397)*100,0),"")</f>
        <v/>
      </c>
    </row>
    <row r="2398" spans="1:8" ht="15" hidden="1" customHeight="1">
      <c r="A2398" t="s">
        <v>107</v>
      </c>
      <c r="B2398" t="s">
        <v>108</v>
      </c>
      <c r="C2398">
        <v>5</v>
      </c>
      <c r="D2398">
        <v>1</v>
      </c>
      <c r="E2398">
        <v>5</v>
      </c>
      <c r="F2398">
        <v>1</v>
      </c>
      <c r="G2398" t="s">
        <v>120</v>
      </c>
      <c r="H2398" t="str">
        <f>IFERROR(ROUND(COUNTIFS(Tasks!$A:$A,$A2398,Tasks!$B:$B,$B2398,Tasks!$C:$C,$G2398,Tasks!$I:$I,"&lt;="&amp;INDEX(Weeks!$D:$D,MATCH($C2398,Weeks!$A:$A,0)),Tasks!$I:$I,"&lt;&gt;")/COUNTIFS(Tasks!$A:$A,$A2398,Tasks!$B:$B,$B2398,Tasks!$C:$C,$G2398)*100,0),"")</f>
        <v/>
      </c>
    </row>
    <row r="2399" spans="1:8" ht="15" hidden="1" customHeight="1">
      <c r="A2399" t="s">
        <v>107</v>
      </c>
      <c r="B2399" t="s">
        <v>108</v>
      </c>
      <c r="C2399">
        <v>6</v>
      </c>
      <c r="D2399">
        <v>2</v>
      </c>
      <c r="E2399">
        <v>1</v>
      </c>
      <c r="F2399">
        <v>1</v>
      </c>
      <c r="G2399" t="s">
        <v>120</v>
      </c>
      <c r="H2399" t="str">
        <f>IFERROR(ROUND(COUNTIFS(Tasks!$A:$A,$A2399,Tasks!$B:$B,$B2399,Tasks!$C:$C,$G2399,Tasks!$I:$I,"&lt;="&amp;INDEX(Weeks!$D:$D,MATCH($C2399,Weeks!$A:$A,0)),Tasks!$I:$I,"&lt;&gt;")/COUNTIFS(Tasks!$A:$A,$A2399,Tasks!$B:$B,$B2399,Tasks!$C:$C,$G2399)*100,0),"")</f>
        <v/>
      </c>
    </row>
    <row r="2400" spans="1:8" ht="15" hidden="1" customHeight="1">
      <c r="A2400" t="s">
        <v>107</v>
      </c>
      <c r="B2400" t="s">
        <v>108</v>
      </c>
      <c r="C2400">
        <v>7</v>
      </c>
      <c r="D2400">
        <v>2</v>
      </c>
      <c r="E2400">
        <v>2</v>
      </c>
      <c r="F2400">
        <v>1</v>
      </c>
      <c r="G2400" t="s">
        <v>120</v>
      </c>
      <c r="H2400" t="str">
        <f>IFERROR(ROUND(COUNTIFS(Tasks!$A:$A,$A2400,Tasks!$B:$B,$B2400,Tasks!$C:$C,$G2400,Tasks!$I:$I,"&lt;="&amp;INDEX(Weeks!$D:$D,MATCH($C2400,Weeks!$A:$A,0)),Tasks!$I:$I,"&lt;&gt;")/COUNTIFS(Tasks!$A:$A,$A2400,Tasks!$B:$B,$B2400,Tasks!$C:$C,$G2400)*100,0),"")</f>
        <v/>
      </c>
    </row>
    <row r="2401" spans="1:8" ht="15" hidden="1" customHeight="1">
      <c r="A2401" t="s">
        <v>107</v>
      </c>
      <c r="B2401" t="s">
        <v>108</v>
      </c>
      <c r="C2401">
        <v>8</v>
      </c>
      <c r="D2401">
        <v>2</v>
      </c>
      <c r="E2401">
        <v>3</v>
      </c>
      <c r="F2401">
        <v>1</v>
      </c>
      <c r="G2401" t="s">
        <v>120</v>
      </c>
      <c r="H2401" t="str">
        <f>IFERROR(ROUND(COUNTIFS(Tasks!$A:$A,$A2401,Tasks!$B:$B,$B2401,Tasks!$C:$C,$G2401,Tasks!$I:$I,"&lt;="&amp;INDEX(Weeks!$D:$D,MATCH($C2401,Weeks!$A:$A,0)),Tasks!$I:$I,"&lt;&gt;")/COUNTIFS(Tasks!$A:$A,$A2401,Tasks!$B:$B,$B2401,Tasks!$C:$C,$G2401)*100,0),"")</f>
        <v/>
      </c>
    </row>
    <row r="2402" spans="1:8" ht="15" hidden="1" customHeight="1">
      <c r="A2402" t="s">
        <v>107</v>
      </c>
      <c r="B2402" t="s">
        <v>108</v>
      </c>
      <c r="C2402">
        <v>9</v>
      </c>
      <c r="D2402">
        <v>2</v>
      </c>
      <c r="E2402">
        <v>4</v>
      </c>
      <c r="F2402">
        <v>1</v>
      </c>
      <c r="G2402" t="s">
        <v>120</v>
      </c>
      <c r="H2402" t="str">
        <f>IFERROR(ROUND(COUNTIFS(Tasks!$A:$A,$A2402,Tasks!$B:$B,$B2402,Tasks!$C:$C,$G2402,Tasks!$I:$I,"&lt;="&amp;INDEX(Weeks!$D:$D,MATCH($C2402,Weeks!$A:$A,0)),Tasks!$I:$I,"&lt;&gt;")/COUNTIFS(Tasks!$A:$A,$A2402,Tasks!$B:$B,$B2402,Tasks!$C:$C,$G2402)*100,0),"")</f>
        <v/>
      </c>
    </row>
    <row r="2403" spans="1:8" ht="15" hidden="1" customHeight="1">
      <c r="A2403" t="s">
        <v>107</v>
      </c>
      <c r="B2403" t="s">
        <v>108</v>
      </c>
      <c r="C2403">
        <v>10</v>
      </c>
      <c r="D2403">
        <v>3</v>
      </c>
      <c r="E2403">
        <v>1</v>
      </c>
      <c r="F2403">
        <v>1</v>
      </c>
      <c r="G2403" t="s">
        <v>120</v>
      </c>
      <c r="H2403" t="str">
        <f>IFERROR(ROUND(COUNTIFS(Tasks!$A:$A,$A2403,Tasks!$B:$B,$B2403,Tasks!$C:$C,$G2403,Tasks!$I:$I,"&lt;="&amp;INDEX(Weeks!$D:$D,MATCH($C2403,Weeks!$A:$A,0)),Tasks!$I:$I,"&lt;&gt;")/COUNTIFS(Tasks!$A:$A,$A2403,Tasks!$B:$B,$B2403,Tasks!$C:$C,$G2403)*100,0),"")</f>
        <v/>
      </c>
    </row>
    <row r="2404" spans="1:8" ht="15" hidden="1" customHeight="1">
      <c r="A2404" t="s">
        <v>107</v>
      </c>
      <c r="B2404" t="s">
        <v>108</v>
      </c>
      <c r="C2404">
        <v>11</v>
      </c>
      <c r="D2404">
        <v>3</v>
      </c>
      <c r="E2404">
        <v>2</v>
      </c>
      <c r="F2404">
        <v>1</v>
      </c>
      <c r="G2404" t="s">
        <v>120</v>
      </c>
      <c r="H2404" t="str">
        <f>IFERROR(ROUND(COUNTIFS(Tasks!$A:$A,$A2404,Tasks!$B:$B,$B2404,Tasks!$C:$C,$G2404,Tasks!$I:$I,"&lt;="&amp;INDEX(Weeks!$D:$D,MATCH($C2404,Weeks!$A:$A,0)),Tasks!$I:$I,"&lt;&gt;")/COUNTIFS(Tasks!$A:$A,$A2404,Tasks!$B:$B,$B2404,Tasks!$C:$C,$G2404)*100,0),"")</f>
        <v/>
      </c>
    </row>
    <row r="2405" spans="1:8" ht="15" hidden="1" customHeight="1">
      <c r="A2405" t="s">
        <v>107</v>
      </c>
      <c r="B2405" t="s">
        <v>108</v>
      </c>
      <c r="C2405">
        <v>12</v>
      </c>
      <c r="D2405">
        <v>3</v>
      </c>
      <c r="E2405">
        <v>3</v>
      </c>
      <c r="F2405">
        <v>1</v>
      </c>
      <c r="G2405" t="s">
        <v>120</v>
      </c>
      <c r="H2405" t="str">
        <f>IFERROR(ROUND(COUNTIFS(Tasks!$A:$A,$A2405,Tasks!$B:$B,$B2405,Tasks!$C:$C,$G2405,Tasks!$I:$I,"&lt;="&amp;INDEX(Weeks!$D:$D,MATCH($C2405,Weeks!$A:$A,0)),Tasks!$I:$I,"&lt;&gt;")/COUNTIFS(Tasks!$A:$A,$A2405,Tasks!$B:$B,$B2405,Tasks!$C:$C,$G2405)*100,0),"")</f>
        <v/>
      </c>
    </row>
    <row r="2406" spans="1:8" ht="15" hidden="1" customHeight="1">
      <c r="A2406" t="s">
        <v>107</v>
      </c>
      <c r="B2406" t="s">
        <v>108</v>
      </c>
      <c r="C2406">
        <v>13</v>
      </c>
      <c r="D2406">
        <v>3</v>
      </c>
      <c r="E2406">
        <v>4</v>
      </c>
      <c r="F2406">
        <v>1</v>
      </c>
      <c r="G2406" t="s">
        <v>120</v>
      </c>
      <c r="H2406" t="str">
        <f>IFERROR(ROUND(COUNTIFS(Tasks!$A:$A,$A2406,Tasks!$B:$B,$B2406,Tasks!$C:$C,$G2406,Tasks!$I:$I,"&lt;="&amp;INDEX(Weeks!$D:$D,MATCH($C2406,Weeks!$A:$A,0)),Tasks!$I:$I,"&lt;&gt;")/COUNTIFS(Tasks!$A:$A,$A2406,Tasks!$B:$B,$B2406,Tasks!$C:$C,$G2406)*100,0),"")</f>
        <v/>
      </c>
    </row>
    <row r="2407" spans="1:8" ht="15" hidden="1" customHeight="1">
      <c r="A2407" t="s">
        <v>107</v>
      </c>
      <c r="B2407" t="s">
        <v>108</v>
      </c>
      <c r="C2407">
        <v>14</v>
      </c>
      <c r="D2407">
        <v>4</v>
      </c>
      <c r="E2407">
        <v>1</v>
      </c>
      <c r="F2407">
        <v>1</v>
      </c>
      <c r="G2407" t="s">
        <v>120</v>
      </c>
      <c r="H2407" t="str">
        <f>IFERROR(ROUND(COUNTIFS(Tasks!$A:$A,$A2407,Tasks!$B:$B,$B2407,Tasks!$C:$C,$G2407,Tasks!$I:$I,"&lt;="&amp;INDEX(Weeks!$D:$D,MATCH($C2407,Weeks!$A:$A,0)),Tasks!$I:$I,"&lt;&gt;")/COUNTIFS(Tasks!$A:$A,$A2407,Tasks!$B:$B,$B2407,Tasks!$C:$C,$G2407)*100,0),"")</f>
        <v/>
      </c>
    </row>
    <row r="2408" spans="1:8" ht="15" hidden="1" customHeight="1">
      <c r="A2408" t="s">
        <v>107</v>
      </c>
      <c r="B2408" t="s">
        <v>108</v>
      </c>
      <c r="C2408">
        <v>15</v>
      </c>
      <c r="D2408">
        <v>4</v>
      </c>
      <c r="E2408">
        <v>2</v>
      </c>
      <c r="F2408">
        <v>1</v>
      </c>
      <c r="G2408" t="s">
        <v>120</v>
      </c>
      <c r="H2408" t="str">
        <f>IFERROR(ROUND(COUNTIFS(Tasks!$A:$A,$A2408,Tasks!$B:$B,$B2408,Tasks!$C:$C,$G2408,Tasks!$I:$I,"&lt;="&amp;INDEX(Weeks!$D:$D,MATCH($C2408,Weeks!$A:$A,0)),Tasks!$I:$I,"&lt;&gt;")/COUNTIFS(Tasks!$A:$A,$A2408,Tasks!$B:$B,$B2408,Tasks!$C:$C,$G2408)*100,0),"")</f>
        <v/>
      </c>
    </row>
    <row r="2409" spans="1:8" ht="15" hidden="1" customHeight="1">
      <c r="A2409" t="s">
        <v>107</v>
      </c>
      <c r="B2409" t="s">
        <v>108</v>
      </c>
      <c r="C2409">
        <v>16</v>
      </c>
      <c r="D2409">
        <v>4</v>
      </c>
      <c r="E2409">
        <v>3</v>
      </c>
      <c r="F2409">
        <v>1</v>
      </c>
      <c r="G2409" t="s">
        <v>120</v>
      </c>
      <c r="H2409" t="str">
        <f>IFERROR(ROUND(COUNTIFS(Tasks!$A:$A,$A2409,Tasks!$B:$B,$B2409,Tasks!$C:$C,$G2409,Tasks!$I:$I,"&lt;="&amp;INDEX(Weeks!$D:$D,MATCH($C2409,Weeks!$A:$A,0)),Tasks!$I:$I,"&lt;&gt;")/COUNTIFS(Tasks!$A:$A,$A2409,Tasks!$B:$B,$B2409,Tasks!$C:$C,$G2409)*100,0),"")</f>
        <v/>
      </c>
    </row>
    <row r="2410" spans="1:8" ht="15" hidden="1" customHeight="1">
      <c r="A2410" t="s">
        <v>107</v>
      </c>
      <c r="B2410" t="s">
        <v>108</v>
      </c>
      <c r="C2410">
        <v>17</v>
      </c>
      <c r="D2410">
        <v>4</v>
      </c>
      <c r="E2410">
        <v>4</v>
      </c>
      <c r="F2410">
        <v>1</v>
      </c>
      <c r="G2410" t="s">
        <v>120</v>
      </c>
      <c r="H2410" t="str">
        <f>IFERROR(ROUND(COUNTIFS(Tasks!$A:$A,$A2410,Tasks!$B:$B,$B2410,Tasks!$C:$C,$G2410,Tasks!$I:$I,"&lt;="&amp;INDEX(Weeks!$D:$D,MATCH($C2410,Weeks!$A:$A,0)),Tasks!$I:$I,"&lt;&gt;")/COUNTIFS(Tasks!$A:$A,$A2410,Tasks!$B:$B,$B2410,Tasks!$C:$C,$G2410)*100,0),"")</f>
        <v/>
      </c>
    </row>
    <row r="2411" spans="1:8" ht="15" hidden="1" customHeight="1">
      <c r="A2411" t="s">
        <v>107</v>
      </c>
      <c r="B2411" t="s">
        <v>108</v>
      </c>
      <c r="C2411">
        <v>18</v>
      </c>
      <c r="D2411">
        <v>5</v>
      </c>
      <c r="E2411">
        <v>1</v>
      </c>
      <c r="F2411">
        <v>1</v>
      </c>
      <c r="G2411" t="s">
        <v>120</v>
      </c>
      <c r="H2411" t="str">
        <f>IFERROR(ROUND(COUNTIFS(Tasks!$A:$A,$A2411,Tasks!$B:$B,$B2411,Tasks!$C:$C,$G2411,Tasks!$I:$I,"&lt;="&amp;INDEX(Weeks!$D:$D,MATCH($C2411,Weeks!$A:$A,0)),Tasks!$I:$I,"&lt;&gt;")/COUNTIFS(Tasks!$A:$A,$A2411,Tasks!$B:$B,$B2411,Tasks!$C:$C,$G2411)*100,0),"")</f>
        <v/>
      </c>
    </row>
    <row r="2412" spans="1:8" ht="15" hidden="1" customHeight="1">
      <c r="A2412" t="s">
        <v>107</v>
      </c>
      <c r="B2412" t="s">
        <v>108</v>
      </c>
      <c r="C2412">
        <v>19</v>
      </c>
      <c r="D2412">
        <v>5</v>
      </c>
      <c r="E2412">
        <v>2</v>
      </c>
      <c r="F2412">
        <v>1</v>
      </c>
      <c r="G2412" t="s">
        <v>120</v>
      </c>
      <c r="H2412" t="str">
        <f>IFERROR(ROUND(COUNTIFS(Tasks!$A:$A,$A2412,Tasks!$B:$B,$B2412,Tasks!$C:$C,$G2412,Tasks!$I:$I,"&lt;="&amp;INDEX(Weeks!$D:$D,MATCH($C2412,Weeks!$A:$A,0)),Tasks!$I:$I,"&lt;&gt;")/COUNTIFS(Tasks!$A:$A,$A2412,Tasks!$B:$B,$B2412,Tasks!$C:$C,$G2412)*100,0),"")</f>
        <v/>
      </c>
    </row>
    <row r="2413" spans="1:8" ht="15" hidden="1" customHeight="1">
      <c r="A2413" t="s">
        <v>107</v>
      </c>
      <c r="B2413" t="s">
        <v>108</v>
      </c>
      <c r="C2413">
        <v>20</v>
      </c>
      <c r="D2413">
        <v>5</v>
      </c>
      <c r="E2413">
        <v>3</v>
      </c>
      <c r="F2413">
        <v>1</v>
      </c>
      <c r="G2413" t="s">
        <v>120</v>
      </c>
      <c r="H2413" t="str">
        <f>IFERROR(ROUND(COUNTIFS(Tasks!$A:$A,$A2413,Tasks!$B:$B,$B2413,Tasks!$C:$C,$G2413,Tasks!$I:$I,"&lt;="&amp;INDEX(Weeks!$D:$D,MATCH($C2413,Weeks!$A:$A,0)),Tasks!$I:$I,"&lt;&gt;")/COUNTIFS(Tasks!$A:$A,$A2413,Tasks!$B:$B,$B2413,Tasks!$C:$C,$G2413)*100,0),"")</f>
        <v/>
      </c>
    </row>
    <row r="2414" spans="1:8" ht="15" hidden="1" customHeight="1">
      <c r="A2414" t="s">
        <v>107</v>
      </c>
      <c r="B2414" t="s">
        <v>108</v>
      </c>
      <c r="C2414">
        <v>21</v>
      </c>
      <c r="D2414">
        <v>5</v>
      </c>
      <c r="E2414">
        <v>4</v>
      </c>
      <c r="F2414">
        <v>1</v>
      </c>
      <c r="G2414" t="s">
        <v>120</v>
      </c>
      <c r="H2414" t="str">
        <f>IFERROR(ROUND(COUNTIFS(Tasks!$A:$A,$A2414,Tasks!$B:$B,$B2414,Tasks!$C:$C,$G2414,Tasks!$I:$I,"&lt;="&amp;INDEX(Weeks!$D:$D,MATCH($C2414,Weeks!$A:$A,0)),Tasks!$I:$I,"&lt;&gt;")/COUNTIFS(Tasks!$A:$A,$A2414,Tasks!$B:$B,$B2414,Tasks!$C:$C,$G2414)*100,0),"")</f>
        <v/>
      </c>
    </row>
    <row r="2415" spans="1:8" ht="15" hidden="1" customHeight="1">
      <c r="A2415" t="s">
        <v>107</v>
      </c>
      <c r="B2415" t="s">
        <v>108</v>
      </c>
      <c r="C2415">
        <v>22</v>
      </c>
      <c r="D2415">
        <v>5</v>
      </c>
      <c r="E2415">
        <v>5</v>
      </c>
      <c r="F2415">
        <v>1</v>
      </c>
      <c r="G2415" t="s">
        <v>120</v>
      </c>
      <c r="H2415" t="str">
        <f>IFERROR(ROUND(COUNTIFS(Tasks!$A:$A,$A2415,Tasks!$B:$B,$B2415,Tasks!$C:$C,$G2415,Tasks!$I:$I,"&lt;="&amp;INDEX(Weeks!$D:$D,MATCH($C2415,Weeks!$A:$A,0)),Tasks!$I:$I,"&lt;&gt;")/COUNTIFS(Tasks!$A:$A,$A2415,Tasks!$B:$B,$B2415,Tasks!$C:$C,$G2415)*100,0),"")</f>
        <v/>
      </c>
    </row>
    <row r="2416" spans="1:8" ht="15" hidden="1" customHeight="1">
      <c r="A2416" t="s">
        <v>107</v>
      </c>
      <c r="B2416" t="s">
        <v>108</v>
      </c>
      <c r="C2416">
        <v>23</v>
      </c>
      <c r="D2416">
        <v>6</v>
      </c>
      <c r="E2416">
        <v>1</v>
      </c>
      <c r="F2416">
        <v>1</v>
      </c>
      <c r="G2416" t="s">
        <v>120</v>
      </c>
      <c r="H2416" t="str">
        <f>IFERROR(ROUND(COUNTIFS(Tasks!$A:$A,$A2416,Tasks!$B:$B,$B2416,Tasks!$C:$C,$G2416,Tasks!$I:$I,"&lt;="&amp;INDEX(Weeks!$D:$D,MATCH($C2416,Weeks!$A:$A,0)),Tasks!$I:$I,"&lt;&gt;")/COUNTIFS(Tasks!$A:$A,$A2416,Tasks!$B:$B,$B2416,Tasks!$C:$C,$G2416)*100,0),"")</f>
        <v/>
      </c>
    </row>
    <row r="2417" spans="1:8" ht="15" hidden="1" customHeight="1">
      <c r="A2417" t="s">
        <v>107</v>
      </c>
      <c r="B2417" t="s">
        <v>108</v>
      </c>
      <c r="C2417">
        <v>24</v>
      </c>
      <c r="D2417">
        <v>6</v>
      </c>
      <c r="E2417">
        <v>2</v>
      </c>
      <c r="F2417">
        <v>1</v>
      </c>
      <c r="G2417" t="s">
        <v>120</v>
      </c>
      <c r="H2417" t="str">
        <f>IFERROR(ROUND(COUNTIFS(Tasks!$A:$A,$A2417,Tasks!$B:$B,$B2417,Tasks!$C:$C,$G2417,Tasks!$I:$I,"&lt;="&amp;INDEX(Weeks!$D:$D,MATCH($C2417,Weeks!$A:$A,0)),Tasks!$I:$I,"&lt;&gt;")/COUNTIFS(Tasks!$A:$A,$A2417,Tasks!$B:$B,$B2417,Tasks!$C:$C,$G2417)*100,0),"")</f>
        <v/>
      </c>
    </row>
    <row r="2418" spans="1:8" ht="15" hidden="1" customHeight="1">
      <c r="A2418" t="s">
        <v>107</v>
      </c>
      <c r="B2418" t="s">
        <v>108</v>
      </c>
      <c r="C2418">
        <v>25</v>
      </c>
      <c r="D2418">
        <v>6</v>
      </c>
      <c r="E2418">
        <v>3</v>
      </c>
      <c r="F2418">
        <v>1</v>
      </c>
      <c r="G2418" t="s">
        <v>120</v>
      </c>
      <c r="H2418" t="str">
        <f>IFERROR(ROUND(COUNTIFS(Tasks!$A:$A,$A2418,Tasks!$B:$B,$B2418,Tasks!$C:$C,$G2418,Tasks!$I:$I,"&lt;="&amp;INDEX(Weeks!$D:$D,MATCH($C2418,Weeks!$A:$A,0)),Tasks!$I:$I,"&lt;&gt;")/COUNTIFS(Tasks!$A:$A,$A2418,Tasks!$B:$B,$B2418,Tasks!$C:$C,$G2418)*100,0),"")</f>
        <v/>
      </c>
    </row>
    <row r="2419" spans="1:8" ht="15" hidden="1" customHeight="1">
      <c r="A2419" t="s">
        <v>107</v>
      </c>
      <c r="B2419" t="s">
        <v>108</v>
      </c>
      <c r="C2419">
        <v>26</v>
      </c>
      <c r="D2419">
        <v>6</v>
      </c>
      <c r="E2419">
        <v>4</v>
      </c>
      <c r="F2419">
        <v>1</v>
      </c>
      <c r="G2419" t="s">
        <v>120</v>
      </c>
      <c r="H2419" t="str">
        <f>IFERROR(ROUND(COUNTIFS(Tasks!$A:$A,$A2419,Tasks!$B:$B,$B2419,Tasks!$C:$C,$G2419,Tasks!$I:$I,"&lt;="&amp;INDEX(Weeks!$D:$D,MATCH($C2419,Weeks!$A:$A,0)),Tasks!$I:$I,"&lt;&gt;")/COUNTIFS(Tasks!$A:$A,$A2419,Tasks!$B:$B,$B2419,Tasks!$C:$C,$G2419)*100,0),"")</f>
        <v/>
      </c>
    </row>
    <row r="2420" spans="1:8" ht="15" hidden="1" customHeight="1">
      <c r="A2420" t="s">
        <v>107</v>
      </c>
      <c r="B2420" t="s">
        <v>108</v>
      </c>
      <c r="C2420">
        <v>27</v>
      </c>
      <c r="D2420">
        <v>7</v>
      </c>
      <c r="E2420">
        <v>1</v>
      </c>
      <c r="F2420">
        <v>1</v>
      </c>
      <c r="G2420" t="s">
        <v>120</v>
      </c>
      <c r="H2420" t="str">
        <f>IFERROR(ROUND(COUNTIFS(Tasks!$A:$A,$A2420,Tasks!$B:$B,$B2420,Tasks!$C:$C,$G2420,Tasks!$I:$I,"&lt;="&amp;INDEX(Weeks!$D:$D,MATCH($C2420,Weeks!$A:$A,0)),Tasks!$I:$I,"&lt;&gt;")/COUNTIFS(Tasks!$A:$A,$A2420,Tasks!$B:$B,$B2420,Tasks!$C:$C,$G2420)*100,0),"")</f>
        <v/>
      </c>
    </row>
    <row r="2421" spans="1:8" ht="15" hidden="1" customHeight="1">
      <c r="A2421" t="s">
        <v>107</v>
      </c>
      <c r="B2421" t="s">
        <v>108</v>
      </c>
      <c r="C2421">
        <v>28</v>
      </c>
      <c r="D2421">
        <v>7</v>
      </c>
      <c r="E2421">
        <v>2</v>
      </c>
      <c r="F2421">
        <v>1</v>
      </c>
      <c r="G2421" t="s">
        <v>120</v>
      </c>
      <c r="H2421" t="str">
        <f>IFERROR(ROUND(COUNTIFS(Tasks!$A:$A,$A2421,Tasks!$B:$B,$B2421,Tasks!$C:$C,$G2421,Tasks!$I:$I,"&lt;="&amp;INDEX(Weeks!$D:$D,MATCH($C2421,Weeks!$A:$A,0)),Tasks!$I:$I,"&lt;&gt;")/COUNTIFS(Tasks!$A:$A,$A2421,Tasks!$B:$B,$B2421,Tasks!$C:$C,$G2421)*100,0),"")</f>
        <v/>
      </c>
    </row>
    <row r="2422" spans="1:8" ht="15" hidden="1" customHeight="1">
      <c r="A2422" t="s">
        <v>107</v>
      </c>
      <c r="B2422" t="s">
        <v>108</v>
      </c>
      <c r="C2422">
        <v>29</v>
      </c>
      <c r="D2422">
        <v>7</v>
      </c>
      <c r="E2422">
        <v>3</v>
      </c>
      <c r="F2422">
        <v>1</v>
      </c>
      <c r="G2422" t="s">
        <v>120</v>
      </c>
      <c r="H2422" t="str">
        <f>IFERROR(ROUND(COUNTIFS(Tasks!$A:$A,$A2422,Tasks!$B:$B,$B2422,Tasks!$C:$C,$G2422,Tasks!$I:$I,"&lt;="&amp;INDEX(Weeks!$D:$D,MATCH($C2422,Weeks!$A:$A,0)),Tasks!$I:$I,"&lt;&gt;")/COUNTIFS(Tasks!$A:$A,$A2422,Tasks!$B:$B,$B2422,Tasks!$C:$C,$G2422)*100,0),"")</f>
        <v/>
      </c>
    </row>
    <row r="2423" spans="1:8" ht="15" hidden="1" customHeight="1">
      <c r="A2423" t="s">
        <v>107</v>
      </c>
      <c r="B2423" t="s">
        <v>108</v>
      </c>
      <c r="C2423">
        <v>30</v>
      </c>
      <c r="D2423">
        <v>7</v>
      </c>
      <c r="E2423">
        <v>4</v>
      </c>
      <c r="F2423">
        <v>1</v>
      </c>
      <c r="G2423" t="s">
        <v>120</v>
      </c>
      <c r="H2423" t="str">
        <f>IFERROR(ROUND(COUNTIFS(Tasks!$A:$A,$A2423,Tasks!$B:$B,$B2423,Tasks!$C:$C,$G2423,Tasks!$I:$I,"&lt;="&amp;INDEX(Weeks!$D:$D,MATCH($C2423,Weeks!$A:$A,0)),Tasks!$I:$I,"&lt;&gt;")/COUNTIFS(Tasks!$A:$A,$A2423,Tasks!$B:$B,$B2423,Tasks!$C:$C,$G2423)*100,0),"")</f>
        <v/>
      </c>
    </row>
    <row r="2424" spans="1:8" ht="15" hidden="1" customHeight="1">
      <c r="A2424" t="s">
        <v>107</v>
      </c>
      <c r="B2424" t="s">
        <v>108</v>
      </c>
      <c r="C2424">
        <v>31</v>
      </c>
      <c r="D2424">
        <v>8</v>
      </c>
      <c r="E2424">
        <v>1</v>
      </c>
      <c r="F2424">
        <v>1</v>
      </c>
      <c r="G2424" t="s">
        <v>120</v>
      </c>
      <c r="H2424" t="str">
        <f>IFERROR(ROUND(COUNTIFS(Tasks!$A:$A,$A2424,Tasks!$B:$B,$B2424,Tasks!$C:$C,$G2424,Tasks!$I:$I,"&lt;="&amp;INDEX(Weeks!$D:$D,MATCH($C2424,Weeks!$A:$A,0)),Tasks!$I:$I,"&lt;&gt;")/COUNTIFS(Tasks!$A:$A,$A2424,Tasks!$B:$B,$B2424,Tasks!$C:$C,$G2424)*100,0),"")</f>
        <v/>
      </c>
    </row>
    <row r="2425" spans="1:8" ht="15" hidden="1" customHeight="1">
      <c r="A2425" t="s">
        <v>107</v>
      </c>
      <c r="B2425" t="s">
        <v>108</v>
      </c>
      <c r="C2425">
        <v>32</v>
      </c>
      <c r="D2425">
        <v>8</v>
      </c>
      <c r="E2425">
        <v>2</v>
      </c>
      <c r="F2425">
        <v>1</v>
      </c>
      <c r="G2425" t="s">
        <v>120</v>
      </c>
      <c r="H2425" t="str">
        <f>IFERROR(ROUND(COUNTIFS(Tasks!$A:$A,$A2425,Tasks!$B:$B,$B2425,Tasks!$C:$C,$G2425,Tasks!$I:$I,"&lt;="&amp;INDEX(Weeks!$D:$D,MATCH($C2425,Weeks!$A:$A,0)),Tasks!$I:$I,"&lt;&gt;")/COUNTIFS(Tasks!$A:$A,$A2425,Tasks!$B:$B,$B2425,Tasks!$C:$C,$G2425)*100,0),"")</f>
        <v/>
      </c>
    </row>
    <row r="2426" spans="1:8" ht="15" hidden="1" customHeight="1">
      <c r="A2426" t="s">
        <v>107</v>
      </c>
      <c r="B2426" t="s">
        <v>108</v>
      </c>
      <c r="C2426">
        <v>33</v>
      </c>
      <c r="D2426">
        <v>8</v>
      </c>
      <c r="E2426">
        <v>3</v>
      </c>
      <c r="F2426">
        <v>1</v>
      </c>
      <c r="G2426" t="s">
        <v>120</v>
      </c>
      <c r="H2426" t="str">
        <f>IFERROR(ROUND(COUNTIFS(Tasks!$A:$A,$A2426,Tasks!$B:$B,$B2426,Tasks!$C:$C,$G2426,Tasks!$I:$I,"&lt;="&amp;INDEX(Weeks!$D:$D,MATCH($C2426,Weeks!$A:$A,0)),Tasks!$I:$I,"&lt;&gt;")/COUNTIFS(Tasks!$A:$A,$A2426,Tasks!$B:$B,$B2426,Tasks!$C:$C,$G2426)*100,0),"")</f>
        <v/>
      </c>
    </row>
    <row r="2427" spans="1:8" ht="15" hidden="1" customHeight="1">
      <c r="A2427" t="s">
        <v>107</v>
      </c>
      <c r="B2427" t="s">
        <v>108</v>
      </c>
      <c r="C2427">
        <v>34</v>
      </c>
      <c r="D2427">
        <v>8</v>
      </c>
      <c r="E2427">
        <v>4</v>
      </c>
      <c r="F2427">
        <v>1</v>
      </c>
      <c r="G2427" t="s">
        <v>120</v>
      </c>
      <c r="H2427" t="str">
        <f>IFERROR(ROUND(COUNTIFS(Tasks!$A:$A,$A2427,Tasks!$B:$B,$B2427,Tasks!$C:$C,$G2427,Tasks!$I:$I,"&lt;="&amp;INDEX(Weeks!$D:$D,MATCH($C2427,Weeks!$A:$A,0)),Tasks!$I:$I,"&lt;&gt;")/COUNTIFS(Tasks!$A:$A,$A2427,Tasks!$B:$B,$B2427,Tasks!$C:$C,$G2427)*100,0),"")</f>
        <v/>
      </c>
    </row>
    <row r="2428" spans="1:8" ht="15" hidden="1" customHeight="1">
      <c r="A2428" t="s">
        <v>107</v>
      </c>
      <c r="B2428" t="s">
        <v>108</v>
      </c>
      <c r="C2428">
        <v>35</v>
      </c>
      <c r="D2428">
        <v>8</v>
      </c>
      <c r="E2428">
        <v>5</v>
      </c>
      <c r="F2428">
        <v>1</v>
      </c>
      <c r="G2428" t="s">
        <v>120</v>
      </c>
      <c r="H2428" t="str">
        <f>IFERROR(ROUND(COUNTIFS(Tasks!$A:$A,$A2428,Tasks!$B:$B,$B2428,Tasks!$C:$C,$G2428,Tasks!$I:$I,"&lt;="&amp;INDEX(Weeks!$D:$D,MATCH($C2428,Weeks!$A:$A,0)),Tasks!$I:$I,"&lt;&gt;")/COUNTIFS(Tasks!$A:$A,$A2428,Tasks!$B:$B,$B2428,Tasks!$C:$C,$G2428)*100,0),"")</f>
        <v/>
      </c>
    </row>
    <row r="2429" spans="1:8" ht="15" hidden="1" customHeight="1">
      <c r="A2429" t="s">
        <v>107</v>
      </c>
      <c r="B2429" t="s">
        <v>108</v>
      </c>
      <c r="C2429">
        <v>36</v>
      </c>
      <c r="D2429">
        <v>9</v>
      </c>
      <c r="E2429">
        <v>1</v>
      </c>
      <c r="F2429">
        <v>1</v>
      </c>
      <c r="G2429" t="s">
        <v>120</v>
      </c>
      <c r="H2429" t="str">
        <f>IFERROR(ROUND(COUNTIFS(Tasks!$A:$A,$A2429,Tasks!$B:$B,$B2429,Tasks!$C:$C,$G2429,Tasks!$I:$I,"&lt;="&amp;INDEX(Weeks!$D:$D,MATCH($C2429,Weeks!$A:$A,0)),Tasks!$I:$I,"&lt;&gt;")/COUNTIFS(Tasks!$A:$A,$A2429,Tasks!$B:$B,$B2429,Tasks!$C:$C,$G2429)*100,0),"")</f>
        <v/>
      </c>
    </row>
    <row r="2430" spans="1:8" ht="15" hidden="1" customHeight="1">
      <c r="A2430" t="s">
        <v>107</v>
      </c>
      <c r="B2430" t="s">
        <v>108</v>
      </c>
      <c r="C2430">
        <v>37</v>
      </c>
      <c r="D2430">
        <v>9</v>
      </c>
      <c r="E2430">
        <v>2</v>
      </c>
      <c r="F2430">
        <v>1</v>
      </c>
      <c r="G2430" t="s">
        <v>120</v>
      </c>
      <c r="H2430" t="str">
        <f>IFERROR(ROUND(COUNTIFS(Tasks!$A:$A,$A2430,Tasks!$B:$B,$B2430,Tasks!$C:$C,$G2430,Tasks!$I:$I,"&lt;="&amp;INDEX(Weeks!$D:$D,MATCH($C2430,Weeks!$A:$A,0)),Tasks!$I:$I,"&lt;&gt;")/COUNTIFS(Tasks!$A:$A,$A2430,Tasks!$B:$B,$B2430,Tasks!$C:$C,$G2430)*100,0),"")</f>
        <v/>
      </c>
    </row>
    <row r="2431" spans="1:8" ht="15" hidden="1" customHeight="1">
      <c r="A2431" t="s">
        <v>107</v>
      </c>
      <c r="B2431" t="s">
        <v>108</v>
      </c>
      <c r="C2431">
        <v>38</v>
      </c>
      <c r="D2431">
        <v>9</v>
      </c>
      <c r="E2431">
        <v>3</v>
      </c>
      <c r="F2431">
        <v>1</v>
      </c>
      <c r="G2431" t="s">
        <v>120</v>
      </c>
      <c r="H2431" t="str">
        <f>IFERROR(ROUND(COUNTIFS(Tasks!$A:$A,$A2431,Tasks!$B:$B,$B2431,Tasks!$C:$C,$G2431,Tasks!$I:$I,"&lt;="&amp;INDEX(Weeks!$D:$D,MATCH($C2431,Weeks!$A:$A,0)),Tasks!$I:$I,"&lt;&gt;")/COUNTIFS(Tasks!$A:$A,$A2431,Tasks!$B:$B,$B2431,Tasks!$C:$C,$G2431)*100,0),"")</f>
        <v/>
      </c>
    </row>
    <row r="2432" spans="1:8" ht="15" hidden="1" customHeight="1">
      <c r="A2432" t="s">
        <v>107</v>
      </c>
      <c r="B2432" t="s">
        <v>108</v>
      </c>
      <c r="C2432">
        <v>39</v>
      </c>
      <c r="D2432">
        <v>9</v>
      </c>
      <c r="E2432">
        <v>4</v>
      </c>
      <c r="F2432">
        <v>1</v>
      </c>
      <c r="G2432" t="s">
        <v>120</v>
      </c>
      <c r="H2432" t="str">
        <f>IFERROR(ROUND(COUNTIFS(Tasks!$A:$A,$A2432,Tasks!$B:$B,$B2432,Tasks!$C:$C,$G2432,Tasks!$I:$I,"&lt;="&amp;INDEX(Weeks!$D:$D,MATCH($C2432,Weeks!$A:$A,0)),Tasks!$I:$I,"&lt;&gt;")/COUNTIFS(Tasks!$A:$A,$A2432,Tasks!$B:$B,$B2432,Tasks!$C:$C,$G2432)*100,0),"")</f>
        <v/>
      </c>
    </row>
    <row r="2433" spans="1:8" ht="15" hidden="1" customHeight="1">
      <c r="A2433" t="s">
        <v>107</v>
      </c>
      <c r="B2433" t="s">
        <v>108</v>
      </c>
      <c r="C2433">
        <v>40</v>
      </c>
      <c r="D2433">
        <v>10</v>
      </c>
      <c r="E2433">
        <v>1</v>
      </c>
      <c r="F2433">
        <v>1</v>
      </c>
      <c r="G2433" t="s">
        <v>120</v>
      </c>
      <c r="H2433" t="str">
        <f>IFERROR(ROUND(COUNTIFS(Tasks!$A:$A,$A2433,Tasks!$B:$B,$B2433,Tasks!$C:$C,$G2433,Tasks!$I:$I,"&lt;="&amp;INDEX(Weeks!$D:$D,MATCH($C2433,Weeks!$A:$A,0)),Tasks!$I:$I,"&lt;&gt;")/COUNTIFS(Tasks!$A:$A,$A2433,Tasks!$B:$B,$B2433,Tasks!$C:$C,$G2433)*100,0),"")</f>
        <v/>
      </c>
    </row>
    <row r="2434" spans="1:8" ht="15" hidden="1" customHeight="1">
      <c r="A2434" t="s">
        <v>107</v>
      </c>
      <c r="B2434" t="s">
        <v>108</v>
      </c>
      <c r="C2434">
        <v>41</v>
      </c>
      <c r="D2434">
        <v>10</v>
      </c>
      <c r="E2434">
        <v>2</v>
      </c>
      <c r="F2434">
        <v>1</v>
      </c>
      <c r="G2434" t="s">
        <v>120</v>
      </c>
      <c r="H2434" t="str">
        <f>IFERROR(ROUND(COUNTIFS(Tasks!$A:$A,$A2434,Tasks!$B:$B,$B2434,Tasks!$C:$C,$G2434,Tasks!$I:$I,"&lt;="&amp;INDEX(Weeks!$D:$D,MATCH($C2434,Weeks!$A:$A,0)),Tasks!$I:$I,"&lt;&gt;")/COUNTIFS(Tasks!$A:$A,$A2434,Tasks!$B:$B,$B2434,Tasks!$C:$C,$G2434)*100,0),"")</f>
        <v/>
      </c>
    </row>
    <row r="2435" spans="1:8" ht="15" hidden="1" customHeight="1">
      <c r="A2435" t="s">
        <v>107</v>
      </c>
      <c r="B2435" t="s">
        <v>108</v>
      </c>
      <c r="C2435">
        <v>42</v>
      </c>
      <c r="D2435">
        <v>10</v>
      </c>
      <c r="E2435">
        <v>3</v>
      </c>
      <c r="F2435">
        <v>1</v>
      </c>
      <c r="G2435" t="s">
        <v>120</v>
      </c>
      <c r="H2435" t="str">
        <f>IFERROR(ROUND(COUNTIFS(Tasks!$A:$A,$A2435,Tasks!$B:$B,$B2435,Tasks!$C:$C,$G2435,Tasks!$I:$I,"&lt;="&amp;INDEX(Weeks!$D:$D,MATCH($C2435,Weeks!$A:$A,0)),Tasks!$I:$I,"&lt;&gt;")/COUNTIFS(Tasks!$A:$A,$A2435,Tasks!$B:$B,$B2435,Tasks!$C:$C,$G2435)*100,0),"")</f>
        <v/>
      </c>
    </row>
    <row r="2436" spans="1:8" ht="15" hidden="1" customHeight="1">
      <c r="A2436" t="s">
        <v>107</v>
      </c>
      <c r="B2436" t="s">
        <v>108</v>
      </c>
      <c r="C2436">
        <v>43</v>
      </c>
      <c r="D2436">
        <v>10</v>
      </c>
      <c r="E2436">
        <v>4</v>
      </c>
      <c r="F2436">
        <v>1</v>
      </c>
      <c r="G2436" t="s">
        <v>120</v>
      </c>
      <c r="H2436" t="str">
        <f>IFERROR(ROUND(COUNTIFS(Tasks!$A:$A,$A2436,Tasks!$B:$B,$B2436,Tasks!$C:$C,$G2436,Tasks!$I:$I,"&lt;="&amp;INDEX(Weeks!$D:$D,MATCH($C2436,Weeks!$A:$A,0)),Tasks!$I:$I,"&lt;&gt;")/COUNTIFS(Tasks!$A:$A,$A2436,Tasks!$B:$B,$B2436,Tasks!$C:$C,$G2436)*100,0),"")</f>
        <v/>
      </c>
    </row>
    <row r="2437" spans="1:8" ht="15" hidden="1" customHeight="1">
      <c r="A2437" t="s">
        <v>107</v>
      </c>
      <c r="B2437" t="s">
        <v>108</v>
      </c>
      <c r="C2437">
        <v>44</v>
      </c>
      <c r="D2437">
        <v>10</v>
      </c>
      <c r="E2437">
        <v>5</v>
      </c>
      <c r="F2437">
        <v>1</v>
      </c>
      <c r="G2437" t="s">
        <v>120</v>
      </c>
      <c r="H2437" t="str">
        <f>IFERROR(ROUND(COUNTIFS(Tasks!$A:$A,$A2437,Tasks!$B:$B,$B2437,Tasks!$C:$C,$G2437,Tasks!$I:$I,"&lt;="&amp;INDEX(Weeks!$D:$D,MATCH($C2437,Weeks!$A:$A,0)),Tasks!$I:$I,"&lt;&gt;")/COUNTIFS(Tasks!$A:$A,$A2437,Tasks!$B:$B,$B2437,Tasks!$C:$C,$G2437)*100,0),"")</f>
        <v/>
      </c>
    </row>
    <row r="2438" spans="1:8" ht="15" hidden="1" customHeight="1">
      <c r="A2438" t="s">
        <v>107</v>
      </c>
      <c r="B2438" t="s">
        <v>108</v>
      </c>
      <c r="C2438">
        <v>45</v>
      </c>
      <c r="D2438">
        <v>11</v>
      </c>
      <c r="E2438">
        <v>1</v>
      </c>
      <c r="F2438">
        <v>1</v>
      </c>
      <c r="G2438" t="s">
        <v>120</v>
      </c>
      <c r="H2438" t="str">
        <f>IFERROR(ROUND(COUNTIFS(Tasks!$A:$A,$A2438,Tasks!$B:$B,$B2438,Tasks!$C:$C,$G2438,Tasks!$I:$I,"&lt;="&amp;INDEX(Weeks!$D:$D,MATCH($C2438,Weeks!$A:$A,0)),Tasks!$I:$I,"&lt;&gt;")/COUNTIFS(Tasks!$A:$A,$A2438,Tasks!$B:$B,$B2438,Tasks!$C:$C,$G2438)*100,0),"")</f>
        <v/>
      </c>
    </row>
    <row r="2439" spans="1:8" ht="15" hidden="1" customHeight="1">
      <c r="A2439" t="s">
        <v>107</v>
      </c>
      <c r="B2439" t="s">
        <v>108</v>
      </c>
      <c r="C2439">
        <v>46</v>
      </c>
      <c r="D2439">
        <v>11</v>
      </c>
      <c r="E2439">
        <v>2</v>
      </c>
      <c r="F2439">
        <v>1</v>
      </c>
      <c r="G2439" t="s">
        <v>120</v>
      </c>
      <c r="H2439" t="str">
        <f>IFERROR(ROUND(COUNTIFS(Tasks!$A:$A,$A2439,Tasks!$B:$B,$B2439,Tasks!$C:$C,$G2439,Tasks!$I:$I,"&lt;="&amp;INDEX(Weeks!$D:$D,MATCH($C2439,Weeks!$A:$A,0)),Tasks!$I:$I,"&lt;&gt;")/COUNTIFS(Tasks!$A:$A,$A2439,Tasks!$B:$B,$B2439,Tasks!$C:$C,$G2439)*100,0),"")</f>
        <v/>
      </c>
    </row>
    <row r="2440" spans="1:8" ht="15" hidden="1" customHeight="1">
      <c r="A2440" t="s">
        <v>107</v>
      </c>
      <c r="B2440" t="s">
        <v>108</v>
      </c>
      <c r="C2440">
        <v>47</v>
      </c>
      <c r="D2440">
        <v>11</v>
      </c>
      <c r="E2440">
        <v>3</v>
      </c>
      <c r="F2440">
        <v>1</v>
      </c>
      <c r="G2440" t="s">
        <v>120</v>
      </c>
      <c r="H2440" t="str">
        <f>IFERROR(ROUND(COUNTIFS(Tasks!$A:$A,$A2440,Tasks!$B:$B,$B2440,Tasks!$C:$C,$G2440,Tasks!$I:$I,"&lt;="&amp;INDEX(Weeks!$D:$D,MATCH($C2440,Weeks!$A:$A,0)),Tasks!$I:$I,"&lt;&gt;")/COUNTIFS(Tasks!$A:$A,$A2440,Tasks!$B:$B,$B2440,Tasks!$C:$C,$G2440)*100,0),"")</f>
        <v/>
      </c>
    </row>
    <row r="2441" spans="1:8" ht="15" hidden="1" customHeight="1">
      <c r="A2441" t="s">
        <v>107</v>
      </c>
      <c r="B2441" t="s">
        <v>108</v>
      </c>
      <c r="C2441">
        <v>48</v>
      </c>
      <c r="D2441">
        <v>11</v>
      </c>
      <c r="E2441">
        <v>4</v>
      </c>
      <c r="F2441">
        <v>1</v>
      </c>
      <c r="G2441" t="s">
        <v>120</v>
      </c>
      <c r="H2441" t="str">
        <f>IFERROR(ROUND(COUNTIFS(Tasks!$A:$A,$A2441,Tasks!$B:$B,$B2441,Tasks!$C:$C,$G2441,Tasks!$I:$I,"&lt;="&amp;INDEX(Weeks!$D:$D,MATCH($C2441,Weeks!$A:$A,0)),Tasks!$I:$I,"&lt;&gt;")/COUNTIFS(Tasks!$A:$A,$A2441,Tasks!$B:$B,$B2441,Tasks!$C:$C,$G2441)*100,0),"")</f>
        <v/>
      </c>
    </row>
    <row r="2442" spans="1:8" ht="15" hidden="1" customHeight="1">
      <c r="A2442" t="s">
        <v>107</v>
      </c>
      <c r="B2442" t="s">
        <v>108</v>
      </c>
      <c r="C2442">
        <v>49</v>
      </c>
      <c r="D2442">
        <v>12</v>
      </c>
      <c r="E2442">
        <v>1</v>
      </c>
      <c r="F2442">
        <v>1</v>
      </c>
      <c r="G2442" t="s">
        <v>120</v>
      </c>
      <c r="H2442" t="str">
        <f>IFERROR(ROUND(COUNTIFS(Tasks!$A:$A,$A2442,Tasks!$B:$B,$B2442,Tasks!$C:$C,$G2442,Tasks!$I:$I,"&lt;="&amp;INDEX(Weeks!$D:$D,MATCH($C2442,Weeks!$A:$A,0)),Tasks!$I:$I,"&lt;&gt;")/COUNTIFS(Tasks!$A:$A,$A2442,Tasks!$B:$B,$B2442,Tasks!$C:$C,$G2442)*100,0),"")</f>
        <v/>
      </c>
    </row>
    <row r="2443" spans="1:8" ht="15" hidden="1" customHeight="1">
      <c r="A2443" t="s">
        <v>107</v>
      </c>
      <c r="B2443" t="s">
        <v>108</v>
      </c>
      <c r="C2443">
        <v>50</v>
      </c>
      <c r="D2443">
        <v>12</v>
      </c>
      <c r="E2443">
        <v>2</v>
      </c>
      <c r="F2443">
        <v>1</v>
      </c>
      <c r="G2443" t="s">
        <v>120</v>
      </c>
      <c r="H2443" t="str">
        <f>IFERROR(ROUND(COUNTIFS(Tasks!$A:$A,$A2443,Tasks!$B:$B,$B2443,Tasks!$C:$C,$G2443,Tasks!$I:$I,"&lt;="&amp;INDEX(Weeks!$D:$D,MATCH($C2443,Weeks!$A:$A,0)),Tasks!$I:$I,"&lt;&gt;")/COUNTIFS(Tasks!$A:$A,$A2443,Tasks!$B:$B,$B2443,Tasks!$C:$C,$G2443)*100,0),"")</f>
        <v/>
      </c>
    </row>
    <row r="2444" spans="1:8" ht="15" hidden="1" customHeight="1">
      <c r="A2444" t="s">
        <v>107</v>
      </c>
      <c r="B2444" t="s">
        <v>108</v>
      </c>
      <c r="C2444">
        <v>51</v>
      </c>
      <c r="D2444">
        <v>12</v>
      </c>
      <c r="E2444">
        <v>3</v>
      </c>
      <c r="F2444">
        <v>1</v>
      </c>
      <c r="G2444" t="s">
        <v>120</v>
      </c>
      <c r="H2444" t="str">
        <f>IFERROR(ROUND(COUNTIFS(Tasks!$A:$A,$A2444,Tasks!$B:$B,$B2444,Tasks!$C:$C,$G2444,Tasks!$I:$I,"&lt;="&amp;INDEX(Weeks!$D:$D,MATCH($C2444,Weeks!$A:$A,0)),Tasks!$I:$I,"&lt;&gt;")/COUNTIFS(Tasks!$A:$A,$A2444,Tasks!$B:$B,$B2444,Tasks!$C:$C,$G2444)*100,0),"")</f>
        <v/>
      </c>
    </row>
    <row r="2445" spans="1:8" ht="15" hidden="1" customHeight="1">
      <c r="A2445" t="s">
        <v>107</v>
      </c>
      <c r="B2445" t="s">
        <v>108</v>
      </c>
      <c r="C2445">
        <v>52</v>
      </c>
      <c r="D2445">
        <v>12</v>
      </c>
      <c r="E2445">
        <v>4</v>
      </c>
      <c r="F2445">
        <v>1</v>
      </c>
      <c r="G2445" t="s">
        <v>120</v>
      </c>
      <c r="H2445" t="str">
        <f>IFERROR(ROUND(COUNTIFS(Tasks!$A:$A,$A2445,Tasks!$B:$B,$B2445,Tasks!$C:$C,$G2445,Tasks!$I:$I,"&lt;="&amp;INDEX(Weeks!$D:$D,MATCH($C2445,Weeks!$A:$A,0)),Tasks!$I:$I,"&lt;&gt;")/COUNTIFS(Tasks!$A:$A,$A2445,Tasks!$B:$B,$B2445,Tasks!$C:$C,$G2445)*100,0),"")</f>
        <v/>
      </c>
    </row>
    <row r="2446" spans="1:8" ht="15" hidden="1" customHeight="1">
      <c r="A2446" t="s">
        <v>107</v>
      </c>
      <c r="B2446" t="s">
        <v>108</v>
      </c>
      <c r="C2446">
        <v>1</v>
      </c>
      <c r="D2446">
        <v>1</v>
      </c>
      <c r="E2446">
        <v>1</v>
      </c>
      <c r="F2446">
        <v>2</v>
      </c>
      <c r="G2446" t="s">
        <v>121</v>
      </c>
      <c r="H2446" t="str">
        <f>IFERROR(ROUND(COUNTIFS(Tasks!$A:$A,$A2446,Tasks!$B:$B,$B2446,Tasks!$C:$C,$G2446,Tasks!$I:$I,"&lt;="&amp;INDEX(Weeks!$D:$D,MATCH($C2446,Weeks!$A:$A,0)),Tasks!$I:$I,"&lt;&gt;")/COUNTIFS(Tasks!$A:$A,$A2446,Tasks!$B:$B,$B2446,Tasks!$C:$C,$G2446)*100,0),"")</f>
        <v/>
      </c>
    </row>
    <row r="2447" spans="1:8" ht="15" hidden="1" customHeight="1">
      <c r="A2447" t="s">
        <v>107</v>
      </c>
      <c r="B2447" t="s">
        <v>108</v>
      </c>
      <c r="C2447">
        <v>2</v>
      </c>
      <c r="D2447">
        <v>1</v>
      </c>
      <c r="E2447">
        <v>2</v>
      </c>
      <c r="F2447">
        <v>2</v>
      </c>
      <c r="G2447" t="s">
        <v>121</v>
      </c>
      <c r="H2447" t="str">
        <f>IFERROR(ROUND(COUNTIFS(Tasks!$A:$A,$A2447,Tasks!$B:$B,$B2447,Tasks!$C:$C,$G2447,Tasks!$I:$I,"&lt;="&amp;INDEX(Weeks!$D:$D,MATCH($C2447,Weeks!$A:$A,0)),Tasks!$I:$I,"&lt;&gt;")/COUNTIFS(Tasks!$A:$A,$A2447,Tasks!$B:$B,$B2447,Tasks!$C:$C,$G2447)*100,0),"")</f>
        <v/>
      </c>
    </row>
    <row r="2448" spans="1:8" ht="15" hidden="1" customHeight="1">
      <c r="A2448" t="s">
        <v>107</v>
      </c>
      <c r="B2448" t="s">
        <v>108</v>
      </c>
      <c r="C2448">
        <v>3</v>
      </c>
      <c r="D2448">
        <v>1</v>
      </c>
      <c r="E2448">
        <v>3</v>
      </c>
      <c r="F2448">
        <v>2</v>
      </c>
      <c r="G2448" t="s">
        <v>121</v>
      </c>
      <c r="H2448" t="str">
        <f>IFERROR(ROUND(COUNTIFS(Tasks!$A:$A,$A2448,Tasks!$B:$B,$B2448,Tasks!$C:$C,$G2448,Tasks!$I:$I,"&lt;="&amp;INDEX(Weeks!$D:$D,MATCH($C2448,Weeks!$A:$A,0)),Tasks!$I:$I,"&lt;&gt;")/COUNTIFS(Tasks!$A:$A,$A2448,Tasks!$B:$B,$B2448,Tasks!$C:$C,$G2448)*100,0),"")</f>
        <v/>
      </c>
    </row>
    <row r="2449" spans="1:8" ht="15" hidden="1" customHeight="1">
      <c r="A2449" t="s">
        <v>107</v>
      </c>
      <c r="B2449" t="s">
        <v>108</v>
      </c>
      <c r="C2449">
        <v>4</v>
      </c>
      <c r="D2449">
        <v>1</v>
      </c>
      <c r="E2449">
        <v>4</v>
      </c>
      <c r="F2449">
        <v>2</v>
      </c>
      <c r="G2449" t="s">
        <v>121</v>
      </c>
      <c r="H2449" t="str">
        <f>IFERROR(ROUND(COUNTIFS(Tasks!$A:$A,$A2449,Tasks!$B:$B,$B2449,Tasks!$C:$C,$G2449,Tasks!$I:$I,"&lt;="&amp;INDEX(Weeks!$D:$D,MATCH($C2449,Weeks!$A:$A,0)),Tasks!$I:$I,"&lt;&gt;")/COUNTIFS(Tasks!$A:$A,$A2449,Tasks!$B:$B,$B2449,Tasks!$C:$C,$G2449)*100,0),"")</f>
        <v/>
      </c>
    </row>
    <row r="2450" spans="1:8" ht="15" hidden="1" customHeight="1">
      <c r="A2450" t="s">
        <v>107</v>
      </c>
      <c r="B2450" t="s">
        <v>108</v>
      </c>
      <c r="C2450">
        <v>5</v>
      </c>
      <c r="D2450">
        <v>1</v>
      </c>
      <c r="E2450">
        <v>5</v>
      </c>
      <c r="F2450">
        <v>2</v>
      </c>
      <c r="G2450" t="s">
        <v>121</v>
      </c>
      <c r="H2450" t="str">
        <f>IFERROR(ROUND(COUNTIFS(Tasks!$A:$A,$A2450,Tasks!$B:$B,$B2450,Tasks!$C:$C,$G2450,Tasks!$I:$I,"&lt;="&amp;INDEX(Weeks!$D:$D,MATCH($C2450,Weeks!$A:$A,0)),Tasks!$I:$I,"&lt;&gt;")/COUNTIFS(Tasks!$A:$A,$A2450,Tasks!$B:$B,$B2450,Tasks!$C:$C,$G2450)*100,0),"")</f>
        <v/>
      </c>
    </row>
    <row r="2451" spans="1:8" ht="15" hidden="1" customHeight="1">
      <c r="A2451" t="s">
        <v>107</v>
      </c>
      <c r="B2451" t="s">
        <v>108</v>
      </c>
      <c r="C2451">
        <v>6</v>
      </c>
      <c r="D2451">
        <v>2</v>
      </c>
      <c r="E2451">
        <v>1</v>
      </c>
      <c r="F2451">
        <v>2</v>
      </c>
      <c r="G2451" t="s">
        <v>121</v>
      </c>
      <c r="H2451" t="str">
        <f>IFERROR(ROUND(COUNTIFS(Tasks!$A:$A,$A2451,Tasks!$B:$B,$B2451,Tasks!$C:$C,$G2451,Tasks!$I:$I,"&lt;="&amp;INDEX(Weeks!$D:$D,MATCH($C2451,Weeks!$A:$A,0)),Tasks!$I:$I,"&lt;&gt;")/COUNTIFS(Tasks!$A:$A,$A2451,Tasks!$B:$B,$B2451,Tasks!$C:$C,$G2451)*100,0),"")</f>
        <v/>
      </c>
    </row>
    <row r="2452" spans="1:8" ht="15" hidden="1" customHeight="1">
      <c r="A2452" t="s">
        <v>107</v>
      </c>
      <c r="B2452" t="s">
        <v>108</v>
      </c>
      <c r="C2452">
        <v>7</v>
      </c>
      <c r="D2452">
        <v>2</v>
      </c>
      <c r="E2452">
        <v>2</v>
      </c>
      <c r="F2452">
        <v>2</v>
      </c>
      <c r="G2452" t="s">
        <v>121</v>
      </c>
      <c r="H2452" t="str">
        <f>IFERROR(ROUND(COUNTIFS(Tasks!$A:$A,$A2452,Tasks!$B:$B,$B2452,Tasks!$C:$C,$G2452,Tasks!$I:$I,"&lt;="&amp;INDEX(Weeks!$D:$D,MATCH($C2452,Weeks!$A:$A,0)),Tasks!$I:$I,"&lt;&gt;")/COUNTIFS(Tasks!$A:$A,$A2452,Tasks!$B:$B,$B2452,Tasks!$C:$C,$G2452)*100,0),"")</f>
        <v/>
      </c>
    </row>
    <row r="2453" spans="1:8" ht="15" hidden="1" customHeight="1">
      <c r="A2453" t="s">
        <v>107</v>
      </c>
      <c r="B2453" t="s">
        <v>108</v>
      </c>
      <c r="C2453">
        <v>8</v>
      </c>
      <c r="D2453">
        <v>2</v>
      </c>
      <c r="E2453">
        <v>3</v>
      </c>
      <c r="F2453">
        <v>2</v>
      </c>
      <c r="G2453" t="s">
        <v>121</v>
      </c>
      <c r="H2453" t="str">
        <f>IFERROR(ROUND(COUNTIFS(Tasks!$A:$A,$A2453,Tasks!$B:$B,$B2453,Tasks!$C:$C,$G2453,Tasks!$I:$I,"&lt;="&amp;INDEX(Weeks!$D:$D,MATCH($C2453,Weeks!$A:$A,0)),Tasks!$I:$I,"&lt;&gt;")/COUNTIFS(Tasks!$A:$A,$A2453,Tasks!$B:$B,$B2453,Tasks!$C:$C,$G2453)*100,0),"")</f>
        <v/>
      </c>
    </row>
    <row r="2454" spans="1:8" ht="15" hidden="1" customHeight="1">
      <c r="A2454" t="s">
        <v>107</v>
      </c>
      <c r="B2454" t="s">
        <v>108</v>
      </c>
      <c r="C2454">
        <v>9</v>
      </c>
      <c r="D2454">
        <v>2</v>
      </c>
      <c r="E2454">
        <v>4</v>
      </c>
      <c r="F2454">
        <v>2</v>
      </c>
      <c r="G2454" t="s">
        <v>121</v>
      </c>
      <c r="H2454" t="str">
        <f>IFERROR(ROUND(COUNTIFS(Tasks!$A:$A,$A2454,Tasks!$B:$B,$B2454,Tasks!$C:$C,$G2454,Tasks!$I:$I,"&lt;="&amp;INDEX(Weeks!$D:$D,MATCH($C2454,Weeks!$A:$A,0)),Tasks!$I:$I,"&lt;&gt;")/COUNTIFS(Tasks!$A:$A,$A2454,Tasks!$B:$B,$B2454,Tasks!$C:$C,$G2454)*100,0),"")</f>
        <v/>
      </c>
    </row>
    <row r="2455" spans="1:8" ht="15" hidden="1" customHeight="1">
      <c r="A2455" t="s">
        <v>107</v>
      </c>
      <c r="B2455" t="s">
        <v>108</v>
      </c>
      <c r="C2455">
        <v>10</v>
      </c>
      <c r="D2455">
        <v>3</v>
      </c>
      <c r="E2455">
        <v>1</v>
      </c>
      <c r="F2455">
        <v>2</v>
      </c>
      <c r="G2455" t="s">
        <v>121</v>
      </c>
      <c r="H2455" t="str">
        <f>IFERROR(ROUND(COUNTIFS(Tasks!$A:$A,$A2455,Tasks!$B:$B,$B2455,Tasks!$C:$C,$G2455,Tasks!$I:$I,"&lt;="&amp;INDEX(Weeks!$D:$D,MATCH($C2455,Weeks!$A:$A,0)),Tasks!$I:$I,"&lt;&gt;")/COUNTIFS(Tasks!$A:$A,$A2455,Tasks!$B:$B,$B2455,Tasks!$C:$C,$G2455)*100,0),"")</f>
        <v/>
      </c>
    </row>
    <row r="2456" spans="1:8" ht="15" hidden="1" customHeight="1">
      <c r="A2456" t="s">
        <v>107</v>
      </c>
      <c r="B2456" t="s">
        <v>108</v>
      </c>
      <c r="C2456">
        <v>11</v>
      </c>
      <c r="D2456">
        <v>3</v>
      </c>
      <c r="E2456">
        <v>2</v>
      </c>
      <c r="F2456">
        <v>2</v>
      </c>
      <c r="G2456" t="s">
        <v>121</v>
      </c>
      <c r="H2456" t="str">
        <f>IFERROR(ROUND(COUNTIFS(Tasks!$A:$A,$A2456,Tasks!$B:$B,$B2456,Tasks!$C:$C,$G2456,Tasks!$I:$I,"&lt;="&amp;INDEX(Weeks!$D:$D,MATCH($C2456,Weeks!$A:$A,0)),Tasks!$I:$I,"&lt;&gt;")/COUNTIFS(Tasks!$A:$A,$A2456,Tasks!$B:$B,$B2456,Tasks!$C:$C,$G2456)*100,0),"")</f>
        <v/>
      </c>
    </row>
    <row r="2457" spans="1:8" ht="15" hidden="1" customHeight="1">
      <c r="A2457" t="s">
        <v>107</v>
      </c>
      <c r="B2457" t="s">
        <v>108</v>
      </c>
      <c r="C2457">
        <v>12</v>
      </c>
      <c r="D2457">
        <v>3</v>
      </c>
      <c r="E2457">
        <v>3</v>
      </c>
      <c r="F2457">
        <v>2</v>
      </c>
      <c r="G2457" t="s">
        <v>121</v>
      </c>
      <c r="H2457" t="str">
        <f>IFERROR(ROUND(COUNTIFS(Tasks!$A:$A,$A2457,Tasks!$B:$B,$B2457,Tasks!$C:$C,$G2457,Tasks!$I:$I,"&lt;="&amp;INDEX(Weeks!$D:$D,MATCH($C2457,Weeks!$A:$A,0)),Tasks!$I:$I,"&lt;&gt;")/COUNTIFS(Tasks!$A:$A,$A2457,Tasks!$B:$B,$B2457,Tasks!$C:$C,$G2457)*100,0),"")</f>
        <v/>
      </c>
    </row>
    <row r="2458" spans="1:8" ht="15" hidden="1" customHeight="1">
      <c r="A2458" t="s">
        <v>107</v>
      </c>
      <c r="B2458" t="s">
        <v>108</v>
      </c>
      <c r="C2458">
        <v>13</v>
      </c>
      <c r="D2458">
        <v>3</v>
      </c>
      <c r="E2458">
        <v>4</v>
      </c>
      <c r="F2458">
        <v>2</v>
      </c>
      <c r="G2458" t="s">
        <v>121</v>
      </c>
      <c r="H2458" t="str">
        <f>IFERROR(ROUND(COUNTIFS(Tasks!$A:$A,$A2458,Tasks!$B:$B,$B2458,Tasks!$C:$C,$G2458,Tasks!$I:$I,"&lt;="&amp;INDEX(Weeks!$D:$D,MATCH($C2458,Weeks!$A:$A,0)),Tasks!$I:$I,"&lt;&gt;")/COUNTIFS(Tasks!$A:$A,$A2458,Tasks!$B:$B,$B2458,Tasks!$C:$C,$G2458)*100,0),"")</f>
        <v/>
      </c>
    </row>
    <row r="2459" spans="1:8" ht="15" hidden="1" customHeight="1">
      <c r="A2459" t="s">
        <v>107</v>
      </c>
      <c r="B2459" t="s">
        <v>108</v>
      </c>
      <c r="C2459">
        <v>14</v>
      </c>
      <c r="D2459">
        <v>4</v>
      </c>
      <c r="E2459">
        <v>1</v>
      </c>
      <c r="F2459">
        <v>2</v>
      </c>
      <c r="G2459" t="s">
        <v>121</v>
      </c>
      <c r="H2459" t="str">
        <f>IFERROR(ROUND(COUNTIFS(Tasks!$A:$A,$A2459,Tasks!$B:$B,$B2459,Tasks!$C:$C,$G2459,Tasks!$I:$I,"&lt;="&amp;INDEX(Weeks!$D:$D,MATCH($C2459,Weeks!$A:$A,0)),Tasks!$I:$I,"&lt;&gt;")/COUNTIFS(Tasks!$A:$A,$A2459,Tasks!$B:$B,$B2459,Tasks!$C:$C,$G2459)*100,0),"")</f>
        <v/>
      </c>
    </row>
    <row r="2460" spans="1:8" ht="15" hidden="1" customHeight="1">
      <c r="A2460" t="s">
        <v>107</v>
      </c>
      <c r="B2460" t="s">
        <v>108</v>
      </c>
      <c r="C2460">
        <v>15</v>
      </c>
      <c r="D2460">
        <v>4</v>
      </c>
      <c r="E2460">
        <v>2</v>
      </c>
      <c r="F2460">
        <v>2</v>
      </c>
      <c r="G2460" t="s">
        <v>121</v>
      </c>
      <c r="H2460" t="str">
        <f>IFERROR(ROUND(COUNTIFS(Tasks!$A:$A,$A2460,Tasks!$B:$B,$B2460,Tasks!$C:$C,$G2460,Tasks!$I:$I,"&lt;="&amp;INDEX(Weeks!$D:$D,MATCH($C2460,Weeks!$A:$A,0)),Tasks!$I:$I,"&lt;&gt;")/COUNTIFS(Tasks!$A:$A,$A2460,Tasks!$B:$B,$B2460,Tasks!$C:$C,$G2460)*100,0),"")</f>
        <v/>
      </c>
    </row>
    <row r="2461" spans="1:8" ht="15" hidden="1" customHeight="1">
      <c r="A2461" t="s">
        <v>107</v>
      </c>
      <c r="B2461" t="s">
        <v>108</v>
      </c>
      <c r="C2461">
        <v>16</v>
      </c>
      <c r="D2461">
        <v>4</v>
      </c>
      <c r="E2461">
        <v>3</v>
      </c>
      <c r="F2461">
        <v>2</v>
      </c>
      <c r="G2461" t="s">
        <v>121</v>
      </c>
      <c r="H2461" t="str">
        <f>IFERROR(ROUND(COUNTIFS(Tasks!$A:$A,$A2461,Tasks!$B:$B,$B2461,Tasks!$C:$C,$G2461,Tasks!$I:$I,"&lt;="&amp;INDEX(Weeks!$D:$D,MATCH($C2461,Weeks!$A:$A,0)),Tasks!$I:$I,"&lt;&gt;")/COUNTIFS(Tasks!$A:$A,$A2461,Tasks!$B:$B,$B2461,Tasks!$C:$C,$G2461)*100,0),"")</f>
        <v/>
      </c>
    </row>
    <row r="2462" spans="1:8" ht="15" hidden="1" customHeight="1">
      <c r="A2462" t="s">
        <v>107</v>
      </c>
      <c r="B2462" t="s">
        <v>108</v>
      </c>
      <c r="C2462">
        <v>17</v>
      </c>
      <c r="D2462">
        <v>4</v>
      </c>
      <c r="E2462">
        <v>4</v>
      </c>
      <c r="F2462">
        <v>2</v>
      </c>
      <c r="G2462" t="s">
        <v>121</v>
      </c>
      <c r="H2462" t="str">
        <f>IFERROR(ROUND(COUNTIFS(Tasks!$A:$A,$A2462,Tasks!$B:$B,$B2462,Tasks!$C:$C,$G2462,Tasks!$I:$I,"&lt;="&amp;INDEX(Weeks!$D:$D,MATCH($C2462,Weeks!$A:$A,0)),Tasks!$I:$I,"&lt;&gt;")/COUNTIFS(Tasks!$A:$A,$A2462,Tasks!$B:$B,$B2462,Tasks!$C:$C,$G2462)*100,0),"")</f>
        <v/>
      </c>
    </row>
    <row r="2463" spans="1:8" ht="15" hidden="1" customHeight="1">
      <c r="A2463" t="s">
        <v>107</v>
      </c>
      <c r="B2463" t="s">
        <v>108</v>
      </c>
      <c r="C2463">
        <v>18</v>
      </c>
      <c r="D2463">
        <v>5</v>
      </c>
      <c r="E2463">
        <v>1</v>
      </c>
      <c r="F2463">
        <v>2</v>
      </c>
      <c r="G2463" t="s">
        <v>121</v>
      </c>
      <c r="H2463" t="str">
        <f>IFERROR(ROUND(COUNTIFS(Tasks!$A:$A,$A2463,Tasks!$B:$B,$B2463,Tasks!$C:$C,$G2463,Tasks!$I:$I,"&lt;="&amp;INDEX(Weeks!$D:$D,MATCH($C2463,Weeks!$A:$A,0)),Tasks!$I:$I,"&lt;&gt;")/COUNTIFS(Tasks!$A:$A,$A2463,Tasks!$B:$B,$B2463,Tasks!$C:$C,$G2463)*100,0),"")</f>
        <v/>
      </c>
    </row>
    <row r="2464" spans="1:8" ht="15" hidden="1" customHeight="1">
      <c r="A2464" t="s">
        <v>107</v>
      </c>
      <c r="B2464" t="s">
        <v>108</v>
      </c>
      <c r="C2464">
        <v>19</v>
      </c>
      <c r="D2464">
        <v>5</v>
      </c>
      <c r="E2464">
        <v>2</v>
      </c>
      <c r="F2464">
        <v>2</v>
      </c>
      <c r="G2464" t="s">
        <v>121</v>
      </c>
      <c r="H2464" t="str">
        <f>IFERROR(ROUND(COUNTIFS(Tasks!$A:$A,$A2464,Tasks!$B:$B,$B2464,Tasks!$C:$C,$G2464,Tasks!$I:$I,"&lt;="&amp;INDEX(Weeks!$D:$D,MATCH($C2464,Weeks!$A:$A,0)),Tasks!$I:$I,"&lt;&gt;")/COUNTIFS(Tasks!$A:$A,$A2464,Tasks!$B:$B,$B2464,Tasks!$C:$C,$G2464)*100,0),"")</f>
        <v/>
      </c>
    </row>
    <row r="2465" spans="1:8" ht="15" hidden="1" customHeight="1">
      <c r="A2465" t="s">
        <v>107</v>
      </c>
      <c r="B2465" t="s">
        <v>108</v>
      </c>
      <c r="C2465">
        <v>20</v>
      </c>
      <c r="D2465">
        <v>5</v>
      </c>
      <c r="E2465">
        <v>3</v>
      </c>
      <c r="F2465">
        <v>2</v>
      </c>
      <c r="G2465" t="s">
        <v>121</v>
      </c>
      <c r="H2465" t="str">
        <f>IFERROR(ROUND(COUNTIFS(Tasks!$A:$A,$A2465,Tasks!$B:$B,$B2465,Tasks!$C:$C,$G2465,Tasks!$I:$I,"&lt;="&amp;INDEX(Weeks!$D:$D,MATCH($C2465,Weeks!$A:$A,0)),Tasks!$I:$I,"&lt;&gt;")/COUNTIFS(Tasks!$A:$A,$A2465,Tasks!$B:$B,$B2465,Tasks!$C:$C,$G2465)*100,0),"")</f>
        <v/>
      </c>
    </row>
    <row r="2466" spans="1:8" ht="15" hidden="1" customHeight="1">
      <c r="A2466" t="s">
        <v>107</v>
      </c>
      <c r="B2466" t="s">
        <v>108</v>
      </c>
      <c r="C2466">
        <v>21</v>
      </c>
      <c r="D2466">
        <v>5</v>
      </c>
      <c r="E2466">
        <v>4</v>
      </c>
      <c r="F2466">
        <v>2</v>
      </c>
      <c r="G2466" t="s">
        <v>121</v>
      </c>
      <c r="H2466" t="str">
        <f>IFERROR(ROUND(COUNTIFS(Tasks!$A:$A,$A2466,Tasks!$B:$B,$B2466,Tasks!$C:$C,$G2466,Tasks!$I:$I,"&lt;="&amp;INDEX(Weeks!$D:$D,MATCH($C2466,Weeks!$A:$A,0)),Tasks!$I:$I,"&lt;&gt;")/COUNTIFS(Tasks!$A:$A,$A2466,Tasks!$B:$B,$B2466,Tasks!$C:$C,$G2466)*100,0),"")</f>
        <v/>
      </c>
    </row>
    <row r="2467" spans="1:8" ht="15" hidden="1" customHeight="1">
      <c r="A2467" t="s">
        <v>107</v>
      </c>
      <c r="B2467" t="s">
        <v>108</v>
      </c>
      <c r="C2467">
        <v>22</v>
      </c>
      <c r="D2467">
        <v>5</v>
      </c>
      <c r="E2467">
        <v>5</v>
      </c>
      <c r="F2467">
        <v>2</v>
      </c>
      <c r="G2467" t="s">
        <v>121</v>
      </c>
      <c r="H2467" t="str">
        <f>IFERROR(ROUND(COUNTIFS(Tasks!$A:$A,$A2467,Tasks!$B:$B,$B2467,Tasks!$C:$C,$G2467,Tasks!$I:$I,"&lt;="&amp;INDEX(Weeks!$D:$D,MATCH($C2467,Weeks!$A:$A,0)),Tasks!$I:$I,"&lt;&gt;")/COUNTIFS(Tasks!$A:$A,$A2467,Tasks!$B:$B,$B2467,Tasks!$C:$C,$G2467)*100,0),"")</f>
        <v/>
      </c>
    </row>
    <row r="2468" spans="1:8" ht="15" hidden="1" customHeight="1">
      <c r="A2468" t="s">
        <v>107</v>
      </c>
      <c r="B2468" t="s">
        <v>108</v>
      </c>
      <c r="C2468">
        <v>23</v>
      </c>
      <c r="D2468">
        <v>6</v>
      </c>
      <c r="E2468">
        <v>1</v>
      </c>
      <c r="F2468">
        <v>2</v>
      </c>
      <c r="G2468" t="s">
        <v>121</v>
      </c>
      <c r="H2468" t="str">
        <f>IFERROR(ROUND(COUNTIFS(Tasks!$A:$A,$A2468,Tasks!$B:$B,$B2468,Tasks!$C:$C,$G2468,Tasks!$I:$I,"&lt;="&amp;INDEX(Weeks!$D:$D,MATCH($C2468,Weeks!$A:$A,0)),Tasks!$I:$I,"&lt;&gt;")/COUNTIFS(Tasks!$A:$A,$A2468,Tasks!$B:$B,$B2468,Tasks!$C:$C,$G2468)*100,0),"")</f>
        <v/>
      </c>
    </row>
    <row r="2469" spans="1:8" ht="15" hidden="1" customHeight="1">
      <c r="A2469" t="s">
        <v>107</v>
      </c>
      <c r="B2469" t="s">
        <v>108</v>
      </c>
      <c r="C2469">
        <v>24</v>
      </c>
      <c r="D2469">
        <v>6</v>
      </c>
      <c r="E2469">
        <v>2</v>
      </c>
      <c r="F2469">
        <v>2</v>
      </c>
      <c r="G2469" t="s">
        <v>121</v>
      </c>
      <c r="H2469" t="str">
        <f>IFERROR(ROUND(COUNTIFS(Tasks!$A:$A,$A2469,Tasks!$B:$B,$B2469,Tasks!$C:$C,$G2469,Tasks!$I:$I,"&lt;="&amp;INDEX(Weeks!$D:$D,MATCH($C2469,Weeks!$A:$A,0)),Tasks!$I:$I,"&lt;&gt;")/COUNTIFS(Tasks!$A:$A,$A2469,Tasks!$B:$B,$B2469,Tasks!$C:$C,$G2469)*100,0),"")</f>
        <v/>
      </c>
    </row>
    <row r="2470" spans="1:8" ht="15" hidden="1" customHeight="1">
      <c r="A2470" t="s">
        <v>107</v>
      </c>
      <c r="B2470" t="s">
        <v>108</v>
      </c>
      <c r="C2470">
        <v>25</v>
      </c>
      <c r="D2470">
        <v>6</v>
      </c>
      <c r="E2470">
        <v>3</v>
      </c>
      <c r="F2470">
        <v>2</v>
      </c>
      <c r="G2470" t="s">
        <v>121</v>
      </c>
      <c r="H2470" t="str">
        <f>IFERROR(ROUND(COUNTIFS(Tasks!$A:$A,$A2470,Tasks!$B:$B,$B2470,Tasks!$C:$C,$G2470,Tasks!$I:$I,"&lt;="&amp;INDEX(Weeks!$D:$D,MATCH($C2470,Weeks!$A:$A,0)),Tasks!$I:$I,"&lt;&gt;")/COUNTIFS(Tasks!$A:$A,$A2470,Tasks!$B:$B,$B2470,Tasks!$C:$C,$G2470)*100,0),"")</f>
        <v/>
      </c>
    </row>
    <row r="2471" spans="1:8" ht="15" hidden="1" customHeight="1">
      <c r="A2471" t="s">
        <v>107</v>
      </c>
      <c r="B2471" t="s">
        <v>108</v>
      </c>
      <c r="C2471">
        <v>26</v>
      </c>
      <c r="D2471">
        <v>6</v>
      </c>
      <c r="E2471">
        <v>4</v>
      </c>
      <c r="F2471">
        <v>2</v>
      </c>
      <c r="G2471" t="s">
        <v>121</v>
      </c>
      <c r="H2471" t="str">
        <f>IFERROR(ROUND(COUNTIFS(Tasks!$A:$A,$A2471,Tasks!$B:$B,$B2471,Tasks!$C:$C,$G2471,Tasks!$I:$I,"&lt;="&amp;INDEX(Weeks!$D:$D,MATCH($C2471,Weeks!$A:$A,0)),Tasks!$I:$I,"&lt;&gt;")/COUNTIFS(Tasks!$A:$A,$A2471,Tasks!$B:$B,$B2471,Tasks!$C:$C,$G2471)*100,0),"")</f>
        <v/>
      </c>
    </row>
    <row r="2472" spans="1:8" ht="15" hidden="1" customHeight="1">
      <c r="A2472" t="s">
        <v>107</v>
      </c>
      <c r="B2472" t="s">
        <v>108</v>
      </c>
      <c r="C2472">
        <v>27</v>
      </c>
      <c r="D2472">
        <v>7</v>
      </c>
      <c r="E2472">
        <v>1</v>
      </c>
      <c r="F2472">
        <v>2</v>
      </c>
      <c r="G2472" t="s">
        <v>121</v>
      </c>
      <c r="H2472" t="str">
        <f>IFERROR(ROUND(COUNTIFS(Tasks!$A:$A,$A2472,Tasks!$B:$B,$B2472,Tasks!$C:$C,$G2472,Tasks!$I:$I,"&lt;="&amp;INDEX(Weeks!$D:$D,MATCH($C2472,Weeks!$A:$A,0)),Tasks!$I:$I,"&lt;&gt;")/COUNTIFS(Tasks!$A:$A,$A2472,Tasks!$B:$B,$B2472,Tasks!$C:$C,$G2472)*100,0),"")</f>
        <v/>
      </c>
    </row>
    <row r="2473" spans="1:8" ht="15" hidden="1" customHeight="1">
      <c r="A2473" t="s">
        <v>107</v>
      </c>
      <c r="B2473" t="s">
        <v>108</v>
      </c>
      <c r="C2473">
        <v>28</v>
      </c>
      <c r="D2473">
        <v>7</v>
      </c>
      <c r="E2473">
        <v>2</v>
      </c>
      <c r="F2473">
        <v>2</v>
      </c>
      <c r="G2473" t="s">
        <v>121</v>
      </c>
      <c r="H2473" t="str">
        <f>IFERROR(ROUND(COUNTIFS(Tasks!$A:$A,$A2473,Tasks!$B:$B,$B2473,Tasks!$C:$C,$G2473,Tasks!$I:$I,"&lt;="&amp;INDEX(Weeks!$D:$D,MATCH($C2473,Weeks!$A:$A,0)),Tasks!$I:$I,"&lt;&gt;")/COUNTIFS(Tasks!$A:$A,$A2473,Tasks!$B:$B,$B2473,Tasks!$C:$C,$G2473)*100,0),"")</f>
        <v/>
      </c>
    </row>
    <row r="2474" spans="1:8" ht="15" hidden="1" customHeight="1">
      <c r="A2474" t="s">
        <v>107</v>
      </c>
      <c r="B2474" t="s">
        <v>108</v>
      </c>
      <c r="C2474">
        <v>29</v>
      </c>
      <c r="D2474">
        <v>7</v>
      </c>
      <c r="E2474">
        <v>3</v>
      </c>
      <c r="F2474">
        <v>2</v>
      </c>
      <c r="G2474" t="s">
        <v>121</v>
      </c>
      <c r="H2474" t="str">
        <f>IFERROR(ROUND(COUNTIFS(Tasks!$A:$A,$A2474,Tasks!$B:$B,$B2474,Tasks!$C:$C,$G2474,Tasks!$I:$I,"&lt;="&amp;INDEX(Weeks!$D:$D,MATCH($C2474,Weeks!$A:$A,0)),Tasks!$I:$I,"&lt;&gt;")/COUNTIFS(Tasks!$A:$A,$A2474,Tasks!$B:$B,$B2474,Tasks!$C:$C,$G2474)*100,0),"")</f>
        <v/>
      </c>
    </row>
    <row r="2475" spans="1:8" ht="15" hidden="1" customHeight="1">
      <c r="A2475" t="s">
        <v>107</v>
      </c>
      <c r="B2475" t="s">
        <v>108</v>
      </c>
      <c r="C2475">
        <v>30</v>
      </c>
      <c r="D2475">
        <v>7</v>
      </c>
      <c r="E2475">
        <v>4</v>
      </c>
      <c r="F2475">
        <v>2</v>
      </c>
      <c r="G2475" t="s">
        <v>121</v>
      </c>
      <c r="H2475" t="str">
        <f>IFERROR(ROUND(COUNTIFS(Tasks!$A:$A,$A2475,Tasks!$B:$B,$B2475,Tasks!$C:$C,$G2475,Tasks!$I:$I,"&lt;="&amp;INDEX(Weeks!$D:$D,MATCH($C2475,Weeks!$A:$A,0)),Tasks!$I:$I,"&lt;&gt;")/COUNTIFS(Tasks!$A:$A,$A2475,Tasks!$B:$B,$B2475,Tasks!$C:$C,$G2475)*100,0),"")</f>
        <v/>
      </c>
    </row>
    <row r="2476" spans="1:8" ht="15" hidden="1" customHeight="1">
      <c r="A2476" t="s">
        <v>107</v>
      </c>
      <c r="B2476" t="s">
        <v>108</v>
      </c>
      <c r="C2476">
        <v>31</v>
      </c>
      <c r="D2476">
        <v>8</v>
      </c>
      <c r="E2476">
        <v>1</v>
      </c>
      <c r="F2476">
        <v>2</v>
      </c>
      <c r="G2476" t="s">
        <v>121</v>
      </c>
      <c r="H2476" t="str">
        <f>IFERROR(ROUND(COUNTIFS(Tasks!$A:$A,$A2476,Tasks!$B:$B,$B2476,Tasks!$C:$C,$G2476,Tasks!$I:$I,"&lt;="&amp;INDEX(Weeks!$D:$D,MATCH($C2476,Weeks!$A:$A,0)),Tasks!$I:$I,"&lt;&gt;")/COUNTIFS(Tasks!$A:$A,$A2476,Tasks!$B:$B,$B2476,Tasks!$C:$C,$G2476)*100,0),"")</f>
        <v/>
      </c>
    </row>
    <row r="2477" spans="1:8" ht="15" hidden="1" customHeight="1">
      <c r="A2477" t="s">
        <v>107</v>
      </c>
      <c r="B2477" t="s">
        <v>108</v>
      </c>
      <c r="C2477">
        <v>32</v>
      </c>
      <c r="D2477">
        <v>8</v>
      </c>
      <c r="E2477">
        <v>2</v>
      </c>
      <c r="F2477">
        <v>2</v>
      </c>
      <c r="G2477" t="s">
        <v>121</v>
      </c>
      <c r="H2477" t="str">
        <f>IFERROR(ROUND(COUNTIFS(Tasks!$A:$A,$A2477,Tasks!$B:$B,$B2477,Tasks!$C:$C,$G2477,Tasks!$I:$I,"&lt;="&amp;INDEX(Weeks!$D:$D,MATCH($C2477,Weeks!$A:$A,0)),Tasks!$I:$I,"&lt;&gt;")/COUNTIFS(Tasks!$A:$A,$A2477,Tasks!$B:$B,$B2477,Tasks!$C:$C,$G2477)*100,0),"")</f>
        <v/>
      </c>
    </row>
    <row r="2478" spans="1:8" ht="15" hidden="1" customHeight="1">
      <c r="A2478" t="s">
        <v>107</v>
      </c>
      <c r="B2478" t="s">
        <v>108</v>
      </c>
      <c r="C2478">
        <v>33</v>
      </c>
      <c r="D2478">
        <v>8</v>
      </c>
      <c r="E2478">
        <v>3</v>
      </c>
      <c r="F2478">
        <v>2</v>
      </c>
      <c r="G2478" t="s">
        <v>121</v>
      </c>
      <c r="H2478" t="str">
        <f>IFERROR(ROUND(COUNTIFS(Tasks!$A:$A,$A2478,Tasks!$B:$B,$B2478,Tasks!$C:$C,$G2478,Tasks!$I:$I,"&lt;="&amp;INDEX(Weeks!$D:$D,MATCH($C2478,Weeks!$A:$A,0)),Tasks!$I:$I,"&lt;&gt;")/COUNTIFS(Tasks!$A:$A,$A2478,Tasks!$B:$B,$B2478,Tasks!$C:$C,$G2478)*100,0),"")</f>
        <v/>
      </c>
    </row>
    <row r="2479" spans="1:8" ht="15" hidden="1" customHeight="1">
      <c r="A2479" t="s">
        <v>107</v>
      </c>
      <c r="B2479" t="s">
        <v>108</v>
      </c>
      <c r="C2479">
        <v>34</v>
      </c>
      <c r="D2479">
        <v>8</v>
      </c>
      <c r="E2479">
        <v>4</v>
      </c>
      <c r="F2479">
        <v>2</v>
      </c>
      <c r="G2479" t="s">
        <v>121</v>
      </c>
      <c r="H2479" t="str">
        <f>IFERROR(ROUND(COUNTIFS(Tasks!$A:$A,$A2479,Tasks!$B:$B,$B2479,Tasks!$C:$C,$G2479,Tasks!$I:$I,"&lt;="&amp;INDEX(Weeks!$D:$D,MATCH($C2479,Weeks!$A:$A,0)),Tasks!$I:$I,"&lt;&gt;")/COUNTIFS(Tasks!$A:$A,$A2479,Tasks!$B:$B,$B2479,Tasks!$C:$C,$G2479)*100,0),"")</f>
        <v/>
      </c>
    </row>
    <row r="2480" spans="1:8" ht="15" hidden="1" customHeight="1">
      <c r="A2480" t="s">
        <v>107</v>
      </c>
      <c r="B2480" t="s">
        <v>108</v>
      </c>
      <c r="C2480">
        <v>35</v>
      </c>
      <c r="D2480">
        <v>8</v>
      </c>
      <c r="E2480">
        <v>5</v>
      </c>
      <c r="F2480">
        <v>2</v>
      </c>
      <c r="G2480" t="s">
        <v>121</v>
      </c>
      <c r="H2480" t="str">
        <f>IFERROR(ROUND(COUNTIFS(Tasks!$A:$A,$A2480,Tasks!$B:$B,$B2480,Tasks!$C:$C,$G2480,Tasks!$I:$I,"&lt;="&amp;INDEX(Weeks!$D:$D,MATCH($C2480,Weeks!$A:$A,0)),Tasks!$I:$I,"&lt;&gt;")/COUNTIFS(Tasks!$A:$A,$A2480,Tasks!$B:$B,$B2480,Tasks!$C:$C,$G2480)*100,0),"")</f>
        <v/>
      </c>
    </row>
    <row r="2481" spans="1:8" ht="15" hidden="1" customHeight="1">
      <c r="A2481" t="s">
        <v>107</v>
      </c>
      <c r="B2481" t="s">
        <v>108</v>
      </c>
      <c r="C2481">
        <v>36</v>
      </c>
      <c r="D2481">
        <v>9</v>
      </c>
      <c r="E2481">
        <v>1</v>
      </c>
      <c r="F2481">
        <v>2</v>
      </c>
      <c r="G2481" t="s">
        <v>121</v>
      </c>
      <c r="H2481" t="str">
        <f>IFERROR(ROUND(COUNTIFS(Tasks!$A:$A,$A2481,Tasks!$B:$B,$B2481,Tasks!$C:$C,$G2481,Tasks!$I:$I,"&lt;="&amp;INDEX(Weeks!$D:$D,MATCH($C2481,Weeks!$A:$A,0)),Tasks!$I:$I,"&lt;&gt;")/COUNTIFS(Tasks!$A:$A,$A2481,Tasks!$B:$B,$B2481,Tasks!$C:$C,$G2481)*100,0),"")</f>
        <v/>
      </c>
    </row>
    <row r="2482" spans="1:8" ht="15" hidden="1" customHeight="1">
      <c r="A2482" t="s">
        <v>107</v>
      </c>
      <c r="B2482" t="s">
        <v>108</v>
      </c>
      <c r="C2482">
        <v>37</v>
      </c>
      <c r="D2482">
        <v>9</v>
      </c>
      <c r="E2482">
        <v>2</v>
      </c>
      <c r="F2482">
        <v>2</v>
      </c>
      <c r="G2482" t="s">
        <v>121</v>
      </c>
      <c r="H2482" t="str">
        <f>IFERROR(ROUND(COUNTIFS(Tasks!$A:$A,$A2482,Tasks!$B:$B,$B2482,Tasks!$C:$C,$G2482,Tasks!$I:$I,"&lt;="&amp;INDEX(Weeks!$D:$D,MATCH($C2482,Weeks!$A:$A,0)),Tasks!$I:$I,"&lt;&gt;")/COUNTIFS(Tasks!$A:$A,$A2482,Tasks!$B:$B,$B2482,Tasks!$C:$C,$G2482)*100,0),"")</f>
        <v/>
      </c>
    </row>
    <row r="2483" spans="1:8" ht="15" hidden="1" customHeight="1">
      <c r="A2483" t="s">
        <v>107</v>
      </c>
      <c r="B2483" t="s">
        <v>108</v>
      </c>
      <c r="C2483">
        <v>38</v>
      </c>
      <c r="D2483">
        <v>9</v>
      </c>
      <c r="E2483">
        <v>3</v>
      </c>
      <c r="F2483">
        <v>2</v>
      </c>
      <c r="G2483" t="s">
        <v>121</v>
      </c>
      <c r="H2483" t="str">
        <f>IFERROR(ROUND(COUNTIFS(Tasks!$A:$A,$A2483,Tasks!$B:$B,$B2483,Tasks!$C:$C,$G2483,Tasks!$I:$I,"&lt;="&amp;INDEX(Weeks!$D:$D,MATCH($C2483,Weeks!$A:$A,0)),Tasks!$I:$I,"&lt;&gt;")/COUNTIFS(Tasks!$A:$A,$A2483,Tasks!$B:$B,$B2483,Tasks!$C:$C,$G2483)*100,0),"")</f>
        <v/>
      </c>
    </row>
    <row r="2484" spans="1:8" ht="15" hidden="1" customHeight="1">
      <c r="A2484" t="s">
        <v>107</v>
      </c>
      <c r="B2484" t="s">
        <v>108</v>
      </c>
      <c r="C2484">
        <v>39</v>
      </c>
      <c r="D2484">
        <v>9</v>
      </c>
      <c r="E2484">
        <v>4</v>
      </c>
      <c r="F2484">
        <v>2</v>
      </c>
      <c r="G2484" t="s">
        <v>121</v>
      </c>
      <c r="H2484" t="str">
        <f>IFERROR(ROUND(COUNTIFS(Tasks!$A:$A,$A2484,Tasks!$B:$B,$B2484,Tasks!$C:$C,$G2484,Tasks!$I:$I,"&lt;="&amp;INDEX(Weeks!$D:$D,MATCH($C2484,Weeks!$A:$A,0)),Tasks!$I:$I,"&lt;&gt;")/COUNTIFS(Tasks!$A:$A,$A2484,Tasks!$B:$B,$B2484,Tasks!$C:$C,$G2484)*100,0),"")</f>
        <v/>
      </c>
    </row>
    <row r="2485" spans="1:8" ht="15" hidden="1" customHeight="1">
      <c r="A2485" t="s">
        <v>107</v>
      </c>
      <c r="B2485" t="s">
        <v>108</v>
      </c>
      <c r="C2485">
        <v>40</v>
      </c>
      <c r="D2485">
        <v>10</v>
      </c>
      <c r="E2485">
        <v>1</v>
      </c>
      <c r="F2485">
        <v>2</v>
      </c>
      <c r="G2485" t="s">
        <v>121</v>
      </c>
      <c r="H2485" t="str">
        <f>IFERROR(ROUND(COUNTIFS(Tasks!$A:$A,$A2485,Tasks!$B:$B,$B2485,Tasks!$C:$C,$G2485,Tasks!$I:$I,"&lt;="&amp;INDEX(Weeks!$D:$D,MATCH($C2485,Weeks!$A:$A,0)),Tasks!$I:$I,"&lt;&gt;")/COUNTIFS(Tasks!$A:$A,$A2485,Tasks!$B:$B,$B2485,Tasks!$C:$C,$G2485)*100,0),"")</f>
        <v/>
      </c>
    </row>
    <row r="2486" spans="1:8" ht="15" hidden="1" customHeight="1">
      <c r="A2486" t="s">
        <v>107</v>
      </c>
      <c r="B2486" t="s">
        <v>108</v>
      </c>
      <c r="C2486">
        <v>41</v>
      </c>
      <c r="D2486">
        <v>10</v>
      </c>
      <c r="E2486">
        <v>2</v>
      </c>
      <c r="F2486">
        <v>2</v>
      </c>
      <c r="G2486" t="s">
        <v>121</v>
      </c>
      <c r="H2486" t="str">
        <f>IFERROR(ROUND(COUNTIFS(Tasks!$A:$A,$A2486,Tasks!$B:$B,$B2486,Tasks!$C:$C,$G2486,Tasks!$I:$I,"&lt;="&amp;INDEX(Weeks!$D:$D,MATCH($C2486,Weeks!$A:$A,0)),Tasks!$I:$I,"&lt;&gt;")/COUNTIFS(Tasks!$A:$A,$A2486,Tasks!$B:$B,$B2486,Tasks!$C:$C,$G2486)*100,0),"")</f>
        <v/>
      </c>
    </row>
    <row r="2487" spans="1:8" ht="15" hidden="1" customHeight="1">
      <c r="A2487" t="s">
        <v>107</v>
      </c>
      <c r="B2487" t="s">
        <v>108</v>
      </c>
      <c r="C2487">
        <v>42</v>
      </c>
      <c r="D2487">
        <v>10</v>
      </c>
      <c r="E2487">
        <v>3</v>
      </c>
      <c r="F2487">
        <v>2</v>
      </c>
      <c r="G2487" t="s">
        <v>121</v>
      </c>
      <c r="H2487" t="str">
        <f>IFERROR(ROUND(COUNTIFS(Tasks!$A:$A,$A2487,Tasks!$B:$B,$B2487,Tasks!$C:$C,$G2487,Tasks!$I:$I,"&lt;="&amp;INDEX(Weeks!$D:$D,MATCH($C2487,Weeks!$A:$A,0)),Tasks!$I:$I,"&lt;&gt;")/COUNTIFS(Tasks!$A:$A,$A2487,Tasks!$B:$B,$B2487,Tasks!$C:$C,$G2487)*100,0),"")</f>
        <v/>
      </c>
    </row>
    <row r="2488" spans="1:8" ht="15" hidden="1" customHeight="1">
      <c r="A2488" t="s">
        <v>107</v>
      </c>
      <c r="B2488" t="s">
        <v>108</v>
      </c>
      <c r="C2488">
        <v>43</v>
      </c>
      <c r="D2488">
        <v>10</v>
      </c>
      <c r="E2488">
        <v>4</v>
      </c>
      <c r="F2488">
        <v>2</v>
      </c>
      <c r="G2488" t="s">
        <v>121</v>
      </c>
      <c r="H2488" t="str">
        <f>IFERROR(ROUND(COUNTIFS(Tasks!$A:$A,$A2488,Tasks!$B:$B,$B2488,Tasks!$C:$C,$G2488,Tasks!$I:$I,"&lt;="&amp;INDEX(Weeks!$D:$D,MATCH($C2488,Weeks!$A:$A,0)),Tasks!$I:$I,"&lt;&gt;")/COUNTIFS(Tasks!$A:$A,$A2488,Tasks!$B:$B,$B2488,Tasks!$C:$C,$G2488)*100,0),"")</f>
        <v/>
      </c>
    </row>
    <row r="2489" spans="1:8" ht="15" hidden="1" customHeight="1">
      <c r="A2489" t="s">
        <v>107</v>
      </c>
      <c r="B2489" t="s">
        <v>108</v>
      </c>
      <c r="C2489">
        <v>44</v>
      </c>
      <c r="D2489">
        <v>10</v>
      </c>
      <c r="E2489">
        <v>5</v>
      </c>
      <c r="F2489">
        <v>2</v>
      </c>
      <c r="G2489" t="s">
        <v>121</v>
      </c>
      <c r="H2489" t="str">
        <f>IFERROR(ROUND(COUNTIFS(Tasks!$A:$A,$A2489,Tasks!$B:$B,$B2489,Tasks!$C:$C,$G2489,Tasks!$I:$I,"&lt;="&amp;INDEX(Weeks!$D:$D,MATCH($C2489,Weeks!$A:$A,0)),Tasks!$I:$I,"&lt;&gt;")/COUNTIFS(Tasks!$A:$A,$A2489,Tasks!$B:$B,$B2489,Tasks!$C:$C,$G2489)*100,0),"")</f>
        <v/>
      </c>
    </row>
    <row r="2490" spans="1:8" ht="15" hidden="1" customHeight="1">
      <c r="A2490" t="s">
        <v>107</v>
      </c>
      <c r="B2490" t="s">
        <v>108</v>
      </c>
      <c r="C2490">
        <v>45</v>
      </c>
      <c r="D2490">
        <v>11</v>
      </c>
      <c r="E2490">
        <v>1</v>
      </c>
      <c r="F2490">
        <v>2</v>
      </c>
      <c r="G2490" t="s">
        <v>121</v>
      </c>
      <c r="H2490" t="str">
        <f>IFERROR(ROUND(COUNTIFS(Tasks!$A:$A,$A2490,Tasks!$B:$B,$B2490,Tasks!$C:$C,$G2490,Tasks!$I:$I,"&lt;="&amp;INDEX(Weeks!$D:$D,MATCH($C2490,Weeks!$A:$A,0)),Tasks!$I:$I,"&lt;&gt;")/COUNTIFS(Tasks!$A:$A,$A2490,Tasks!$B:$B,$B2490,Tasks!$C:$C,$G2490)*100,0),"")</f>
        <v/>
      </c>
    </row>
    <row r="2491" spans="1:8" ht="15" hidden="1" customHeight="1">
      <c r="A2491" t="s">
        <v>107</v>
      </c>
      <c r="B2491" t="s">
        <v>108</v>
      </c>
      <c r="C2491">
        <v>46</v>
      </c>
      <c r="D2491">
        <v>11</v>
      </c>
      <c r="E2491">
        <v>2</v>
      </c>
      <c r="F2491">
        <v>2</v>
      </c>
      <c r="G2491" t="s">
        <v>121</v>
      </c>
      <c r="H2491" t="str">
        <f>IFERROR(ROUND(COUNTIFS(Tasks!$A:$A,$A2491,Tasks!$B:$B,$B2491,Tasks!$C:$C,$G2491,Tasks!$I:$I,"&lt;="&amp;INDEX(Weeks!$D:$D,MATCH($C2491,Weeks!$A:$A,0)),Tasks!$I:$I,"&lt;&gt;")/COUNTIFS(Tasks!$A:$A,$A2491,Tasks!$B:$B,$B2491,Tasks!$C:$C,$G2491)*100,0),"")</f>
        <v/>
      </c>
    </row>
    <row r="2492" spans="1:8" ht="15" hidden="1" customHeight="1">
      <c r="A2492" t="s">
        <v>107</v>
      </c>
      <c r="B2492" t="s">
        <v>108</v>
      </c>
      <c r="C2492">
        <v>47</v>
      </c>
      <c r="D2492">
        <v>11</v>
      </c>
      <c r="E2492">
        <v>3</v>
      </c>
      <c r="F2492">
        <v>2</v>
      </c>
      <c r="G2492" t="s">
        <v>121</v>
      </c>
      <c r="H2492" t="str">
        <f>IFERROR(ROUND(COUNTIFS(Tasks!$A:$A,$A2492,Tasks!$B:$B,$B2492,Tasks!$C:$C,$G2492,Tasks!$I:$I,"&lt;="&amp;INDEX(Weeks!$D:$D,MATCH($C2492,Weeks!$A:$A,0)),Tasks!$I:$I,"&lt;&gt;")/COUNTIFS(Tasks!$A:$A,$A2492,Tasks!$B:$B,$B2492,Tasks!$C:$C,$G2492)*100,0),"")</f>
        <v/>
      </c>
    </row>
    <row r="2493" spans="1:8" ht="15" hidden="1" customHeight="1">
      <c r="A2493" t="s">
        <v>107</v>
      </c>
      <c r="B2493" t="s">
        <v>108</v>
      </c>
      <c r="C2493">
        <v>48</v>
      </c>
      <c r="D2493">
        <v>11</v>
      </c>
      <c r="E2493">
        <v>4</v>
      </c>
      <c r="F2493">
        <v>2</v>
      </c>
      <c r="G2493" t="s">
        <v>121</v>
      </c>
      <c r="H2493" t="str">
        <f>IFERROR(ROUND(COUNTIFS(Tasks!$A:$A,$A2493,Tasks!$B:$B,$B2493,Tasks!$C:$C,$G2493,Tasks!$I:$I,"&lt;="&amp;INDEX(Weeks!$D:$D,MATCH($C2493,Weeks!$A:$A,0)),Tasks!$I:$I,"&lt;&gt;")/COUNTIFS(Tasks!$A:$A,$A2493,Tasks!$B:$B,$B2493,Tasks!$C:$C,$G2493)*100,0),"")</f>
        <v/>
      </c>
    </row>
    <row r="2494" spans="1:8" ht="15" hidden="1" customHeight="1">
      <c r="A2494" t="s">
        <v>107</v>
      </c>
      <c r="B2494" t="s">
        <v>108</v>
      </c>
      <c r="C2494">
        <v>49</v>
      </c>
      <c r="D2494">
        <v>12</v>
      </c>
      <c r="E2494">
        <v>1</v>
      </c>
      <c r="F2494">
        <v>2</v>
      </c>
      <c r="G2494" t="s">
        <v>121</v>
      </c>
      <c r="H2494" t="str">
        <f>IFERROR(ROUND(COUNTIFS(Tasks!$A:$A,$A2494,Tasks!$B:$B,$B2494,Tasks!$C:$C,$G2494,Tasks!$I:$I,"&lt;="&amp;INDEX(Weeks!$D:$D,MATCH($C2494,Weeks!$A:$A,0)),Tasks!$I:$I,"&lt;&gt;")/COUNTIFS(Tasks!$A:$A,$A2494,Tasks!$B:$B,$B2494,Tasks!$C:$C,$G2494)*100,0),"")</f>
        <v/>
      </c>
    </row>
    <row r="2495" spans="1:8" ht="15" hidden="1" customHeight="1">
      <c r="A2495" t="s">
        <v>107</v>
      </c>
      <c r="B2495" t="s">
        <v>108</v>
      </c>
      <c r="C2495">
        <v>50</v>
      </c>
      <c r="D2495">
        <v>12</v>
      </c>
      <c r="E2495">
        <v>2</v>
      </c>
      <c r="F2495">
        <v>2</v>
      </c>
      <c r="G2495" t="s">
        <v>121</v>
      </c>
      <c r="H2495" t="str">
        <f>IFERROR(ROUND(COUNTIFS(Tasks!$A:$A,$A2495,Tasks!$B:$B,$B2495,Tasks!$C:$C,$G2495,Tasks!$I:$I,"&lt;="&amp;INDEX(Weeks!$D:$D,MATCH($C2495,Weeks!$A:$A,0)),Tasks!$I:$I,"&lt;&gt;")/COUNTIFS(Tasks!$A:$A,$A2495,Tasks!$B:$B,$B2495,Tasks!$C:$C,$G2495)*100,0),"")</f>
        <v/>
      </c>
    </row>
    <row r="2496" spans="1:8" ht="15" hidden="1" customHeight="1">
      <c r="A2496" t="s">
        <v>107</v>
      </c>
      <c r="B2496" t="s">
        <v>108</v>
      </c>
      <c r="C2496">
        <v>51</v>
      </c>
      <c r="D2496">
        <v>12</v>
      </c>
      <c r="E2496">
        <v>3</v>
      </c>
      <c r="F2496">
        <v>2</v>
      </c>
      <c r="G2496" t="s">
        <v>121</v>
      </c>
      <c r="H2496" t="str">
        <f>IFERROR(ROUND(COUNTIFS(Tasks!$A:$A,$A2496,Tasks!$B:$B,$B2496,Tasks!$C:$C,$G2496,Tasks!$I:$I,"&lt;="&amp;INDEX(Weeks!$D:$D,MATCH($C2496,Weeks!$A:$A,0)),Tasks!$I:$I,"&lt;&gt;")/COUNTIFS(Tasks!$A:$A,$A2496,Tasks!$B:$B,$B2496,Tasks!$C:$C,$G2496)*100,0),"")</f>
        <v/>
      </c>
    </row>
    <row r="2497" spans="1:8" ht="15" hidden="1" customHeight="1">
      <c r="A2497" t="s">
        <v>107</v>
      </c>
      <c r="B2497" t="s">
        <v>108</v>
      </c>
      <c r="C2497">
        <v>52</v>
      </c>
      <c r="D2497">
        <v>12</v>
      </c>
      <c r="E2497">
        <v>4</v>
      </c>
      <c r="F2497">
        <v>2</v>
      </c>
      <c r="G2497" t="s">
        <v>121</v>
      </c>
      <c r="H2497" t="str">
        <f>IFERROR(ROUND(COUNTIFS(Tasks!$A:$A,$A2497,Tasks!$B:$B,$B2497,Tasks!$C:$C,$G2497,Tasks!$I:$I,"&lt;="&amp;INDEX(Weeks!$D:$D,MATCH($C2497,Weeks!$A:$A,0)),Tasks!$I:$I,"&lt;&gt;")/COUNTIFS(Tasks!$A:$A,$A2497,Tasks!$B:$B,$B2497,Tasks!$C:$C,$G2497)*100,0),"")</f>
        <v/>
      </c>
    </row>
    <row r="2498" spans="1:8" ht="15" hidden="1" customHeight="1">
      <c r="A2498" t="s">
        <v>107</v>
      </c>
      <c r="B2498" t="s">
        <v>108</v>
      </c>
      <c r="C2498">
        <v>1</v>
      </c>
      <c r="D2498">
        <v>1</v>
      </c>
      <c r="E2498">
        <v>1</v>
      </c>
      <c r="F2498">
        <v>3</v>
      </c>
      <c r="G2498" t="s">
        <v>122</v>
      </c>
      <c r="H2498" t="str">
        <f>IFERROR(ROUND(COUNTIFS(Tasks!$A:$A,$A2498,Tasks!$B:$B,$B2498,Tasks!$C:$C,$G2498,Tasks!$I:$I,"&lt;="&amp;INDEX(Weeks!$D:$D,MATCH($C2498,Weeks!$A:$A,0)),Tasks!$I:$I,"&lt;&gt;")/COUNTIFS(Tasks!$A:$A,$A2498,Tasks!$B:$B,$B2498,Tasks!$C:$C,$G2498)*100,0),"")</f>
        <v/>
      </c>
    </row>
    <row r="2499" spans="1:8" ht="15" hidden="1" customHeight="1">
      <c r="A2499" t="s">
        <v>107</v>
      </c>
      <c r="B2499" t="s">
        <v>108</v>
      </c>
      <c r="C2499">
        <v>2</v>
      </c>
      <c r="D2499">
        <v>1</v>
      </c>
      <c r="E2499">
        <v>2</v>
      </c>
      <c r="F2499">
        <v>3</v>
      </c>
      <c r="G2499" t="s">
        <v>122</v>
      </c>
      <c r="H2499" t="str">
        <f>IFERROR(ROUND(COUNTIFS(Tasks!$A:$A,$A2499,Tasks!$B:$B,$B2499,Tasks!$C:$C,$G2499,Tasks!$I:$I,"&lt;="&amp;INDEX(Weeks!$D:$D,MATCH($C2499,Weeks!$A:$A,0)),Tasks!$I:$I,"&lt;&gt;")/COUNTIFS(Tasks!$A:$A,$A2499,Tasks!$B:$B,$B2499,Tasks!$C:$C,$G2499)*100,0),"")</f>
        <v/>
      </c>
    </row>
    <row r="2500" spans="1:8" ht="15" hidden="1" customHeight="1">
      <c r="A2500" t="s">
        <v>107</v>
      </c>
      <c r="B2500" t="s">
        <v>108</v>
      </c>
      <c r="C2500">
        <v>3</v>
      </c>
      <c r="D2500">
        <v>1</v>
      </c>
      <c r="E2500">
        <v>3</v>
      </c>
      <c r="F2500">
        <v>3</v>
      </c>
      <c r="G2500" t="s">
        <v>122</v>
      </c>
      <c r="H2500" t="str">
        <f>IFERROR(ROUND(COUNTIFS(Tasks!$A:$A,$A2500,Tasks!$B:$B,$B2500,Tasks!$C:$C,$G2500,Tasks!$I:$I,"&lt;="&amp;INDEX(Weeks!$D:$D,MATCH($C2500,Weeks!$A:$A,0)),Tasks!$I:$I,"&lt;&gt;")/COUNTIFS(Tasks!$A:$A,$A2500,Tasks!$B:$B,$B2500,Tasks!$C:$C,$G2500)*100,0),"")</f>
        <v/>
      </c>
    </row>
    <row r="2501" spans="1:8" ht="15" hidden="1" customHeight="1">
      <c r="A2501" t="s">
        <v>107</v>
      </c>
      <c r="B2501" t="s">
        <v>108</v>
      </c>
      <c r="C2501">
        <v>4</v>
      </c>
      <c r="D2501">
        <v>1</v>
      </c>
      <c r="E2501">
        <v>4</v>
      </c>
      <c r="F2501">
        <v>3</v>
      </c>
      <c r="G2501" t="s">
        <v>122</v>
      </c>
      <c r="H2501" t="str">
        <f>IFERROR(ROUND(COUNTIFS(Tasks!$A:$A,$A2501,Tasks!$B:$B,$B2501,Tasks!$C:$C,$G2501,Tasks!$I:$I,"&lt;="&amp;INDEX(Weeks!$D:$D,MATCH($C2501,Weeks!$A:$A,0)),Tasks!$I:$I,"&lt;&gt;")/COUNTIFS(Tasks!$A:$A,$A2501,Tasks!$B:$B,$B2501,Tasks!$C:$C,$G2501)*100,0),"")</f>
        <v/>
      </c>
    </row>
    <row r="2502" spans="1:8" ht="15" hidden="1" customHeight="1">
      <c r="A2502" t="s">
        <v>107</v>
      </c>
      <c r="B2502" t="s">
        <v>108</v>
      </c>
      <c r="C2502">
        <v>5</v>
      </c>
      <c r="D2502">
        <v>1</v>
      </c>
      <c r="E2502">
        <v>5</v>
      </c>
      <c r="F2502">
        <v>3</v>
      </c>
      <c r="G2502" t="s">
        <v>122</v>
      </c>
      <c r="H2502" t="str">
        <f>IFERROR(ROUND(COUNTIFS(Tasks!$A:$A,$A2502,Tasks!$B:$B,$B2502,Tasks!$C:$C,$G2502,Tasks!$I:$I,"&lt;="&amp;INDEX(Weeks!$D:$D,MATCH($C2502,Weeks!$A:$A,0)),Tasks!$I:$I,"&lt;&gt;")/COUNTIFS(Tasks!$A:$A,$A2502,Tasks!$B:$B,$B2502,Tasks!$C:$C,$G2502)*100,0),"")</f>
        <v/>
      </c>
    </row>
    <row r="2503" spans="1:8" ht="15" hidden="1" customHeight="1">
      <c r="A2503" t="s">
        <v>107</v>
      </c>
      <c r="B2503" t="s">
        <v>108</v>
      </c>
      <c r="C2503">
        <v>6</v>
      </c>
      <c r="D2503">
        <v>2</v>
      </c>
      <c r="E2503">
        <v>1</v>
      </c>
      <c r="F2503">
        <v>3</v>
      </c>
      <c r="G2503" t="s">
        <v>122</v>
      </c>
      <c r="H2503" t="str">
        <f>IFERROR(ROUND(COUNTIFS(Tasks!$A:$A,$A2503,Tasks!$B:$B,$B2503,Tasks!$C:$C,$G2503,Tasks!$I:$I,"&lt;="&amp;INDEX(Weeks!$D:$D,MATCH($C2503,Weeks!$A:$A,0)),Tasks!$I:$I,"&lt;&gt;")/COUNTIFS(Tasks!$A:$A,$A2503,Tasks!$B:$B,$B2503,Tasks!$C:$C,$G2503)*100,0),"")</f>
        <v/>
      </c>
    </row>
    <row r="2504" spans="1:8" ht="15" hidden="1" customHeight="1">
      <c r="A2504" t="s">
        <v>107</v>
      </c>
      <c r="B2504" t="s">
        <v>108</v>
      </c>
      <c r="C2504">
        <v>7</v>
      </c>
      <c r="D2504">
        <v>2</v>
      </c>
      <c r="E2504">
        <v>2</v>
      </c>
      <c r="F2504">
        <v>3</v>
      </c>
      <c r="G2504" t="s">
        <v>122</v>
      </c>
      <c r="H2504" t="str">
        <f>IFERROR(ROUND(COUNTIFS(Tasks!$A:$A,$A2504,Tasks!$B:$B,$B2504,Tasks!$C:$C,$G2504,Tasks!$I:$I,"&lt;="&amp;INDEX(Weeks!$D:$D,MATCH($C2504,Weeks!$A:$A,0)),Tasks!$I:$I,"&lt;&gt;")/COUNTIFS(Tasks!$A:$A,$A2504,Tasks!$B:$B,$B2504,Tasks!$C:$C,$G2504)*100,0),"")</f>
        <v/>
      </c>
    </row>
    <row r="2505" spans="1:8" ht="15" hidden="1" customHeight="1">
      <c r="A2505" t="s">
        <v>107</v>
      </c>
      <c r="B2505" t="s">
        <v>108</v>
      </c>
      <c r="C2505">
        <v>8</v>
      </c>
      <c r="D2505">
        <v>2</v>
      </c>
      <c r="E2505">
        <v>3</v>
      </c>
      <c r="F2505">
        <v>3</v>
      </c>
      <c r="G2505" t="s">
        <v>122</v>
      </c>
      <c r="H2505" t="str">
        <f>IFERROR(ROUND(COUNTIFS(Tasks!$A:$A,$A2505,Tasks!$B:$B,$B2505,Tasks!$C:$C,$G2505,Tasks!$I:$I,"&lt;="&amp;INDEX(Weeks!$D:$D,MATCH($C2505,Weeks!$A:$A,0)),Tasks!$I:$I,"&lt;&gt;")/COUNTIFS(Tasks!$A:$A,$A2505,Tasks!$B:$B,$B2505,Tasks!$C:$C,$G2505)*100,0),"")</f>
        <v/>
      </c>
    </row>
    <row r="2506" spans="1:8" ht="15" hidden="1" customHeight="1">
      <c r="A2506" t="s">
        <v>107</v>
      </c>
      <c r="B2506" t="s">
        <v>108</v>
      </c>
      <c r="C2506">
        <v>9</v>
      </c>
      <c r="D2506">
        <v>2</v>
      </c>
      <c r="E2506">
        <v>4</v>
      </c>
      <c r="F2506">
        <v>3</v>
      </c>
      <c r="G2506" t="s">
        <v>122</v>
      </c>
      <c r="H2506" t="str">
        <f>IFERROR(ROUND(COUNTIFS(Tasks!$A:$A,$A2506,Tasks!$B:$B,$B2506,Tasks!$C:$C,$G2506,Tasks!$I:$I,"&lt;="&amp;INDEX(Weeks!$D:$D,MATCH($C2506,Weeks!$A:$A,0)),Tasks!$I:$I,"&lt;&gt;")/COUNTIFS(Tasks!$A:$A,$A2506,Tasks!$B:$B,$B2506,Tasks!$C:$C,$G2506)*100,0),"")</f>
        <v/>
      </c>
    </row>
    <row r="2507" spans="1:8" ht="15" hidden="1" customHeight="1">
      <c r="A2507" t="s">
        <v>107</v>
      </c>
      <c r="B2507" t="s">
        <v>108</v>
      </c>
      <c r="C2507">
        <v>10</v>
      </c>
      <c r="D2507">
        <v>3</v>
      </c>
      <c r="E2507">
        <v>1</v>
      </c>
      <c r="F2507">
        <v>3</v>
      </c>
      <c r="G2507" t="s">
        <v>122</v>
      </c>
      <c r="H2507" t="str">
        <f>IFERROR(ROUND(COUNTIFS(Tasks!$A:$A,$A2507,Tasks!$B:$B,$B2507,Tasks!$C:$C,$G2507,Tasks!$I:$I,"&lt;="&amp;INDEX(Weeks!$D:$D,MATCH($C2507,Weeks!$A:$A,0)),Tasks!$I:$I,"&lt;&gt;")/COUNTIFS(Tasks!$A:$A,$A2507,Tasks!$B:$B,$B2507,Tasks!$C:$C,$G2507)*100,0),"")</f>
        <v/>
      </c>
    </row>
    <row r="2508" spans="1:8" ht="15" hidden="1" customHeight="1">
      <c r="A2508" t="s">
        <v>107</v>
      </c>
      <c r="B2508" t="s">
        <v>108</v>
      </c>
      <c r="C2508">
        <v>11</v>
      </c>
      <c r="D2508">
        <v>3</v>
      </c>
      <c r="E2508">
        <v>2</v>
      </c>
      <c r="F2508">
        <v>3</v>
      </c>
      <c r="G2508" t="s">
        <v>122</v>
      </c>
      <c r="H2508" t="str">
        <f>IFERROR(ROUND(COUNTIFS(Tasks!$A:$A,$A2508,Tasks!$B:$B,$B2508,Tasks!$C:$C,$G2508,Tasks!$I:$I,"&lt;="&amp;INDEX(Weeks!$D:$D,MATCH($C2508,Weeks!$A:$A,0)),Tasks!$I:$I,"&lt;&gt;")/COUNTIFS(Tasks!$A:$A,$A2508,Tasks!$B:$B,$B2508,Tasks!$C:$C,$G2508)*100,0),"")</f>
        <v/>
      </c>
    </row>
    <row r="2509" spans="1:8" ht="15" hidden="1" customHeight="1">
      <c r="A2509" t="s">
        <v>107</v>
      </c>
      <c r="B2509" t="s">
        <v>108</v>
      </c>
      <c r="C2509">
        <v>12</v>
      </c>
      <c r="D2509">
        <v>3</v>
      </c>
      <c r="E2509">
        <v>3</v>
      </c>
      <c r="F2509">
        <v>3</v>
      </c>
      <c r="G2509" t="s">
        <v>122</v>
      </c>
      <c r="H2509" t="str">
        <f>IFERROR(ROUND(COUNTIFS(Tasks!$A:$A,$A2509,Tasks!$B:$B,$B2509,Tasks!$C:$C,$G2509,Tasks!$I:$I,"&lt;="&amp;INDEX(Weeks!$D:$D,MATCH($C2509,Weeks!$A:$A,0)),Tasks!$I:$I,"&lt;&gt;")/COUNTIFS(Tasks!$A:$A,$A2509,Tasks!$B:$B,$B2509,Tasks!$C:$C,$G2509)*100,0),"")</f>
        <v/>
      </c>
    </row>
    <row r="2510" spans="1:8" ht="15" hidden="1" customHeight="1">
      <c r="A2510" t="s">
        <v>107</v>
      </c>
      <c r="B2510" t="s">
        <v>108</v>
      </c>
      <c r="C2510">
        <v>13</v>
      </c>
      <c r="D2510">
        <v>3</v>
      </c>
      <c r="E2510">
        <v>4</v>
      </c>
      <c r="F2510">
        <v>3</v>
      </c>
      <c r="G2510" t="s">
        <v>122</v>
      </c>
      <c r="H2510" t="str">
        <f>IFERROR(ROUND(COUNTIFS(Tasks!$A:$A,$A2510,Tasks!$B:$B,$B2510,Tasks!$C:$C,$G2510,Tasks!$I:$I,"&lt;="&amp;INDEX(Weeks!$D:$D,MATCH($C2510,Weeks!$A:$A,0)),Tasks!$I:$I,"&lt;&gt;")/COUNTIFS(Tasks!$A:$A,$A2510,Tasks!$B:$B,$B2510,Tasks!$C:$C,$G2510)*100,0),"")</f>
        <v/>
      </c>
    </row>
    <row r="2511" spans="1:8" ht="15" hidden="1" customHeight="1">
      <c r="A2511" t="s">
        <v>107</v>
      </c>
      <c r="B2511" t="s">
        <v>108</v>
      </c>
      <c r="C2511">
        <v>14</v>
      </c>
      <c r="D2511">
        <v>4</v>
      </c>
      <c r="E2511">
        <v>1</v>
      </c>
      <c r="F2511">
        <v>3</v>
      </c>
      <c r="G2511" t="s">
        <v>122</v>
      </c>
      <c r="H2511" t="str">
        <f>IFERROR(ROUND(COUNTIFS(Tasks!$A:$A,$A2511,Tasks!$B:$B,$B2511,Tasks!$C:$C,$G2511,Tasks!$I:$I,"&lt;="&amp;INDEX(Weeks!$D:$D,MATCH($C2511,Weeks!$A:$A,0)),Tasks!$I:$I,"&lt;&gt;")/COUNTIFS(Tasks!$A:$A,$A2511,Tasks!$B:$B,$B2511,Tasks!$C:$C,$G2511)*100,0),"")</f>
        <v/>
      </c>
    </row>
    <row r="2512" spans="1:8" ht="15" hidden="1" customHeight="1">
      <c r="A2512" t="s">
        <v>107</v>
      </c>
      <c r="B2512" t="s">
        <v>108</v>
      </c>
      <c r="C2512">
        <v>15</v>
      </c>
      <c r="D2512">
        <v>4</v>
      </c>
      <c r="E2512">
        <v>2</v>
      </c>
      <c r="F2512">
        <v>3</v>
      </c>
      <c r="G2512" t="s">
        <v>122</v>
      </c>
      <c r="H2512" t="str">
        <f>IFERROR(ROUND(COUNTIFS(Tasks!$A:$A,$A2512,Tasks!$B:$B,$B2512,Tasks!$C:$C,$G2512,Tasks!$I:$I,"&lt;="&amp;INDEX(Weeks!$D:$D,MATCH($C2512,Weeks!$A:$A,0)),Tasks!$I:$I,"&lt;&gt;")/COUNTIFS(Tasks!$A:$A,$A2512,Tasks!$B:$B,$B2512,Tasks!$C:$C,$G2512)*100,0),"")</f>
        <v/>
      </c>
    </row>
    <row r="2513" spans="1:8" ht="15" hidden="1" customHeight="1">
      <c r="A2513" t="s">
        <v>107</v>
      </c>
      <c r="B2513" t="s">
        <v>108</v>
      </c>
      <c r="C2513">
        <v>16</v>
      </c>
      <c r="D2513">
        <v>4</v>
      </c>
      <c r="E2513">
        <v>3</v>
      </c>
      <c r="F2513">
        <v>3</v>
      </c>
      <c r="G2513" t="s">
        <v>122</v>
      </c>
      <c r="H2513" t="str">
        <f>IFERROR(ROUND(COUNTIFS(Tasks!$A:$A,$A2513,Tasks!$B:$B,$B2513,Tasks!$C:$C,$G2513,Tasks!$I:$I,"&lt;="&amp;INDEX(Weeks!$D:$D,MATCH($C2513,Weeks!$A:$A,0)),Tasks!$I:$I,"&lt;&gt;")/COUNTIFS(Tasks!$A:$A,$A2513,Tasks!$B:$B,$B2513,Tasks!$C:$C,$G2513)*100,0),"")</f>
        <v/>
      </c>
    </row>
    <row r="2514" spans="1:8" ht="15" hidden="1" customHeight="1">
      <c r="A2514" t="s">
        <v>107</v>
      </c>
      <c r="B2514" t="s">
        <v>108</v>
      </c>
      <c r="C2514">
        <v>17</v>
      </c>
      <c r="D2514">
        <v>4</v>
      </c>
      <c r="E2514">
        <v>4</v>
      </c>
      <c r="F2514">
        <v>3</v>
      </c>
      <c r="G2514" t="s">
        <v>122</v>
      </c>
      <c r="H2514" t="str">
        <f>IFERROR(ROUND(COUNTIFS(Tasks!$A:$A,$A2514,Tasks!$B:$B,$B2514,Tasks!$C:$C,$G2514,Tasks!$I:$I,"&lt;="&amp;INDEX(Weeks!$D:$D,MATCH($C2514,Weeks!$A:$A,0)),Tasks!$I:$I,"&lt;&gt;")/COUNTIFS(Tasks!$A:$A,$A2514,Tasks!$B:$B,$B2514,Tasks!$C:$C,$G2514)*100,0),"")</f>
        <v/>
      </c>
    </row>
    <row r="2515" spans="1:8" ht="15" hidden="1" customHeight="1">
      <c r="A2515" t="s">
        <v>107</v>
      </c>
      <c r="B2515" t="s">
        <v>108</v>
      </c>
      <c r="C2515">
        <v>18</v>
      </c>
      <c r="D2515">
        <v>5</v>
      </c>
      <c r="E2515">
        <v>1</v>
      </c>
      <c r="F2515">
        <v>3</v>
      </c>
      <c r="G2515" t="s">
        <v>122</v>
      </c>
      <c r="H2515" t="str">
        <f>IFERROR(ROUND(COUNTIFS(Tasks!$A:$A,$A2515,Tasks!$B:$B,$B2515,Tasks!$C:$C,$G2515,Tasks!$I:$I,"&lt;="&amp;INDEX(Weeks!$D:$D,MATCH($C2515,Weeks!$A:$A,0)),Tasks!$I:$I,"&lt;&gt;")/COUNTIFS(Tasks!$A:$A,$A2515,Tasks!$B:$B,$B2515,Tasks!$C:$C,$G2515)*100,0),"")</f>
        <v/>
      </c>
    </row>
    <row r="2516" spans="1:8" ht="15" hidden="1" customHeight="1">
      <c r="A2516" t="s">
        <v>107</v>
      </c>
      <c r="B2516" t="s">
        <v>108</v>
      </c>
      <c r="C2516">
        <v>19</v>
      </c>
      <c r="D2516">
        <v>5</v>
      </c>
      <c r="E2516">
        <v>2</v>
      </c>
      <c r="F2516">
        <v>3</v>
      </c>
      <c r="G2516" t="s">
        <v>122</v>
      </c>
      <c r="H2516" t="str">
        <f>IFERROR(ROUND(COUNTIFS(Tasks!$A:$A,$A2516,Tasks!$B:$B,$B2516,Tasks!$C:$C,$G2516,Tasks!$I:$I,"&lt;="&amp;INDEX(Weeks!$D:$D,MATCH($C2516,Weeks!$A:$A,0)),Tasks!$I:$I,"&lt;&gt;")/COUNTIFS(Tasks!$A:$A,$A2516,Tasks!$B:$B,$B2516,Tasks!$C:$C,$G2516)*100,0),"")</f>
        <v/>
      </c>
    </row>
    <row r="2517" spans="1:8" ht="15" hidden="1" customHeight="1">
      <c r="A2517" t="s">
        <v>107</v>
      </c>
      <c r="B2517" t="s">
        <v>108</v>
      </c>
      <c r="C2517">
        <v>20</v>
      </c>
      <c r="D2517">
        <v>5</v>
      </c>
      <c r="E2517">
        <v>3</v>
      </c>
      <c r="F2517">
        <v>3</v>
      </c>
      <c r="G2517" t="s">
        <v>122</v>
      </c>
      <c r="H2517" t="str">
        <f>IFERROR(ROUND(COUNTIFS(Tasks!$A:$A,$A2517,Tasks!$B:$B,$B2517,Tasks!$C:$C,$G2517,Tasks!$I:$I,"&lt;="&amp;INDEX(Weeks!$D:$D,MATCH($C2517,Weeks!$A:$A,0)),Tasks!$I:$I,"&lt;&gt;")/COUNTIFS(Tasks!$A:$A,$A2517,Tasks!$B:$B,$B2517,Tasks!$C:$C,$G2517)*100,0),"")</f>
        <v/>
      </c>
    </row>
    <row r="2518" spans="1:8" ht="15" hidden="1" customHeight="1">
      <c r="A2518" t="s">
        <v>107</v>
      </c>
      <c r="B2518" t="s">
        <v>108</v>
      </c>
      <c r="C2518">
        <v>21</v>
      </c>
      <c r="D2518">
        <v>5</v>
      </c>
      <c r="E2518">
        <v>4</v>
      </c>
      <c r="F2518">
        <v>3</v>
      </c>
      <c r="G2518" t="s">
        <v>122</v>
      </c>
      <c r="H2518" t="str">
        <f>IFERROR(ROUND(COUNTIFS(Tasks!$A:$A,$A2518,Tasks!$B:$B,$B2518,Tasks!$C:$C,$G2518,Tasks!$I:$I,"&lt;="&amp;INDEX(Weeks!$D:$D,MATCH($C2518,Weeks!$A:$A,0)),Tasks!$I:$I,"&lt;&gt;")/COUNTIFS(Tasks!$A:$A,$A2518,Tasks!$B:$B,$B2518,Tasks!$C:$C,$G2518)*100,0),"")</f>
        <v/>
      </c>
    </row>
    <row r="2519" spans="1:8" ht="15" hidden="1" customHeight="1">
      <c r="A2519" t="s">
        <v>107</v>
      </c>
      <c r="B2519" t="s">
        <v>108</v>
      </c>
      <c r="C2519">
        <v>22</v>
      </c>
      <c r="D2519">
        <v>5</v>
      </c>
      <c r="E2519">
        <v>5</v>
      </c>
      <c r="F2519">
        <v>3</v>
      </c>
      <c r="G2519" t="s">
        <v>122</v>
      </c>
      <c r="H2519" t="str">
        <f>IFERROR(ROUND(COUNTIFS(Tasks!$A:$A,$A2519,Tasks!$B:$B,$B2519,Tasks!$C:$C,$G2519,Tasks!$I:$I,"&lt;="&amp;INDEX(Weeks!$D:$D,MATCH($C2519,Weeks!$A:$A,0)),Tasks!$I:$I,"&lt;&gt;")/COUNTIFS(Tasks!$A:$A,$A2519,Tasks!$B:$B,$B2519,Tasks!$C:$C,$G2519)*100,0),"")</f>
        <v/>
      </c>
    </row>
    <row r="2520" spans="1:8" ht="15" hidden="1" customHeight="1">
      <c r="A2520" t="s">
        <v>107</v>
      </c>
      <c r="B2520" t="s">
        <v>108</v>
      </c>
      <c r="C2520">
        <v>23</v>
      </c>
      <c r="D2520">
        <v>6</v>
      </c>
      <c r="E2520">
        <v>1</v>
      </c>
      <c r="F2520">
        <v>3</v>
      </c>
      <c r="G2520" t="s">
        <v>122</v>
      </c>
      <c r="H2520" t="str">
        <f>IFERROR(ROUND(COUNTIFS(Tasks!$A:$A,$A2520,Tasks!$B:$B,$B2520,Tasks!$C:$C,$G2520,Tasks!$I:$I,"&lt;="&amp;INDEX(Weeks!$D:$D,MATCH($C2520,Weeks!$A:$A,0)),Tasks!$I:$I,"&lt;&gt;")/COUNTIFS(Tasks!$A:$A,$A2520,Tasks!$B:$B,$B2520,Tasks!$C:$C,$G2520)*100,0),"")</f>
        <v/>
      </c>
    </row>
    <row r="2521" spans="1:8" ht="15" hidden="1" customHeight="1">
      <c r="A2521" t="s">
        <v>107</v>
      </c>
      <c r="B2521" t="s">
        <v>108</v>
      </c>
      <c r="C2521">
        <v>24</v>
      </c>
      <c r="D2521">
        <v>6</v>
      </c>
      <c r="E2521">
        <v>2</v>
      </c>
      <c r="F2521">
        <v>3</v>
      </c>
      <c r="G2521" t="s">
        <v>122</v>
      </c>
      <c r="H2521" t="str">
        <f>IFERROR(ROUND(COUNTIFS(Tasks!$A:$A,$A2521,Tasks!$B:$B,$B2521,Tasks!$C:$C,$G2521,Tasks!$I:$I,"&lt;="&amp;INDEX(Weeks!$D:$D,MATCH($C2521,Weeks!$A:$A,0)),Tasks!$I:$I,"&lt;&gt;")/COUNTIFS(Tasks!$A:$A,$A2521,Tasks!$B:$B,$B2521,Tasks!$C:$C,$G2521)*100,0),"")</f>
        <v/>
      </c>
    </row>
    <row r="2522" spans="1:8" ht="15" hidden="1" customHeight="1">
      <c r="A2522" t="s">
        <v>107</v>
      </c>
      <c r="B2522" t="s">
        <v>108</v>
      </c>
      <c r="C2522">
        <v>25</v>
      </c>
      <c r="D2522">
        <v>6</v>
      </c>
      <c r="E2522">
        <v>3</v>
      </c>
      <c r="F2522">
        <v>3</v>
      </c>
      <c r="G2522" t="s">
        <v>122</v>
      </c>
      <c r="H2522" t="str">
        <f>IFERROR(ROUND(COUNTIFS(Tasks!$A:$A,$A2522,Tasks!$B:$B,$B2522,Tasks!$C:$C,$G2522,Tasks!$I:$I,"&lt;="&amp;INDEX(Weeks!$D:$D,MATCH($C2522,Weeks!$A:$A,0)),Tasks!$I:$I,"&lt;&gt;")/COUNTIFS(Tasks!$A:$A,$A2522,Tasks!$B:$B,$B2522,Tasks!$C:$C,$G2522)*100,0),"")</f>
        <v/>
      </c>
    </row>
    <row r="2523" spans="1:8" ht="15" hidden="1" customHeight="1">
      <c r="A2523" t="s">
        <v>107</v>
      </c>
      <c r="B2523" t="s">
        <v>108</v>
      </c>
      <c r="C2523">
        <v>26</v>
      </c>
      <c r="D2523">
        <v>6</v>
      </c>
      <c r="E2523">
        <v>4</v>
      </c>
      <c r="F2523">
        <v>3</v>
      </c>
      <c r="G2523" t="s">
        <v>122</v>
      </c>
      <c r="H2523" t="str">
        <f>IFERROR(ROUND(COUNTIFS(Tasks!$A:$A,$A2523,Tasks!$B:$B,$B2523,Tasks!$C:$C,$G2523,Tasks!$I:$I,"&lt;="&amp;INDEX(Weeks!$D:$D,MATCH($C2523,Weeks!$A:$A,0)),Tasks!$I:$I,"&lt;&gt;")/COUNTIFS(Tasks!$A:$A,$A2523,Tasks!$B:$B,$B2523,Tasks!$C:$C,$G2523)*100,0),"")</f>
        <v/>
      </c>
    </row>
    <row r="2524" spans="1:8" ht="15" hidden="1" customHeight="1">
      <c r="A2524" t="s">
        <v>107</v>
      </c>
      <c r="B2524" t="s">
        <v>108</v>
      </c>
      <c r="C2524">
        <v>27</v>
      </c>
      <c r="D2524">
        <v>7</v>
      </c>
      <c r="E2524">
        <v>1</v>
      </c>
      <c r="F2524">
        <v>3</v>
      </c>
      <c r="G2524" t="s">
        <v>122</v>
      </c>
      <c r="H2524" t="str">
        <f>IFERROR(ROUND(COUNTIFS(Tasks!$A:$A,$A2524,Tasks!$B:$B,$B2524,Tasks!$C:$C,$G2524,Tasks!$I:$I,"&lt;="&amp;INDEX(Weeks!$D:$D,MATCH($C2524,Weeks!$A:$A,0)),Tasks!$I:$I,"&lt;&gt;")/COUNTIFS(Tasks!$A:$A,$A2524,Tasks!$B:$B,$B2524,Tasks!$C:$C,$G2524)*100,0),"")</f>
        <v/>
      </c>
    </row>
    <row r="2525" spans="1:8" ht="15" hidden="1" customHeight="1">
      <c r="A2525" t="s">
        <v>107</v>
      </c>
      <c r="B2525" t="s">
        <v>108</v>
      </c>
      <c r="C2525">
        <v>28</v>
      </c>
      <c r="D2525">
        <v>7</v>
      </c>
      <c r="E2525">
        <v>2</v>
      </c>
      <c r="F2525">
        <v>3</v>
      </c>
      <c r="G2525" t="s">
        <v>122</v>
      </c>
      <c r="H2525" t="str">
        <f>IFERROR(ROUND(COUNTIFS(Tasks!$A:$A,$A2525,Tasks!$B:$B,$B2525,Tasks!$C:$C,$G2525,Tasks!$I:$I,"&lt;="&amp;INDEX(Weeks!$D:$D,MATCH($C2525,Weeks!$A:$A,0)),Tasks!$I:$I,"&lt;&gt;")/COUNTIFS(Tasks!$A:$A,$A2525,Tasks!$B:$B,$B2525,Tasks!$C:$C,$G2525)*100,0),"")</f>
        <v/>
      </c>
    </row>
    <row r="2526" spans="1:8" ht="15" hidden="1" customHeight="1">
      <c r="A2526" t="s">
        <v>107</v>
      </c>
      <c r="B2526" t="s">
        <v>108</v>
      </c>
      <c r="C2526">
        <v>29</v>
      </c>
      <c r="D2526">
        <v>7</v>
      </c>
      <c r="E2526">
        <v>3</v>
      </c>
      <c r="F2526">
        <v>3</v>
      </c>
      <c r="G2526" t="s">
        <v>122</v>
      </c>
      <c r="H2526" t="str">
        <f>IFERROR(ROUND(COUNTIFS(Tasks!$A:$A,$A2526,Tasks!$B:$B,$B2526,Tasks!$C:$C,$G2526,Tasks!$I:$I,"&lt;="&amp;INDEX(Weeks!$D:$D,MATCH($C2526,Weeks!$A:$A,0)),Tasks!$I:$I,"&lt;&gt;")/COUNTIFS(Tasks!$A:$A,$A2526,Tasks!$B:$B,$B2526,Tasks!$C:$C,$G2526)*100,0),"")</f>
        <v/>
      </c>
    </row>
    <row r="2527" spans="1:8" ht="15" hidden="1" customHeight="1">
      <c r="A2527" t="s">
        <v>107</v>
      </c>
      <c r="B2527" t="s">
        <v>108</v>
      </c>
      <c r="C2527">
        <v>30</v>
      </c>
      <c r="D2527">
        <v>7</v>
      </c>
      <c r="E2527">
        <v>4</v>
      </c>
      <c r="F2527">
        <v>3</v>
      </c>
      <c r="G2527" t="s">
        <v>122</v>
      </c>
      <c r="H2527" t="str">
        <f>IFERROR(ROUND(COUNTIFS(Tasks!$A:$A,$A2527,Tasks!$B:$B,$B2527,Tasks!$C:$C,$G2527,Tasks!$I:$I,"&lt;="&amp;INDEX(Weeks!$D:$D,MATCH($C2527,Weeks!$A:$A,0)),Tasks!$I:$I,"&lt;&gt;")/COUNTIFS(Tasks!$A:$A,$A2527,Tasks!$B:$B,$B2527,Tasks!$C:$C,$G2527)*100,0),"")</f>
        <v/>
      </c>
    </row>
    <row r="2528" spans="1:8" ht="15" hidden="1" customHeight="1">
      <c r="A2528" t="s">
        <v>107</v>
      </c>
      <c r="B2528" t="s">
        <v>108</v>
      </c>
      <c r="C2528">
        <v>31</v>
      </c>
      <c r="D2528">
        <v>8</v>
      </c>
      <c r="E2528">
        <v>1</v>
      </c>
      <c r="F2528">
        <v>3</v>
      </c>
      <c r="G2528" t="s">
        <v>122</v>
      </c>
      <c r="H2528" t="str">
        <f>IFERROR(ROUND(COUNTIFS(Tasks!$A:$A,$A2528,Tasks!$B:$B,$B2528,Tasks!$C:$C,$G2528,Tasks!$I:$I,"&lt;="&amp;INDEX(Weeks!$D:$D,MATCH($C2528,Weeks!$A:$A,0)),Tasks!$I:$I,"&lt;&gt;")/COUNTIFS(Tasks!$A:$A,$A2528,Tasks!$B:$B,$B2528,Tasks!$C:$C,$G2528)*100,0),"")</f>
        <v/>
      </c>
    </row>
    <row r="2529" spans="1:8" ht="15" hidden="1" customHeight="1">
      <c r="A2529" t="s">
        <v>107</v>
      </c>
      <c r="B2529" t="s">
        <v>108</v>
      </c>
      <c r="C2529">
        <v>32</v>
      </c>
      <c r="D2529">
        <v>8</v>
      </c>
      <c r="E2529">
        <v>2</v>
      </c>
      <c r="F2529">
        <v>3</v>
      </c>
      <c r="G2529" t="s">
        <v>122</v>
      </c>
      <c r="H2529" t="str">
        <f>IFERROR(ROUND(COUNTIFS(Tasks!$A:$A,$A2529,Tasks!$B:$B,$B2529,Tasks!$C:$C,$G2529,Tasks!$I:$I,"&lt;="&amp;INDEX(Weeks!$D:$D,MATCH($C2529,Weeks!$A:$A,0)),Tasks!$I:$I,"&lt;&gt;")/COUNTIFS(Tasks!$A:$A,$A2529,Tasks!$B:$B,$B2529,Tasks!$C:$C,$G2529)*100,0),"")</f>
        <v/>
      </c>
    </row>
    <row r="2530" spans="1:8" ht="15" hidden="1" customHeight="1">
      <c r="A2530" t="s">
        <v>107</v>
      </c>
      <c r="B2530" t="s">
        <v>108</v>
      </c>
      <c r="C2530">
        <v>33</v>
      </c>
      <c r="D2530">
        <v>8</v>
      </c>
      <c r="E2530">
        <v>3</v>
      </c>
      <c r="F2530">
        <v>3</v>
      </c>
      <c r="G2530" t="s">
        <v>122</v>
      </c>
      <c r="H2530" t="str">
        <f>IFERROR(ROUND(COUNTIFS(Tasks!$A:$A,$A2530,Tasks!$B:$B,$B2530,Tasks!$C:$C,$G2530,Tasks!$I:$I,"&lt;="&amp;INDEX(Weeks!$D:$D,MATCH($C2530,Weeks!$A:$A,0)),Tasks!$I:$I,"&lt;&gt;")/COUNTIFS(Tasks!$A:$A,$A2530,Tasks!$B:$B,$B2530,Tasks!$C:$C,$G2530)*100,0),"")</f>
        <v/>
      </c>
    </row>
    <row r="2531" spans="1:8" ht="15" hidden="1" customHeight="1">
      <c r="A2531" t="s">
        <v>107</v>
      </c>
      <c r="B2531" t="s">
        <v>108</v>
      </c>
      <c r="C2531">
        <v>34</v>
      </c>
      <c r="D2531">
        <v>8</v>
      </c>
      <c r="E2531">
        <v>4</v>
      </c>
      <c r="F2531">
        <v>3</v>
      </c>
      <c r="G2531" t="s">
        <v>122</v>
      </c>
      <c r="H2531" t="str">
        <f>IFERROR(ROUND(COUNTIFS(Tasks!$A:$A,$A2531,Tasks!$B:$B,$B2531,Tasks!$C:$C,$G2531,Tasks!$I:$I,"&lt;="&amp;INDEX(Weeks!$D:$D,MATCH($C2531,Weeks!$A:$A,0)),Tasks!$I:$I,"&lt;&gt;")/COUNTIFS(Tasks!$A:$A,$A2531,Tasks!$B:$B,$B2531,Tasks!$C:$C,$G2531)*100,0),"")</f>
        <v/>
      </c>
    </row>
    <row r="2532" spans="1:8" ht="15" hidden="1" customHeight="1">
      <c r="A2532" t="s">
        <v>107</v>
      </c>
      <c r="B2532" t="s">
        <v>108</v>
      </c>
      <c r="C2532">
        <v>35</v>
      </c>
      <c r="D2532">
        <v>8</v>
      </c>
      <c r="E2532">
        <v>5</v>
      </c>
      <c r="F2532">
        <v>3</v>
      </c>
      <c r="G2532" t="s">
        <v>122</v>
      </c>
      <c r="H2532" t="str">
        <f>IFERROR(ROUND(COUNTIFS(Tasks!$A:$A,$A2532,Tasks!$B:$B,$B2532,Tasks!$C:$C,$G2532,Tasks!$I:$I,"&lt;="&amp;INDEX(Weeks!$D:$D,MATCH($C2532,Weeks!$A:$A,0)),Tasks!$I:$I,"&lt;&gt;")/COUNTIFS(Tasks!$A:$A,$A2532,Tasks!$B:$B,$B2532,Tasks!$C:$C,$G2532)*100,0),"")</f>
        <v/>
      </c>
    </row>
    <row r="2533" spans="1:8" ht="15" hidden="1" customHeight="1">
      <c r="A2533" t="s">
        <v>107</v>
      </c>
      <c r="B2533" t="s">
        <v>108</v>
      </c>
      <c r="C2533">
        <v>36</v>
      </c>
      <c r="D2533">
        <v>9</v>
      </c>
      <c r="E2533">
        <v>1</v>
      </c>
      <c r="F2533">
        <v>3</v>
      </c>
      <c r="G2533" t="s">
        <v>122</v>
      </c>
      <c r="H2533" t="str">
        <f>IFERROR(ROUND(COUNTIFS(Tasks!$A:$A,$A2533,Tasks!$B:$B,$B2533,Tasks!$C:$C,$G2533,Tasks!$I:$I,"&lt;="&amp;INDEX(Weeks!$D:$D,MATCH($C2533,Weeks!$A:$A,0)),Tasks!$I:$I,"&lt;&gt;")/COUNTIFS(Tasks!$A:$A,$A2533,Tasks!$B:$B,$B2533,Tasks!$C:$C,$G2533)*100,0),"")</f>
        <v/>
      </c>
    </row>
    <row r="2534" spans="1:8" ht="15" hidden="1" customHeight="1">
      <c r="A2534" t="s">
        <v>107</v>
      </c>
      <c r="B2534" t="s">
        <v>108</v>
      </c>
      <c r="C2534">
        <v>37</v>
      </c>
      <c r="D2534">
        <v>9</v>
      </c>
      <c r="E2534">
        <v>2</v>
      </c>
      <c r="F2534">
        <v>3</v>
      </c>
      <c r="G2534" t="s">
        <v>122</v>
      </c>
      <c r="H2534" t="str">
        <f>IFERROR(ROUND(COUNTIFS(Tasks!$A:$A,$A2534,Tasks!$B:$B,$B2534,Tasks!$C:$C,$G2534,Tasks!$I:$I,"&lt;="&amp;INDEX(Weeks!$D:$D,MATCH($C2534,Weeks!$A:$A,0)),Tasks!$I:$I,"&lt;&gt;")/COUNTIFS(Tasks!$A:$A,$A2534,Tasks!$B:$B,$B2534,Tasks!$C:$C,$G2534)*100,0),"")</f>
        <v/>
      </c>
    </row>
    <row r="2535" spans="1:8" ht="15" hidden="1" customHeight="1">
      <c r="A2535" t="s">
        <v>107</v>
      </c>
      <c r="B2535" t="s">
        <v>108</v>
      </c>
      <c r="C2535">
        <v>38</v>
      </c>
      <c r="D2535">
        <v>9</v>
      </c>
      <c r="E2535">
        <v>3</v>
      </c>
      <c r="F2535">
        <v>3</v>
      </c>
      <c r="G2535" t="s">
        <v>122</v>
      </c>
      <c r="H2535" t="str">
        <f>IFERROR(ROUND(COUNTIFS(Tasks!$A:$A,$A2535,Tasks!$B:$B,$B2535,Tasks!$C:$C,$G2535,Tasks!$I:$I,"&lt;="&amp;INDEX(Weeks!$D:$D,MATCH($C2535,Weeks!$A:$A,0)),Tasks!$I:$I,"&lt;&gt;")/COUNTIFS(Tasks!$A:$A,$A2535,Tasks!$B:$B,$B2535,Tasks!$C:$C,$G2535)*100,0),"")</f>
        <v/>
      </c>
    </row>
    <row r="2536" spans="1:8" ht="15" hidden="1" customHeight="1">
      <c r="A2536" t="s">
        <v>107</v>
      </c>
      <c r="B2536" t="s">
        <v>108</v>
      </c>
      <c r="C2536">
        <v>39</v>
      </c>
      <c r="D2536">
        <v>9</v>
      </c>
      <c r="E2536">
        <v>4</v>
      </c>
      <c r="F2536">
        <v>3</v>
      </c>
      <c r="G2536" t="s">
        <v>122</v>
      </c>
      <c r="H2536" t="str">
        <f>IFERROR(ROUND(COUNTIFS(Tasks!$A:$A,$A2536,Tasks!$B:$B,$B2536,Tasks!$C:$C,$G2536,Tasks!$I:$I,"&lt;="&amp;INDEX(Weeks!$D:$D,MATCH($C2536,Weeks!$A:$A,0)),Tasks!$I:$I,"&lt;&gt;")/COUNTIFS(Tasks!$A:$A,$A2536,Tasks!$B:$B,$B2536,Tasks!$C:$C,$G2536)*100,0),"")</f>
        <v/>
      </c>
    </row>
    <row r="2537" spans="1:8" ht="15" hidden="1" customHeight="1">
      <c r="A2537" t="s">
        <v>107</v>
      </c>
      <c r="B2537" t="s">
        <v>108</v>
      </c>
      <c r="C2537">
        <v>40</v>
      </c>
      <c r="D2537">
        <v>10</v>
      </c>
      <c r="E2537">
        <v>1</v>
      </c>
      <c r="F2537">
        <v>3</v>
      </c>
      <c r="G2537" t="s">
        <v>122</v>
      </c>
      <c r="H2537" t="str">
        <f>IFERROR(ROUND(COUNTIFS(Tasks!$A:$A,$A2537,Tasks!$B:$B,$B2537,Tasks!$C:$C,$G2537,Tasks!$I:$I,"&lt;="&amp;INDEX(Weeks!$D:$D,MATCH($C2537,Weeks!$A:$A,0)),Tasks!$I:$I,"&lt;&gt;")/COUNTIFS(Tasks!$A:$A,$A2537,Tasks!$B:$B,$B2537,Tasks!$C:$C,$G2537)*100,0),"")</f>
        <v/>
      </c>
    </row>
    <row r="2538" spans="1:8" ht="15" hidden="1" customHeight="1">
      <c r="A2538" t="s">
        <v>107</v>
      </c>
      <c r="B2538" t="s">
        <v>108</v>
      </c>
      <c r="C2538">
        <v>41</v>
      </c>
      <c r="D2538">
        <v>10</v>
      </c>
      <c r="E2538">
        <v>2</v>
      </c>
      <c r="F2538">
        <v>3</v>
      </c>
      <c r="G2538" t="s">
        <v>122</v>
      </c>
      <c r="H2538" t="str">
        <f>IFERROR(ROUND(COUNTIFS(Tasks!$A:$A,$A2538,Tasks!$B:$B,$B2538,Tasks!$C:$C,$G2538,Tasks!$I:$I,"&lt;="&amp;INDEX(Weeks!$D:$D,MATCH($C2538,Weeks!$A:$A,0)),Tasks!$I:$I,"&lt;&gt;")/COUNTIFS(Tasks!$A:$A,$A2538,Tasks!$B:$B,$B2538,Tasks!$C:$C,$G2538)*100,0),"")</f>
        <v/>
      </c>
    </row>
    <row r="2539" spans="1:8" ht="15" hidden="1" customHeight="1">
      <c r="A2539" t="s">
        <v>107</v>
      </c>
      <c r="B2539" t="s">
        <v>108</v>
      </c>
      <c r="C2539">
        <v>42</v>
      </c>
      <c r="D2539">
        <v>10</v>
      </c>
      <c r="E2539">
        <v>3</v>
      </c>
      <c r="F2539">
        <v>3</v>
      </c>
      <c r="G2539" t="s">
        <v>122</v>
      </c>
      <c r="H2539" t="str">
        <f>IFERROR(ROUND(COUNTIFS(Tasks!$A:$A,$A2539,Tasks!$B:$B,$B2539,Tasks!$C:$C,$G2539,Tasks!$I:$I,"&lt;="&amp;INDEX(Weeks!$D:$D,MATCH($C2539,Weeks!$A:$A,0)),Tasks!$I:$I,"&lt;&gt;")/COUNTIFS(Tasks!$A:$A,$A2539,Tasks!$B:$B,$B2539,Tasks!$C:$C,$G2539)*100,0),"")</f>
        <v/>
      </c>
    </row>
    <row r="2540" spans="1:8" ht="15" hidden="1" customHeight="1">
      <c r="A2540" t="s">
        <v>107</v>
      </c>
      <c r="B2540" t="s">
        <v>108</v>
      </c>
      <c r="C2540">
        <v>43</v>
      </c>
      <c r="D2540">
        <v>10</v>
      </c>
      <c r="E2540">
        <v>4</v>
      </c>
      <c r="F2540">
        <v>3</v>
      </c>
      <c r="G2540" t="s">
        <v>122</v>
      </c>
      <c r="H2540" t="str">
        <f>IFERROR(ROUND(COUNTIFS(Tasks!$A:$A,$A2540,Tasks!$B:$B,$B2540,Tasks!$C:$C,$G2540,Tasks!$I:$I,"&lt;="&amp;INDEX(Weeks!$D:$D,MATCH($C2540,Weeks!$A:$A,0)),Tasks!$I:$I,"&lt;&gt;")/COUNTIFS(Tasks!$A:$A,$A2540,Tasks!$B:$B,$B2540,Tasks!$C:$C,$G2540)*100,0),"")</f>
        <v/>
      </c>
    </row>
    <row r="2541" spans="1:8" ht="15" hidden="1" customHeight="1">
      <c r="A2541" t="s">
        <v>107</v>
      </c>
      <c r="B2541" t="s">
        <v>108</v>
      </c>
      <c r="C2541">
        <v>44</v>
      </c>
      <c r="D2541">
        <v>10</v>
      </c>
      <c r="E2541">
        <v>5</v>
      </c>
      <c r="F2541">
        <v>3</v>
      </c>
      <c r="G2541" t="s">
        <v>122</v>
      </c>
      <c r="H2541" t="str">
        <f>IFERROR(ROUND(COUNTIFS(Tasks!$A:$A,$A2541,Tasks!$B:$B,$B2541,Tasks!$C:$C,$G2541,Tasks!$I:$I,"&lt;="&amp;INDEX(Weeks!$D:$D,MATCH($C2541,Weeks!$A:$A,0)),Tasks!$I:$I,"&lt;&gt;")/COUNTIFS(Tasks!$A:$A,$A2541,Tasks!$B:$B,$B2541,Tasks!$C:$C,$G2541)*100,0),"")</f>
        <v/>
      </c>
    </row>
    <row r="2542" spans="1:8" ht="15" hidden="1" customHeight="1">
      <c r="A2542" t="s">
        <v>107</v>
      </c>
      <c r="B2542" t="s">
        <v>108</v>
      </c>
      <c r="C2542">
        <v>45</v>
      </c>
      <c r="D2542">
        <v>11</v>
      </c>
      <c r="E2542">
        <v>1</v>
      </c>
      <c r="F2542">
        <v>3</v>
      </c>
      <c r="G2542" t="s">
        <v>122</v>
      </c>
      <c r="H2542" t="str">
        <f>IFERROR(ROUND(COUNTIFS(Tasks!$A:$A,$A2542,Tasks!$B:$B,$B2542,Tasks!$C:$C,$G2542,Tasks!$I:$I,"&lt;="&amp;INDEX(Weeks!$D:$D,MATCH($C2542,Weeks!$A:$A,0)),Tasks!$I:$I,"&lt;&gt;")/COUNTIFS(Tasks!$A:$A,$A2542,Tasks!$B:$B,$B2542,Tasks!$C:$C,$G2542)*100,0),"")</f>
        <v/>
      </c>
    </row>
    <row r="2543" spans="1:8" ht="15" hidden="1" customHeight="1">
      <c r="A2543" t="s">
        <v>107</v>
      </c>
      <c r="B2543" t="s">
        <v>108</v>
      </c>
      <c r="C2543">
        <v>46</v>
      </c>
      <c r="D2543">
        <v>11</v>
      </c>
      <c r="E2543">
        <v>2</v>
      </c>
      <c r="F2543">
        <v>3</v>
      </c>
      <c r="G2543" t="s">
        <v>122</v>
      </c>
      <c r="H2543" t="str">
        <f>IFERROR(ROUND(COUNTIFS(Tasks!$A:$A,$A2543,Tasks!$B:$B,$B2543,Tasks!$C:$C,$G2543,Tasks!$I:$I,"&lt;="&amp;INDEX(Weeks!$D:$D,MATCH($C2543,Weeks!$A:$A,0)),Tasks!$I:$I,"&lt;&gt;")/COUNTIFS(Tasks!$A:$A,$A2543,Tasks!$B:$B,$B2543,Tasks!$C:$C,$G2543)*100,0),"")</f>
        <v/>
      </c>
    </row>
    <row r="2544" spans="1:8" ht="15" hidden="1" customHeight="1">
      <c r="A2544" t="s">
        <v>107</v>
      </c>
      <c r="B2544" t="s">
        <v>108</v>
      </c>
      <c r="C2544">
        <v>47</v>
      </c>
      <c r="D2544">
        <v>11</v>
      </c>
      <c r="E2544">
        <v>3</v>
      </c>
      <c r="F2544">
        <v>3</v>
      </c>
      <c r="G2544" t="s">
        <v>122</v>
      </c>
      <c r="H2544" t="str">
        <f>IFERROR(ROUND(COUNTIFS(Tasks!$A:$A,$A2544,Tasks!$B:$B,$B2544,Tasks!$C:$C,$G2544,Tasks!$I:$I,"&lt;="&amp;INDEX(Weeks!$D:$D,MATCH($C2544,Weeks!$A:$A,0)),Tasks!$I:$I,"&lt;&gt;")/COUNTIFS(Tasks!$A:$A,$A2544,Tasks!$B:$B,$B2544,Tasks!$C:$C,$G2544)*100,0),"")</f>
        <v/>
      </c>
    </row>
    <row r="2545" spans="1:8" ht="15" hidden="1" customHeight="1">
      <c r="A2545" t="s">
        <v>107</v>
      </c>
      <c r="B2545" t="s">
        <v>108</v>
      </c>
      <c r="C2545">
        <v>48</v>
      </c>
      <c r="D2545">
        <v>11</v>
      </c>
      <c r="E2545">
        <v>4</v>
      </c>
      <c r="F2545">
        <v>3</v>
      </c>
      <c r="G2545" t="s">
        <v>122</v>
      </c>
      <c r="H2545" t="str">
        <f>IFERROR(ROUND(COUNTIFS(Tasks!$A:$A,$A2545,Tasks!$B:$B,$B2545,Tasks!$C:$C,$G2545,Tasks!$I:$I,"&lt;="&amp;INDEX(Weeks!$D:$D,MATCH($C2545,Weeks!$A:$A,0)),Tasks!$I:$I,"&lt;&gt;")/COUNTIFS(Tasks!$A:$A,$A2545,Tasks!$B:$B,$B2545,Tasks!$C:$C,$G2545)*100,0),"")</f>
        <v/>
      </c>
    </row>
    <row r="2546" spans="1:8" ht="15" hidden="1" customHeight="1">
      <c r="A2546" t="s">
        <v>107</v>
      </c>
      <c r="B2546" t="s">
        <v>108</v>
      </c>
      <c r="C2546">
        <v>49</v>
      </c>
      <c r="D2546">
        <v>12</v>
      </c>
      <c r="E2546">
        <v>1</v>
      </c>
      <c r="F2546">
        <v>3</v>
      </c>
      <c r="G2546" t="s">
        <v>122</v>
      </c>
      <c r="H2546" t="str">
        <f>IFERROR(ROUND(COUNTIFS(Tasks!$A:$A,$A2546,Tasks!$B:$B,$B2546,Tasks!$C:$C,$G2546,Tasks!$I:$I,"&lt;="&amp;INDEX(Weeks!$D:$D,MATCH($C2546,Weeks!$A:$A,0)),Tasks!$I:$I,"&lt;&gt;")/COUNTIFS(Tasks!$A:$A,$A2546,Tasks!$B:$B,$B2546,Tasks!$C:$C,$G2546)*100,0),"")</f>
        <v/>
      </c>
    </row>
    <row r="2547" spans="1:8" ht="15" hidden="1" customHeight="1">
      <c r="A2547" t="s">
        <v>107</v>
      </c>
      <c r="B2547" t="s">
        <v>108</v>
      </c>
      <c r="C2547">
        <v>50</v>
      </c>
      <c r="D2547">
        <v>12</v>
      </c>
      <c r="E2547">
        <v>2</v>
      </c>
      <c r="F2547">
        <v>3</v>
      </c>
      <c r="G2547" t="s">
        <v>122</v>
      </c>
      <c r="H2547" t="str">
        <f>IFERROR(ROUND(COUNTIFS(Tasks!$A:$A,$A2547,Tasks!$B:$B,$B2547,Tasks!$C:$C,$G2547,Tasks!$I:$I,"&lt;="&amp;INDEX(Weeks!$D:$D,MATCH($C2547,Weeks!$A:$A,0)),Tasks!$I:$I,"&lt;&gt;")/COUNTIFS(Tasks!$A:$A,$A2547,Tasks!$B:$B,$B2547,Tasks!$C:$C,$G2547)*100,0),"")</f>
        <v/>
      </c>
    </row>
    <row r="2548" spans="1:8" ht="15" hidden="1" customHeight="1">
      <c r="A2548" t="s">
        <v>107</v>
      </c>
      <c r="B2548" t="s">
        <v>108</v>
      </c>
      <c r="C2548">
        <v>51</v>
      </c>
      <c r="D2548">
        <v>12</v>
      </c>
      <c r="E2548">
        <v>3</v>
      </c>
      <c r="F2548">
        <v>3</v>
      </c>
      <c r="G2548" t="s">
        <v>122</v>
      </c>
      <c r="H2548" t="str">
        <f>IFERROR(ROUND(COUNTIFS(Tasks!$A:$A,$A2548,Tasks!$B:$B,$B2548,Tasks!$C:$C,$G2548,Tasks!$I:$I,"&lt;="&amp;INDEX(Weeks!$D:$D,MATCH($C2548,Weeks!$A:$A,0)),Tasks!$I:$I,"&lt;&gt;")/COUNTIFS(Tasks!$A:$A,$A2548,Tasks!$B:$B,$B2548,Tasks!$C:$C,$G2548)*100,0),"")</f>
        <v/>
      </c>
    </row>
    <row r="2549" spans="1:8" ht="15" hidden="1" customHeight="1">
      <c r="A2549" t="s">
        <v>107</v>
      </c>
      <c r="B2549" t="s">
        <v>108</v>
      </c>
      <c r="C2549">
        <v>52</v>
      </c>
      <c r="D2549">
        <v>12</v>
      </c>
      <c r="E2549">
        <v>4</v>
      </c>
      <c r="F2549">
        <v>3</v>
      </c>
      <c r="G2549" t="s">
        <v>122</v>
      </c>
      <c r="H2549" t="str">
        <f>IFERROR(ROUND(COUNTIFS(Tasks!$A:$A,$A2549,Tasks!$B:$B,$B2549,Tasks!$C:$C,$G2549,Tasks!$I:$I,"&lt;="&amp;INDEX(Weeks!$D:$D,MATCH($C2549,Weeks!$A:$A,0)),Tasks!$I:$I,"&lt;&gt;")/COUNTIFS(Tasks!$A:$A,$A2549,Tasks!$B:$B,$B2549,Tasks!$C:$C,$G2549)*100,0),"")</f>
        <v/>
      </c>
    </row>
    <row r="2550" spans="1:8" ht="15" hidden="1" customHeight="1">
      <c r="A2550" t="s">
        <v>107</v>
      </c>
      <c r="B2550" t="s">
        <v>108</v>
      </c>
      <c r="C2550">
        <v>1</v>
      </c>
      <c r="D2550">
        <v>1</v>
      </c>
      <c r="E2550">
        <v>1</v>
      </c>
      <c r="F2550">
        <v>4</v>
      </c>
      <c r="G2550" t="s">
        <v>123</v>
      </c>
      <c r="H2550" t="str">
        <f>IFERROR(ROUND(COUNTIFS(Tasks!$A:$A,$A2550,Tasks!$B:$B,$B2550,Tasks!$C:$C,$G2550,Tasks!$I:$I,"&lt;="&amp;INDEX(Weeks!$D:$D,MATCH($C2550,Weeks!$A:$A,0)),Tasks!$I:$I,"&lt;&gt;")/COUNTIFS(Tasks!$A:$A,$A2550,Tasks!$B:$B,$B2550,Tasks!$C:$C,$G2550)*100,0),"")</f>
        <v/>
      </c>
    </row>
    <row r="2551" spans="1:8" ht="15" hidden="1" customHeight="1">
      <c r="A2551" t="s">
        <v>107</v>
      </c>
      <c r="B2551" t="s">
        <v>108</v>
      </c>
      <c r="C2551">
        <v>2</v>
      </c>
      <c r="D2551">
        <v>1</v>
      </c>
      <c r="E2551">
        <v>2</v>
      </c>
      <c r="F2551">
        <v>4</v>
      </c>
      <c r="G2551" t="s">
        <v>123</v>
      </c>
      <c r="H2551" t="str">
        <f>IFERROR(ROUND(COUNTIFS(Tasks!$A:$A,$A2551,Tasks!$B:$B,$B2551,Tasks!$C:$C,$G2551,Tasks!$I:$I,"&lt;="&amp;INDEX(Weeks!$D:$D,MATCH($C2551,Weeks!$A:$A,0)),Tasks!$I:$I,"&lt;&gt;")/COUNTIFS(Tasks!$A:$A,$A2551,Tasks!$B:$B,$B2551,Tasks!$C:$C,$G2551)*100,0),"")</f>
        <v/>
      </c>
    </row>
    <row r="2552" spans="1:8" ht="15" hidden="1" customHeight="1">
      <c r="A2552" t="s">
        <v>107</v>
      </c>
      <c r="B2552" t="s">
        <v>108</v>
      </c>
      <c r="C2552">
        <v>3</v>
      </c>
      <c r="D2552">
        <v>1</v>
      </c>
      <c r="E2552">
        <v>3</v>
      </c>
      <c r="F2552">
        <v>4</v>
      </c>
      <c r="G2552" t="s">
        <v>123</v>
      </c>
      <c r="H2552" t="str">
        <f>IFERROR(ROUND(COUNTIFS(Tasks!$A:$A,$A2552,Tasks!$B:$B,$B2552,Tasks!$C:$C,$G2552,Tasks!$I:$I,"&lt;="&amp;INDEX(Weeks!$D:$D,MATCH($C2552,Weeks!$A:$A,0)),Tasks!$I:$I,"&lt;&gt;")/COUNTIFS(Tasks!$A:$A,$A2552,Tasks!$B:$B,$B2552,Tasks!$C:$C,$G2552)*100,0),"")</f>
        <v/>
      </c>
    </row>
    <row r="2553" spans="1:8" ht="15" hidden="1" customHeight="1">
      <c r="A2553" t="s">
        <v>107</v>
      </c>
      <c r="B2553" t="s">
        <v>108</v>
      </c>
      <c r="C2553">
        <v>4</v>
      </c>
      <c r="D2553">
        <v>1</v>
      </c>
      <c r="E2553">
        <v>4</v>
      </c>
      <c r="F2553">
        <v>4</v>
      </c>
      <c r="G2553" t="s">
        <v>123</v>
      </c>
      <c r="H2553" t="str">
        <f>IFERROR(ROUND(COUNTIFS(Tasks!$A:$A,$A2553,Tasks!$B:$B,$B2553,Tasks!$C:$C,$G2553,Tasks!$I:$I,"&lt;="&amp;INDEX(Weeks!$D:$D,MATCH($C2553,Weeks!$A:$A,0)),Tasks!$I:$I,"&lt;&gt;")/COUNTIFS(Tasks!$A:$A,$A2553,Tasks!$B:$B,$B2553,Tasks!$C:$C,$G2553)*100,0),"")</f>
        <v/>
      </c>
    </row>
    <row r="2554" spans="1:8" ht="15" hidden="1" customHeight="1">
      <c r="A2554" t="s">
        <v>107</v>
      </c>
      <c r="B2554" t="s">
        <v>108</v>
      </c>
      <c r="C2554">
        <v>5</v>
      </c>
      <c r="D2554">
        <v>1</v>
      </c>
      <c r="E2554">
        <v>5</v>
      </c>
      <c r="F2554">
        <v>4</v>
      </c>
      <c r="G2554" t="s">
        <v>123</v>
      </c>
      <c r="H2554" t="str">
        <f>IFERROR(ROUND(COUNTIFS(Tasks!$A:$A,$A2554,Tasks!$B:$B,$B2554,Tasks!$C:$C,$G2554,Tasks!$I:$I,"&lt;="&amp;INDEX(Weeks!$D:$D,MATCH($C2554,Weeks!$A:$A,0)),Tasks!$I:$I,"&lt;&gt;")/COUNTIFS(Tasks!$A:$A,$A2554,Tasks!$B:$B,$B2554,Tasks!$C:$C,$G2554)*100,0),"")</f>
        <v/>
      </c>
    </row>
    <row r="2555" spans="1:8" ht="15" hidden="1" customHeight="1">
      <c r="A2555" t="s">
        <v>107</v>
      </c>
      <c r="B2555" t="s">
        <v>108</v>
      </c>
      <c r="C2555">
        <v>6</v>
      </c>
      <c r="D2555">
        <v>2</v>
      </c>
      <c r="E2555">
        <v>1</v>
      </c>
      <c r="F2555">
        <v>4</v>
      </c>
      <c r="G2555" t="s">
        <v>123</v>
      </c>
      <c r="H2555" t="str">
        <f>IFERROR(ROUND(COUNTIFS(Tasks!$A:$A,$A2555,Tasks!$B:$B,$B2555,Tasks!$C:$C,$G2555,Tasks!$I:$I,"&lt;="&amp;INDEX(Weeks!$D:$D,MATCH($C2555,Weeks!$A:$A,0)),Tasks!$I:$I,"&lt;&gt;")/COUNTIFS(Tasks!$A:$A,$A2555,Tasks!$B:$B,$B2555,Tasks!$C:$C,$G2555)*100,0),"")</f>
        <v/>
      </c>
    </row>
    <row r="2556" spans="1:8" ht="15" hidden="1" customHeight="1">
      <c r="A2556" t="s">
        <v>107</v>
      </c>
      <c r="B2556" t="s">
        <v>108</v>
      </c>
      <c r="C2556">
        <v>7</v>
      </c>
      <c r="D2556">
        <v>2</v>
      </c>
      <c r="E2556">
        <v>2</v>
      </c>
      <c r="F2556">
        <v>4</v>
      </c>
      <c r="G2556" t="s">
        <v>123</v>
      </c>
      <c r="H2556" t="str">
        <f>IFERROR(ROUND(COUNTIFS(Tasks!$A:$A,$A2556,Tasks!$B:$B,$B2556,Tasks!$C:$C,$G2556,Tasks!$I:$I,"&lt;="&amp;INDEX(Weeks!$D:$D,MATCH($C2556,Weeks!$A:$A,0)),Tasks!$I:$I,"&lt;&gt;")/COUNTIFS(Tasks!$A:$A,$A2556,Tasks!$B:$B,$B2556,Tasks!$C:$C,$G2556)*100,0),"")</f>
        <v/>
      </c>
    </row>
    <row r="2557" spans="1:8" ht="15" hidden="1" customHeight="1">
      <c r="A2557" t="s">
        <v>107</v>
      </c>
      <c r="B2557" t="s">
        <v>108</v>
      </c>
      <c r="C2557">
        <v>8</v>
      </c>
      <c r="D2557">
        <v>2</v>
      </c>
      <c r="E2557">
        <v>3</v>
      </c>
      <c r="F2557">
        <v>4</v>
      </c>
      <c r="G2557" t="s">
        <v>123</v>
      </c>
      <c r="H2557" t="str">
        <f>IFERROR(ROUND(COUNTIFS(Tasks!$A:$A,$A2557,Tasks!$B:$B,$B2557,Tasks!$C:$C,$G2557,Tasks!$I:$I,"&lt;="&amp;INDEX(Weeks!$D:$D,MATCH($C2557,Weeks!$A:$A,0)),Tasks!$I:$I,"&lt;&gt;")/COUNTIFS(Tasks!$A:$A,$A2557,Tasks!$B:$B,$B2557,Tasks!$C:$C,$G2557)*100,0),"")</f>
        <v/>
      </c>
    </row>
    <row r="2558" spans="1:8" ht="15" hidden="1" customHeight="1">
      <c r="A2558" t="s">
        <v>107</v>
      </c>
      <c r="B2558" t="s">
        <v>108</v>
      </c>
      <c r="C2558">
        <v>9</v>
      </c>
      <c r="D2558">
        <v>2</v>
      </c>
      <c r="E2558">
        <v>4</v>
      </c>
      <c r="F2558">
        <v>4</v>
      </c>
      <c r="G2558" t="s">
        <v>123</v>
      </c>
      <c r="H2558" t="str">
        <f>IFERROR(ROUND(COUNTIFS(Tasks!$A:$A,$A2558,Tasks!$B:$B,$B2558,Tasks!$C:$C,$G2558,Tasks!$I:$I,"&lt;="&amp;INDEX(Weeks!$D:$D,MATCH($C2558,Weeks!$A:$A,0)),Tasks!$I:$I,"&lt;&gt;")/COUNTIFS(Tasks!$A:$A,$A2558,Tasks!$B:$B,$B2558,Tasks!$C:$C,$G2558)*100,0),"")</f>
        <v/>
      </c>
    </row>
    <row r="2559" spans="1:8" ht="15" hidden="1" customHeight="1">
      <c r="A2559" t="s">
        <v>107</v>
      </c>
      <c r="B2559" t="s">
        <v>108</v>
      </c>
      <c r="C2559">
        <v>10</v>
      </c>
      <c r="D2559">
        <v>3</v>
      </c>
      <c r="E2559">
        <v>1</v>
      </c>
      <c r="F2559">
        <v>4</v>
      </c>
      <c r="G2559" t="s">
        <v>123</v>
      </c>
      <c r="H2559" t="str">
        <f>IFERROR(ROUND(COUNTIFS(Tasks!$A:$A,$A2559,Tasks!$B:$B,$B2559,Tasks!$C:$C,$G2559,Tasks!$I:$I,"&lt;="&amp;INDEX(Weeks!$D:$D,MATCH($C2559,Weeks!$A:$A,0)),Tasks!$I:$I,"&lt;&gt;")/COUNTIFS(Tasks!$A:$A,$A2559,Tasks!$B:$B,$B2559,Tasks!$C:$C,$G2559)*100,0),"")</f>
        <v/>
      </c>
    </row>
    <row r="2560" spans="1:8" ht="15" hidden="1" customHeight="1">
      <c r="A2560" t="s">
        <v>107</v>
      </c>
      <c r="B2560" t="s">
        <v>108</v>
      </c>
      <c r="C2560">
        <v>11</v>
      </c>
      <c r="D2560">
        <v>3</v>
      </c>
      <c r="E2560">
        <v>2</v>
      </c>
      <c r="F2560">
        <v>4</v>
      </c>
      <c r="G2560" t="s">
        <v>123</v>
      </c>
      <c r="H2560" t="str">
        <f>IFERROR(ROUND(COUNTIFS(Tasks!$A:$A,$A2560,Tasks!$B:$B,$B2560,Tasks!$C:$C,$G2560,Tasks!$I:$I,"&lt;="&amp;INDEX(Weeks!$D:$D,MATCH($C2560,Weeks!$A:$A,0)),Tasks!$I:$I,"&lt;&gt;")/COUNTIFS(Tasks!$A:$A,$A2560,Tasks!$B:$B,$B2560,Tasks!$C:$C,$G2560)*100,0),"")</f>
        <v/>
      </c>
    </row>
    <row r="2561" spans="1:8" ht="15" hidden="1" customHeight="1">
      <c r="A2561" t="s">
        <v>107</v>
      </c>
      <c r="B2561" t="s">
        <v>108</v>
      </c>
      <c r="C2561">
        <v>12</v>
      </c>
      <c r="D2561">
        <v>3</v>
      </c>
      <c r="E2561">
        <v>3</v>
      </c>
      <c r="F2561">
        <v>4</v>
      </c>
      <c r="G2561" t="s">
        <v>123</v>
      </c>
      <c r="H2561" t="str">
        <f>IFERROR(ROUND(COUNTIFS(Tasks!$A:$A,$A2561,Tasks!$B:$B,$B2561,Tasks!$C:$C,$G2561,Tasks!$I:$I,"&lt;="&amp;INDEX(Weeks!$D:$D,MATCH($C2561,Weeks!$A:$A,0)),Tasks!$I:$I,"&lt;&gt;")/COUNTIFS(Tasks!$A:$A,$A2561,Tasks!$B:$B,$B2561,Tasks!$C:$C,$G2561)*100,0),"")</f>
        <v/>
      </c>
    </row>
    <row r="2562" spans="1:8" ht="15" hidden="1" customHeight="1">
      <c r="A2562" t="s">
        <v>107</v>
      </c>
      <c r="B2562" t="s">
        <v>108</v>
      </c>
      <c r="C2562">
        <v>13</v>
      </c>
      <c r="D2562">
        <v>3</v>
      </c>
      <c r="E2562">
        <v>4</v>
      </c>
      <c r="F2562">
        <v>4</v>
      </c>
      <c r="G2562" t="s">
        <v>123</v>
      </c>
      <c r="H2562" t="str">
        <f>IFERROR(ROUND(COUNTIFS(Tasks!$A:$A,$A2562,Tasks!$B:$B,$B2562,Tasks!$C:$C,$G2562,Tasks!$I:$I,"&lt;="&amp;INDEX(Weeks!$D:$D,MATCH($C2562,Weeks!$A:$A,0)),Tasks!$I:$I,"&lt;&gt;")/COUNTIFS(Tasks!$A:$A,$A2562,Tasks!$B:$B,$B2562,Tasks!$C:$C,$G2562)*100,0),"")</f>
        <v/>
      </c>
    </row>
    <row r="2563" spans="1:8" ht="15" hidden="1" customHeight="1">
      <c r="A2563" t="s">
        <v>107</v>
      </c>
      <c r="B2563" t="s">
        <v>108</v>
      </c>
      <c r="C2563">
        <v>14</v>
      </c>
      <c r="D2563">
        <v>4</v>
      </c>
      <c r="E2563">
        <v>1</v>
      </c>
      <c r="F2563">
        <v>4</v>
      </c>
      <c r="G2563" t="s">
        <v>123</v>
      </c>
      <c r="H2563" t="str">
        <f>IFERROR(ROUND(COUNTIFS(Tasks!$A:$A,$A2563,Tasks!$B:$B,$B2563,Tasks!$C:$C,$G2563,Tasks!$I:$I,"&lt;="&amp;INDEX(Weeks!$D:$D,MATCH($C2563,Weeks!$A:$A,0)),Tasks!$I:$I,"&lt;&gt;")/COUNTIFS(Tasks!$A:$A,$A2563,Tasks!$B:$B,$B2563,Tasks!$C:$C,$G2563)*100,0),"")</f>
        <v/>
      </c>
    </row>
    <row r="2564" spans="1:8" ht="15" hidden="1" customHeight="1">
      <c r="A2564" t="s">
        <v>107</v>
      </c>
      <c r="B2564" t="s">
        <v>108</v>
      </c>
      <c r="C2564">
        <v>15</v>
      </c>
      <c r="D2564">
        <v>4</v>
      </c>
      <c r="E2564">
        <v>2</v>
      </c>
      <c r="F2564">
        <v>4</v>
      </c>
      <c r="G2564" t="s">
        <v>123</v>
      </c>
      <c r="H2564" t="str">
        <f>IFERROR(ROUND(COUNTIFS(Tasks!$A:$A,$A2564,Tasks!$B:$B,$B2564,Tasks!$C:$C,$G2564,Tasks!$I:$I,"&lt;="&amp;INDEX(Weeks!$D:$D,MATCH($C2564,Weeks!$A:$A,0)),Tasks!$I:$I,"&lt;&gt;")/COUNTIFS(Tasks!$A:$A,$A2564,Tasks!$B:$B,$B2564,Tasks!$C:$C,$G2564)*100,0),"")</f>
        <v/>
      </c>
    </row>
    <row r="2565" spans="1:8" ht="15" hidden="1" customHeight="1">
      <c r="A2565" t="s">
        <v>107</v>
      </c>
      <c r="B2565" t="s">
        <v>108</v>
      </c>
      <c r="C2565">
        <v>16</v>
      </c>
      <c r="D2565">
        <v>4</v>
      </c>
      <c r="E2565">
        <v>3</v>
      </c>
      <c r="F2565">
        <v>4</v>
      </c>
      <c r="G2565" t="s">
        <v>123</v>
      </c>
      <c r="H2565" t="str">
        <f>IFERROR(ROUND(COUNTIFS(Tasks!$A:$A,$A2565,Tasks!$B:$B,$B2565,Tasks!$C:$C,$G2565,Tasks!$I:$I,"&lt;="&amp;INDEX(Weeks!$D:$D,MATCH($C2565,Weeks!$A:$A,0)),Tasks!$I:$I,"&lt;&gt;")/COUNTIFS(Tasks!$A:$A,$A2565,Tasks!$B:$B,$B2565,Tasks!$C:$C,$G2565)*100,0),"")</f>
        <v/>
      </c>
    </row>
    <row r="2566" spans="1:8" ht="15" hidden="1" customHeight="1">
      <c r="A2566" t="s">
        <v>107</v>
      </c>
      <c r="B2566" t="s">
        <v>108</v>
      </c>
      <c r="C2566">
        <v>17</v>
      </c>
      <c r="D2566">
        <v>4</v>
      </c>
      <c r="E2566">
        <v>4</v>
      </c>
      <c r="F2566">
        <v>4</v>
      </c>
      <c r="G2566" t="s">
        <v>123</v>
      </c>
      <c r="H2566" t="str">
        <f>IFERROR(ROUND(COUNTIFS(Tasks!$A:$A,$A2566,Tasks!$B:$B,$B2566,Tasks!$C:$C,$G2566,Tasks!$I:$I,"&lt;="&amp;INDEX(Weeks!$D:$D,MATCH($C2566,Weeks!$A:$A,0)),Tasks!$I:$I,"&lt;&gt;")/COUNTIFS(Tasks!$A:$A,$A2566,Tasks!$B:$B,$B2566,Tasks!$C:$C,$G2566)*100,0),"")</f>
        <v/>
      </c>
    </row>
    <row r="2567" spans="1:8" ht="15" hidden="1" customHeight="1">
      <c r="A2567" t="s">
        <v>107</v>
      </c>
      <c r="B2567" t="s">
        <v>108</v>
      </c>
      <c r="C2567">
        <v>18</v>
      </c>
      <c r="D2567">
        <v>5</v>
      </c>
      <c r="E2567">
        <v>1</v>
      </c>
      <c r="F2567">
        <v>4</v>
      </c>
      <c r="G2567" t="s">
        <v>123</v>
      </c>
      <c r="H2567" t="str">
        <f>IFERROR(ROUND(COUNTIFS(Tasks!$A:$A,$A2567,Tasks!$B:$B,$B2567,Tasks!$C:$C,$G2567,Tasks!$I:$I,"&lt;="&amp;INDEX(Weeks!$D:$D,MATCH($C2567,Weeks!$A:$A,0)),Tasks!$I:$I,"&lt;&gt;")/COUNTIFS(Tasks!$A:$A,$A2567,Tasks!$B:$B,$B2567,Tasks!$C:$C,$G2567)*100,0),"")</f>
        <v/>
      </c>
    </row>
    <row r="2568" spans="1:8" ht="15" hidden="1" customHeight="1">
      <c r="A2568" t="s">
        <v>107</v>
      </c>
      <c r="B2568" t="s">
        <v>108</v>
      </c>
      <c r="C2568">
        <v>19</v>
      </c>
      <c r="D2568">
        <v>5</v>
      </c>
      <c r="E2568">
        <v>2</v>
      </c>
      <c r="F2568">
        <v>4</v>
      </c>
      <c r="G2568" t="s">
        <v>123</v>
      </c>
      <c r="H2568" t="str">
        <f>IFERROR(ROUND(COUNTIFS(Tasks!$A:$A,$A2568,Tasks!$B:$B,$B2568,Tasks!$C:$C,$G2568,Tasks!$I:$I,"&lt;="&amp;INDEX(Weeks!$D:$D,MATCH($C2568,Weeks!$A:$A,0)),Tasks!$I:$I,"&lt;&gt;")/COUNTIFS(Tasks!$A:$A,$A2568,Tasks!$B:$B,$B2568,Tasks!$C:$C,$G2568)*100,0),"")</f>
        <v/>
      </c>
    </row>
    <row r="2569" spans="1:8" ht="15" hidden="1" customHeight="1">
      <c r="A2569" t="s">
        <v>107</v>
      </c>
      <c r="B2569" t="s">
        <v>108</v>
      </c>
      <c r="C2569">
        <v>20</v>
      </c>
      <c r="D2569">
        <v>5</v>
      </c>
      <c r="E2569">
        <v>3</v>
      </c>
      <c r="F2569">
        <v>4</v>
      </c>
      <c r="G2569" t="s">
        <v>123</v>
      </c>
      <c r="H2569" t="str">
        <f>IFERROR(ROUND(COUNTIFS(Tasks!$A:$A,$A2569,Tasks!$B:$B,$B2569,Tasks!$C:$C,$G2569,Tasks!$I:$I,"&lt;="&amp;INDEX(Weeks!$D:$D,MATCH($C2569,Weeks!$A:$A,0)),Tasks!$I:$I,"&lt;&gt;")/COUNTIFS(Tasks!$A:$A,$A2569,Tasks!$B:$B,$B2569,Tasks!$C:$C,$G2569)*100,0),"")</f>
        <v/>
      </c>
    </row>
    <row r="2570" spans="1:8" ht="15" hidden="1" customHeight="1">
      <c r="A2570" t="s">
        <v>107</v>
      </c>
      <c r="B2570" t="s">
        <v>108</v>
      </c>
      <c r="C2570">
        <v>21</v>
      </c>
      <c r="D2570">
        <v>5</v>
      </c>
      <c r="E2570">
        <v>4</v>
      </c>
      <c r="F2570">
        <v>4</v>
      </c>
      <c r="G2570" t="s">
        <v>123</v>
      </c>
      <c r="H2570" t="str">
        <f>IFERROR(ROUND(COUNTIFS(Tasks!$A:$A,$A2570,Tasks!$B:$B,$B2570,Tasks!$C:$C,$G2570,Tasks!$I:$I,"&lt;="&amp;INDEX(Weeks!$D:$D,MATCH($C2570,Weeks!$A:$A,0)),Tasks!$I:$I,"&lt;&gt;")/COUNTIFS(Tasks!$A:$A,$A2570,Tasks!$B:$B,$B2570,Tasks!$C:$C,$G2570)*100,0),"")</f>
        <v/>
      </c>
    </row>
    <row r="2571" spans="1:8" ht="15" hidden="1" customHeight="1">
      <c r="A2571" t="s">
        <v>107</v>
      </c>
      <c r="B2571" t="s">
        <v>108</v>
      </c>
      <c r="C2571">
        <v>22</v>
      </c>
      <c r="D2571">
        <v>5</v>
      </c>
      <c r="E2571">
        <v>5</v>
      </c>
      <c r="F2571">
        <v>4</v>
      </c>
      <c r="G2571" t="s">
        <v>123</v>
      </c>
      <c r="H2571" t="str">
        <f>IFERROR(ROUND(COUNTIFS(Tasks!$A:$A,$A2571,Tasks!$B:$B,$B2571,Tasks!$C:$C,$G2571,Tasks!$I:$I,"&lt;="&amp;INDEX(Weeks!$D:$D,MATCH($C2571,Weeks!$A:$A,0)),Tasks!$I:$I,"&lt;&gt;")/COUNTIFS(Tasks!$A:$A,$A2571,Tasks!$B:$B,$B2571,Tasks!$C:$C,$G2571)*100,0),"")</f>
        <v/>
      </c>
    </row>
    <row r="2572" spans="1:8" ht="15" hidden="1" customHeight="1">
      <c r="A2572" t="s">
        <v>107</v>
      </c>
      <c r="B2572" t="s">
        <v>108</v>
      </c>
      <c r="C2572">
        <v>23</v>
      </c>
      <c r="D2572">
        <v>6</v>
      </c>
      <c r="E2572">
        <v>1</v>
      </c>
      <c r="F2572">
        <v>4</v>
      </c>
      <c r="G2572" t="s">
        <v>123</v>
      </c>
      <c r="H2572" t="str">
        <f>IFERROR(ROUND(COUNTIFS(Tasks!$A:$A,$A2572,Tasks!$B:$B,$B2572,Tasks!$C:$C,$G2572,Tasks!$I:$I,"&lt;="&amp;INDEX(Weeks!$D:$D,MATCH($C2572,Weeks!$A:$A,0)),Tasks!$I:$I,"&lt;&gt;")/COUNTIFS(Tasks!$A:$A,$A2572,Tasks!$B:$B,$B2572,Tasks!$C:$C,$G2572)*100,0),"")</f>
        <v/>
      </c>
    </row>
    <row r="2573" spans="1:8" ht="15" hidden="1" customHeight="1">
      <c r="A2573" t="s">
        <v>107</v>
      </c>
      <c r="B2573" t="s">
        <v>108</v>
      </c>
      <c r="C2573">
        <v>24</v>
      </c>
      <c r="D2573">
        <v>6</v>
      </c>
      <c r="E2573">
        <v>2</v>
      </c>
      <c r="F2573">
        <v>4</v>
      </c>
      <c r="G2573" t="s">
        <v>123</v>
      </c>
      <c r="H2573" t="str">
        <f>IFERROR(ROUND(COUNTIFS(Tasks!$A:$A,$A2573,Tasks!$B:$B,$B2573,Tasks!$C:$C,$G2573,Tasks!$I:$I,"&lt;="&amp;INDEX(Weeks!$D:$D,MATCH($C2573,Weeks!$A:$A,0)),Tasks!$I:$I,"&lt;&gt;")/COUNTIFS(Tasks!$A:$A,$A2573,Tasks!$B:$B,$B2573,Tasks!$C:$C,$G2573)*100,0),"")</f>
        <v/>
      </c>
    </row>
    <row r="2574" spans="1:8" ht="15" hidden="1" customHeight="1">
      <c r="A2574" t="s">
        <v>107</v>
      </c>
      <c r="B2574" t="s">
        <v>108</v>
      </c>
      <c r="C2574">
        <v>25</v>
      </c>
      <c r="D2574">
        <v>6</v>
      </c>
      <c r="E2574">
        <v>3</v>
      </c>
      <c r="F2574">
        <v>4</v>
      </c>
      <c r="G2574" t="s">
        <v>123</v>
      </c>
      <c r="H2574" t="str">
        <f>IFERROR(ROUND(COUNTIFS(Tasks!$A:$A,$A2574,Tasks!$B:$B,$B2574,Tasks!$C:$C,$G2574,Tasks!$I:$I,"&lt;="&amp;INDEX(Weeks!$D:$D,MATCH($C2574,Weeks!$A:$A,0)),Tasks!$I:$I,"&lt;&gt;")/COUNTIFS(Tasks!$A:$A,$A2574,Tasks!$B:$B,$B2574,Tasks!$C:$C,$G2574)*100,0),"")</f>
        <v/>
      </c>
    </row>
    <row r="2575" spans="1:8" ht="15" hidden="1" customHeight="1">
      <c r="A2575" t="s">
        <v>107</v>
      </c>
      <c r="B2575" t="s">
        <v>108</v>
      </c>
      <c r="C2575">
        <v>26</v>
      </c>
      <c r="D2575">
        <v>6</v>
      </c>
      <c r="E2575">
        <v>4</v>
      </c>
      <c r="F2575">
        <v>4</v>
      </c>
      <c r="G2575" t="s">
        <v>123</v>
      </c>
      <c r="H2575" t="str">
        <f>IFERROR(ROUND(COUNTIFS(Tasks!$A:$A,$A2575,Tasks!$B:$B,$B2575,Tasks!$C:$C,$G2575,Tasks!$I:$I,"&lt;="&amp;INDEX(Weeks!$D:$D,MATCH($C2575,Weeks!$A:$A,0)),Tasks!$I:$I,"&lt;&gt;")/COUNTIFS(Tasks!$A:$A,$A2575,Tasks!$B:$B,$B2575,Tasks!$C:$C,$G2575)*100,0),"")</f>
        <v/>
      </c>
    </row>
    <row r="2576" spans="1:8" ht="15" hidden="1" customHeight="1">
      <c r="A2576" t="s">
        <v>107</v>
      </c>
      <c r="B2576" t="s">
        <v>108</v>
      </c>
      <c r="C2576">
        <v>27</v>
      </c>
      <c r="D2576">
        <v>7</v>
      </c>
      <c r="E2576">
        <v>1</v>
      </c>
      <c r="F2576">
        <v>4</v>
      </c>
      <c r="G2576" t="s">
        <v>123</v>
      </c>
      <c r="H2576" t="str">
        <f>IFERROR(ROUND(COUNTIFS(Tasks!$A:$A,$A2576,Tasks!$B:$B,$B2576,Tasks!$C:$C,$G2576,Tasks!$I:$I,"&lt;="&amp;INDEX(Weeks!$D:$D,MATCH($C2576,Weeks!$A:$A,0)),Tasks!$I:$I,"&lt;&gt;")/COUNTIFS(Tasks!$A:$A,$A2576,Tasks!$B:$B,$B2576,Tasks!$C:$C,$G2576)*100,0),"")</f>
        <v/>
      </c>
    </row>
    <row r="2577" spans="1:8" ht="15" hidden="1" customHeight="1">
      <c r="A2577" t="s">
        <v>107</v>
      </c>
      <c r="B2577" t="s">
        <v>108</v>
      </c>
      <c r="C2577">
        <v>28</v>
      </c>
      <c r="D2577">
        <v>7</v>
      </c>
      <c r="E2577">
        <v>2</v>
      </c>
      <c r="F2577">
        <v>4</v>
      </c>
      <c r="G2577" t="s">
        <v>123</v>
      </c>
      <c r="H2577" t="str">
        <f>IFERROR(ROUND(COUNTIFS(Tasks!$A:$A,$A2577,Tasks!$B:$B,$B2577,Tasks!$C:$C,$G2577,Tasks!$I:$I,"&lt;="&amp;INDEX(Weeks!$D:$D,MATCH($C2577,Weeks!$A:$A,0)),Tasks!$I:$I,"&lt;&gt;")/COUNTIFS(Tasks!$A:$A,$A2577,Tasks!$B:$B,$B2577,Tasks!$C:$C,$G2577)*100,0),"")</f>
        <v/>
      </c>
    </row>
    <row r="2578" spans="1:8" ht="15" hidden="1" customHeight="1">
      <c r="A2578" t="s">
        <v>107</v>
      </c>
      <c r="B2578" t="s">
        <v>108</v>
      </c>
      <c r="C2578">
        <v>29</v>
      </c>
      <c r="D2578">
        <v>7</v>
      </c>
      <c r="E2578">
        <v>3</v>
      </c>
      <c r="F2578">
        <v>4</v>
      </c>
      <c r="G2578" t="s">
        <v>123</v>
      </c>
      <c r="H2578" t="str">
        <f>IFERROR(ROUND(COUNTIFS(Tasks!$A:$A,$A2578,Tasks!$B:$B,$B2578,Tasks!$C:$C,$G2578,Tasks!$I:$I,"&lt;="&amp;INDEX(Weeks!$D:$D,MATCH($C2578,Weeks!$A:$A,0)),Tasks!$I:$I,"&lt;&gt;")/COUNTIFS(Tasks!$A:$A,$A2578,Tasks!$B:$B,$B2578,Tasks!$C:$C,$G2578)*100,0),"")</f>
        <v/>
      </c>
    </row>
    <row r="2579" spans="1:8" ht="15" hidden="1" customHeight="1">
      <c r="A2579" t="s">
        <v>107</v>
      </c>
      <c r="B2579" t="s">
        <v>108</v>
      </c>
      <c r="C2579">
        <v>30</v>
      </c>
      <c r="D2579">
        <v>7</v>
      </c>
      <c r="E2579">
        <v>4</v>
      </c>
      <c r="F2579">
        <v>4</v>
      </c>
      <c r="G2579" t="s">
        <v>123</v>
      </c>
      <c r="H2579" t="str">
        <f>IFERROR(ROUND(COUNTIFS(Tasks!$A:$A,$A2579,Tasks!$B:$B,$B2579,Tasks!$C:$C,$G2579,Tasks!$I:$I,"&lt;="&amp;INDEX(Weeks!$D:$D,MATCH($C2579,Weeks!$A:$A,0)),Tasks!$I:$I,"&lt;&gt;")/COUNTIFS(Tasks!$A:$A,$A2579,Tasks!$B:$B,$B2579,Tasks!$C:$C,$G2579)*100,0),"")</f>
        <v/>
      </c>
    </row>
    <row r="2580" spans="1:8" ht="15" hidden="1" customHeight="1">
      <c r="A2580" t="s">
        <v>107</v>
      </c>
      <c r="B2580" t="s">
        <v>108</v>
      </c>
      <c r="C2580">
        <v>31</v>
      </c>
      <c r="D2580">
        <v>8</v>
      </c>
      <c r="E2580">
        <v>1</v>
      </c>
      <c r="F2580">
        <v>4</v>
      </c>
      <c r="G2580" t="s">
        <v>123</v>
      </c>
      <c r="H2580" t="str">
        <f>IFERROR(ROUND(COUNTIFS(Tasks!$A:$A,$A2580,Tasks!$B:$B,$B2580,Tasks!$C:$C,$G2580,Tasks!$I:$I,"&lt;="&amp;INDEX(Weeks!$D:$D,MATCH($C2580,Weeks!$A:$A,0)),Tasks!$I:$I,"&lt;&gt;")/COUNTIFS(Tasks!$A:$A,$A2580,Tasks!$B:$B,$B2580,Tasks!$C:$C,$G2580)*100,0),"")</f>
        <v/>
      </c>
    </row>
    <row r="2581" spans="1:8" ht="15" hidden="1" customHeight="1">
      <c r="A2581" t="s">
        <v>107</v>
      </c>
      <c r="B2581" t="s">
        <v>108</v>
      </c>
      <c r="C2581">
        <v>32</v>
      </c>
      <c r="D2581">
        <v>8</v>
      </c>
      <c r="E2581">
        <v>2</v>
      </c>
      <c r="F2581">
        <v>4</v>
      </c>
      <c r="G2581" t="s">
        <v>123</v>
      </c>
      <c r="H2581" t="str">
        <f>IFERROR(ROUND(COUNTIFS(Tasks!$A:$A,$A2581,Tasks!$B:$B,$B2581,Tasks!$C:$C,$G2581,Tasks!$I:$I,"&lt;="&amp;INDEX(Weeks!$D:$D,MATCH($C2581,Weeks!$A:$A,0)),Tasks!$I:$I,"&lt;&gt;")/COUNTIFS(Tasks!$A:$A,$A2581,Tasks!$B:$B,$B2581,Tasks!$C:$C,$G2581)*100,0),"")</f>
        <v/>
      </c>
    </row>
    <row r="2582" spans="1:8" ht="15" hidden="1" customHeight="1">
      <c r="A2582" t="s">
        <v>107</v>
      </c>
      <c r="B2582" t="s">
        <v>108</v>
      </c>
      <c r="C2582">
        <v>33</v>
      </c>
      <c r="D2582">
        <v>8</v>
      </c>
      <c r="E2582">
        <v>3</v>
      </c>
      <c r="F2582">
        <v>4</v>
      </c>
      <c r="G2582" t="s">
        <v>123</v>
      </c>
      <c r="H2582" t="str">
        <f>IFERROR(ROUND(COUNTIFS(Tasks!$A:$A,$A2582,Tasks!$B:$B,$B2582,Tasks!$C:$C,$G2582,Tasks!$I:$I,"&lt;="&amp;INDEX(Weeks!$D:$D,MATCH($C2582,Weeks!$A:$A,0)),Tasks!$I:$I,"&lt;&gt;")/COUNTIFS(Tasks!$A:$A,$A2582,Tasks!$B:$B,$B2582,Tasks!$C:$C,$G2582)*100,0),"")</f>
        <v/>
      </c>
    </row>
    <row r="2583" spans="1:8" ht="15" hidden="1" customHeight="1">
      <c r="A2583" t="s">
        <v>107</v>
      </c>
      <c r="B2583" t="s">
        <v>108</v>
      </c>
      <c r="C2583">
        <v>34</v>
      </c>
      <c r="D2583">
        <v>8</v>
      </c>
      <c r="E2583">
        <v>4</v>
      </c>
      <c r="F2583">
        <v>4</v>
      </c>
      <c r="G2583" t="s">
        <v>123</v>
      </c>
      <c r="H2583" t="str">
        <f>IFERROR(ROUND(COUNTIFS(Tasks!$A:$A,$A2583,Tasks!$B:$B,$B2583,Tasks!$C:$C,$G2583,Tasks!$I:$I,"&lt;="&amp;INDEX(Weeks!$D:$D,MATCH($C2583,Weeks!$A:$A,0)),Tasks!$I:$I,"&lt;&gt;")/COUNTIFS(Tasks!$A:$A,$A2583,Tasks!$B:$B,$B2583,Tasks!$C:$C,$G2583)*100,0),"")</f>
        <v/>
      </c>
    </row>
    <row r="2584" spans="1:8" ht="15" hidden="1" customHeight="1">
      <c r="A2584" t="s">
        <v>107</v>
      </c>
      <c r="B2584" t="s">
        <v>108</v>
      </c>
      <c r="C2584">
        <v>35</v>
      </c>
      <c r="D2584">
        <v>8</v>
      </c>
      <c r="E2584">
        <v>5</v>
      </c>
      <c r="F2584">
        <v>4</v>
      </c>
      <c r="G2584" t="s">
        <v>123</v>
      </c>
      <c r="H2584" t="str">
        <f>IFERROR(ROUND(COUNTIFS(Tasks!$A:$A,$A2584,Tasks!$B:$B,$B2584,Tasks!$C:$C,$G2584,Tasks!$I:$I,"&lt;="&amp;INDEX(Weeks!$D:$D,MATCH($C2584,Weeks!$A:$A,0)),Tasks!$I:$I,"&lt;&gt;")/COUNTIFS(Tasks!$A:$A,$A2584,Tasks!$B:$B,$B2584,Tasks!$C:$C,$G2584)*100,0),"")</f>
        <v/>
      </c>
    </row>
    <row r="2585" spans="1:8" ht="15" hidden="1" customHeight="1">
      <c r="A2585" t="s">
        <v>107</v>
      </c>
      <c r="B2585" t="s">
        <v>108</v>
      </c>
      <c r="C2585">
        <v>36</v>
      </c>
      <c r="D2585">
        <v>9</v>
      </c>
      <c r="E2585">
        <v>1</v>
      </c>
      <c r="F2585">
        <v>4</v>
      </c>
      <c r="G2585" t="s">
        <v>123</v>
      </c>
      <c r="H2585" t="str">
        <f>IFERROR(ROUND(COUNTIFS(Tasks!$A:$A,$A2585,Tasks!$B:$B,$B2585,Tasks!$C:$C,$G2585,Tasks!$I:$I,"&lt;="&amp;INDEX(Weeks!$D:$D,MATCH($C2585,Weeks!$A:$A,0)),Tasks!$I:$I,"&lt;&gt;")/COUNTIFS(Tasks!$A:$A,$A2585,Tasks!$B:$B,$B2585,Tasks!$C:$C,$G2585)*100,0),"")</f>
        <v/>
      </c>
    </row>
    <row r="2586" spans="1:8" ht="15" hidden="1" customHeight="1">
      <c r="A2586" t="s">
        <v>107</v>
      </c>
      <c r="B2586" t="s">
        <v>108</v>
      </c>
      <c r="C2586">
        <v>37</v>
      </c>
      <c r="D2586">
        <v>9</v>
      </c>
      <c r="E2586">
        <v>2</v>
      </c>
      <c r="F2586">
        <v>4</v>
      </c>
      <c r="G2586" t="s">
        <v>123</v>
      </c>
      <c r="H2586" t="str">
        <f>IFERROR(ROUND(COUNTIFS(Tasks!$A:$A,$A2586,Tasks!$B:$B,$B2586,Tasks!$C:$C,$G2586,Tasks!$I:$I,"&lt;="&amp;INDEX(Weeks!$D:$D,MATCH($C2586,Weeks!$A:$A,0)),Tasks!$I:$I,"&lt;&gt;")/COUNTIFS(Tasks!$A:$A,$A2586,Tasks!$B:$B,$B2586,Tasks!$C:$C,$G2586)*100,0),"")</f>
        <v/>
      </c>
    </row>
    <row r="2587" spans="1:8" ht="15" hidden="1" customHeight="1">
      <c r="A2587" t="s">
        <v>107</v>
      </c>
      <c r="B2587" t="s">
        <v>108</v>
      </c>
      <c r="C2587">
        <v>38</v>
      </c>
      <c r="D2587">
        <v>9</v>
      </c>
      <c r="E2587">
        <v>3</v>
      </c>
      <c r="F2587">
        <v>4</v>
      </c>
      <c r="G2587" t="s">
        <v>123</v>
      </c>
      <c r="H2587" t="str">
        <f>IFERROR(ROUND(COUNTIFS(Tasks!$A:$A,$A2587,Tasks!$B:$B,$B2587,Tasks!$C:$C,$G2587,Tasks!$I:$I,"&lt;="&amp;INDEX(Weeks!$D:$D,MATCH($C2587,Weeks!$A:$A,0)),Tasks!$I:$I,"&lt;&gt;")/COUNTIFS(Tasks!$A:$A,$A2587,Tasks!$B:$B,$B2587,Tasks!$C:$C,$G2587)*100,0),"")</f>
        <v/>
      </c>
    </row>
    <row r="2588" spans="1:8" ht="15" hidden="1" customHeight="1">
      <c r="A2588" t="s">
        <v>107</v>
      </c>
      <c r="B2588" t="s">
        <v>108</v>
      </c>
      <c r="C2588">
        <v>39</v>
      </c>
      <c r="D2588">
        <v>9</v>
      </c>
      <c r="E2588">
        <v>4</v>
      </c>
      <c r="F2588">
        <v>4</v>
      </c>
      <c r="G2588" t="s">
        <v>123</v>
      </c>
      <c r="H2588" t="str">
        <f>IFERROR(ROUND(COUNTIFS(Tasks!$A:$A,$A2588,Tasks!$B:$B,$B2588,Tasks!$C:$C,$G2588,Tasks!$I:$I,"&lt;="&amp;INDEX(Weeks!$D:$D,MATCH($C2588,Weeks!$A:$A,0)),Tasks!$I:$I,"&lt;&gt;")/COUNTIFS(Tasks!$A:$A,$A2588,Tasks!$B:$B,$B2588,Tasks!$C:$C,$G2588)*100,0),"")</f>
        <v/>
      </c>
    </row>
    <row r="2589" spans="1:8" ht="15" hidden="1" customHeight="1">
      <c r="A2589" t="s">
        <v>107</v>
      </c>
      <c r="B2589" t="s">
        <v>108</v>
      </c>
      <c r="C2589">
        <v>40</v>
      </c>
      <c r="D2589">
        <v>10</v>
      </c>
      <c r="E2589">
        <v>1</v>
      </c>
      <c r="F2589">
        <v>4</v>
      </c>
      <c r="G2589" t="s">
        <v>123</v>
      </c>
      <c r="H2589" t="str">
        <f>IFERROR(ROUND(COUNTIFS(Tasks!$A:$A,$A2589,Tasks!$B:$B,$B2589,Tasks!$C:$C,$G2589,Tasks!$I:$I,"&lt;="&amp;INDEX(Weeks!$D:$D,MATCH($C2589,Weeks!$A:$A,0)),Tasks!$I:$I,"&lt;&gt;")/COUNTIFS(Tasks!$A:$A,$A2589,Tasks!$B:$B,$B2589,Tasks!$C:$C,$G2589)*100,0),"")</f>
        <v/>
      </c>
    </row>
    <row r="2590" spans="1:8" ht="15" hidden="1" customHeight="1">
      <c r="A2590" t="s">
        <v>107</v>
      </c>
      <c r="B2590" t="s">
        <v>108</v>
      </c>
      <c r="C2590">
        <v>41</v>
      </c>
      <c r="D2590">
        <v>10</v>
      </c>
      <c r="E2590">
        <v>2</v>
      </c>
      <c r="F2590">
        <v>4</v>
      </c>
      <c r="G2590" t="s">
        <v>123</v>
      </c>
      <c r="H2590" t="str">
        <f>IFERROR(ROUND(COUNTIFS(Tasks!$A:$A,$A2590,Tasks!$B:$B,$B2590,Tasks!$C:$C,$G2590,Tasks!$I:$I,"&lt;="&amp;INDEX(Weeks!$D:$D,MATCH($C2590,Weeks!$A:$A,0)),Tasks!$I:$I,"&lt;&gt;")/COUNTIFS(Tasks!$A:$A,$A2590,Tasks!$B:$B,$B2590,Tasks!$C:$C,$G2590)*100,0),"")</f>
        <v/>
      </c>
    </row>
    <row r="2591" spans="1:8" ht="15" hidden="1" customHeight="1">
      <c r="A2591" t="s">
        <v>107</v>
      </c>
      <c r="B2591" t="s">
        <v>108</v>
      </c>
      <c r="C2591">
        <v>42</v>
      </c>
      <c r="D2591">
        <v>10</v>
      </c>
      <c r="E2591">
        <v>3</v>
      </c>
      <c r="F2591">
        <v>4</v>
      </c>
      <c r="G2591" t="s">
        <v>123</v>
      </c>
      <c r="H2591" t="str">
        <f>IFERROR(ROUND(COUNTIFS(Tasks!$A:$A,$A2591,Tasks!$B:$B,$B2591,Tasks!$C:$C,$G2591,Tasks!$I:$I,"&lt;="&amp;INDEX(Weeks!$D:$D,MATCH($C2591,Weeks!$A:$A,0)),Tasks!$I:$I,"&lt;&gt;")/COUNTIFS(Tasks!$A:$A,$A2591,Tasks!$B:$B,$B2591,Tasks!$C:$C,$G2591)*100,0),"")</f>
        <v/>
      </c>
    </row>
    <row r="2592" spans="1:8" ht="15" hidden="1" customHeight="1">
      <c r="A2592" t="s">
        <v>107</v>
      </c>
      <c r="B2592" t="s">
        <v>108</v>
      </c>
      <c r="C2592">
        <v>43</v>
      </c>
      <c r="D2592">
        <v>10</v>
      </c>
      <c r="E2592">
        <v>4</v>
      </c>
      <c r="F2592">
        <v>4</v>
      </c>
      <c r="G2592" t="s">
        <v>123</v>
      </c>
      <c r="H2592" t="str">
        <f>IFERROR(ROUND(COUNTIFS(Tasks!$A:$A,$A2592,Tasks!$B:$B,$B2592,Tasks!$C:$C,$G2592,Tasks!$I:$I,"&lt;="&amp;INDEX(Weeks!$D:$D,MATCH($C2592,Weeks!$A:$A,0)),Tasks!$I:$I,"&lt;&gt;")/COUNTIFS(Tasks!$A:$A,$A2592,Tasks!$B:$B,$B2592,Tasks!$C:$C,$G2592)*100,0),"")</f>
        <v/>
      </c>
    </row>
    <row r="2593" spans="1:8" ht="15" hidden="1" customHeight="1">
      <c r="A2593" t="s">
        <v>107</v>
      </c>
      <c r="B2593" t="s">
        <v>108</v>
      </c>
      <c r="C2593">
        <v>44</v>
      </c>
      <c r="D2593">
        <v>10</v>
      </c>
      <c r="E2593">
        <v>5</v>
      </c>
      <c r="F2593">
        <v>4</v>
      </c>
      <c r="G2593" t="s">
        <v>123</v>
      </c>
      <c r="H2593" t="str">
        <f>IFERROR(ROUND(COUNTIFS(Tasks!$A:$A,$A2593,Tasks!$B:$B,$B2593,Tasks!$C:$C,$G2593,Tasks!$I:$I,"&lt;="&amp;INDEX(Weeks!$D:$D,MATCH($C2593,Weeks!$A:$A,0)),Tasks!$I:$I,"&lt;&gt;")/COUNTIFS(Tasks!$A:$A,$A2593,Tasks!$B:$B,$B2593,Tasks!$C:$C,$G2593)*100,0),"")</f>
        <v/>
      </c>
    </row>
    <row r="2594" spans="1:8" ht="15" hidden="1" customHeight="1">
      <c r="A2594" t="s">
        <v>107</v>
      </c>
      <c r="B2594" t="s">
        <v>108</v>
      </c>
      <c r="C2594">
        <v>45</v>
      </c>
      <c r="D2594">
        <v>11</v>
      </c>
      <c r="E2594">
        <v>1</v>
      </c>
      <c r="F2594">
        <v>4</v>
      </c>
      <c r="G2594" t="s">
        <v>123</v>
      </c>
      <c r="H2594" t="str">
        <f>IFERROR(ROUND(COUNTIFS(Tasks!$A:$A,$A2594,Tasks!$B:$B,$B2594,Tasks!$C:$C,$G2594,Tasks!$I:$I,"&lt;="&amp;INDEX(Weeks!$D:$D,MATCH($C2594,Weeks!$A:$A,0)),Tasks!$I:$I,"&lt;&gt;")/COUNTIFS(Tasks!$A:$A,$A2594,Tasks!$B:$B,$B2594,Tasks!$C:$C,$G2594)*100,0),"")</f>
        <v/>
      </c>
    </row>
    <row r="2595" spans="1:8" ht="15" hidden="1" customHeight="1">
      <c r="A2595" t="s">
        <v>107</v>
      </c>
      <c r="B2595" t="s">
        <v>108</v>
      </c>
      <c r="C2595">
        <v>46</v>
      </c>
      <c r="D2595">
        <v>11</v>
      </c>
      <c r="E2595">
        <v>2</v>
      </c>
      <c r="F2595">
        <v>4</v>
      </c>
      <c r="G2595" t="s">
        <v>123</v>
      </c>
      <c r="H2595" t="str">
        <f>IFERROR(ROUND(COUNTIFS(Tasks!$A:$A,$A2595,Tasks!$B:$B,$B2595,Tasks!$C:$C,$G2595,Tasks!$I:$I,"&lt;="&amp;INDEX(Weeks!$D:$D,MATCH($C2595,Weeks!$A:$A,0)),Tasks!$I:$I,"&lt;&gt;")/COUNTIFS(Tasks!$A:$A,$A2595,Tasks!$B:$B,$B2595,Tasks!$C:$C,$G2595)*100,0),"")</f>
        <v/>
      </c>
    </row>
    <row r="2596" spans="1:8" ht="15" hidden="1" customHeight="1">
      <c r="A2596" t="s">
        <v>107</v>
      </c>
      <c r="B2596" t="s">
        <v>108</v>
      </c>
      <c r="C2596">
        <v>47</v>
      </c>
      <c r="D2596">
        <v>11</v>
      </c>
      <c r="E2596">
        <v>3</v>
      </c>
      <c r="F2596">
        <v>4</v>
      </c>
      <c r="G2596" t="s">
        <v>123</v>
      </c>
      <c r="H2596" t="str">
        <f>IFERROR(ROUND(COUNTIFS(Tasks!$A:$A,$A2596,Tasks!$B:$B,$B2596,Tasks!$C:$C,$G2596,Tasks!$I:$I,"&lt;="&amp;INDEX(Weeks!$D:$D,MATCH($C2596,Weeks!$A:$A,0)),Tasks!$I:$I,"&lt;&gt;")/COUNTIFS(Tasks!$A:$A,$A2596,Tasks!$B:$B,$B2596,Tasks!$C:$C,$G2596)*100,0),"")</f>
        <v/>
      </c>
    </row>
    <row r="2597" spans="1:8" ht="15" hidden="1" customHeight="1">
      <c r="A2597" t="s">
        <v>107</v>
      </c>
      <c r="B2597" t="s">
        <v>108</v>
      </c>
      <c r="C2597">
        <v>48</v>
      </c>
      <c r="D2597">
        <v>11</v>
      </c>
      <c r="E2597">
        <v>4</v>
      </c>
      <c r="F2597">
        <v>4</v>
      </c>
      <c r="G2597" t="s">
        <v>123</v>
      </c>
      <c r="H2597" t="str">
        <f>IFERROR(ROUND(COUNTIFS(Tasks!$A:$A,$A2597,Tasks!$B:$B,$B2597,Tasks!$C:$C,$G2597,Tasks!$I:$I,"&lt;="&amp;INDEX(Weeks!$D:$D,MATCH($C2597,Weeks!$A:$A,0)),Tasks!$I:$I,"&lt;&gt;")/COUNTIFS(Tasks!$A:$A,$A2597,Tasks!$B:$B,$B2597,Tasks!$C:$C,$G2597)*100,0),"")</f>
        <v/>
      </c>
    </row>
    <row r="2598" spans="1:8" ht="15" hidden="1" customHeight="1">
      <c r="A2598" t="s">
        <v>107</v>
      </c>
      <c r="B2598" t="s">
        <v>108</v>
      </c>
      <c r="C2598">
        <v>49</v>
      </c>
      <c r="D2598">
        <v>12</v>
      </c>
      <c r="E2598">
        <v>1</v>
      </c>
      <c r="F2598">
        <v>4</v>
      </c>
      <c r="G2598" t="s">
        <v>123</v>
      </c>
      <c r="H2598" t="str">
        <f>IFERROR(ROUND(COUNTIFS(Tasks!$A:$A,$A2598,Tasks!$B:$B,$B2598,Tasks!$C:$C,$G2598,Tasks!$I:$I,"&lt;="&amp;INDEX(Weeks!$D:$D,MATCH($C2598,Weeks!$A:$A,0)),Tasks!$I:$I,"&lt;&gt;")/COUNTIFS(Tasks!$A:$A,$A2598,Tasks!$B:$B,$B2598,Tasks!$C:$C,$G2598)*100,0),"")</f>
        <v/>
      </c>
    </row>
    <row r="2599" spans="1:8" ht="15" hidden="1" customHeight="1">
      <c r="A2599" t="s">
        <v>107</v>
      </c>
      <c r="B2599" t="s">
        <v>108</v>
      </c>
      <c r="C2599">
        <v>50</v>
      </c>
      <c r="D2599">
        <v>12</v>
      </c>
      <c r="E2599">
        <v>2</v>
      </c>
      <c r="F2599">
        <v>4</v>
      </c>
      <c r="G2599" t="s">
        <v>123</v>
      </c>
      <c r="H2599" t="str">
        <f>IFERROR(ROUND(COUNTIFS(Tasks!$A:$A,$A2599,Tasks!$B:$B,$B2599,Tasks!$C:$C,$G2599,Tasks!$I:$I,"&lt;="&amp;INDEX(Weeks!$D:$D,MATCH($C2599,Weeks!$A:$A,0)),Tasks!$I:$I,"&lt;&gt;")/COUNTIFS(Tasks!$A:$A,$A2599,Tasks!$B:$B,$B2599,Tasks!$C:$C,$G2599)*100,0),"")</f>
        <v/>
      </c>
    </row>
    <row r="2600" spans="1:8" ht="15" hidden="1" customHeight="1">
      <c r="A2600" t="s">
        <v>107</v>
      </c>
      <c r="B2600" t="s">
        <v>108</v>
      </c>
      <c r="C2600">
        <v>51</v>
      </c>
      <c r="D2600">
        <v>12</v>
      </c>
      <c r="E2600">
        <v>3</v>
      </c>
      <c r="F2600">
        <v>4</v>
      </c>
      <c r="G2600" t="s">
        <v>123</v>
      </c>
      <c r="H2600" t="str">
        <f>IFERROR(ROUND(COUNTIFS(Tasks!$A:$A,$A2600,Tasks!$B:$B,$B2600,Tasks!$C:$C,$G2600,Tasks!$I:$I,"&lt;="&amp;INDEX(Weeks!$D:$D,MATCH($C2600,Weeks!$A:$A,0)),Tasks!$I:$I,"&lt;&gt;")/COUNTIFS(Tasks!$A:$A,$A2600,Tasks!$B:$B,$B2600,Tasks!$C:$C,$G2600)*100,0),"")</f>
        <v/>
      </c>
    </row>
    <row r="2601" spans="1:8" ht="15" hidden="1" customHeight="1">
      <c r="A2601" t="s">
        <v>107</v>
      </c>
      <c r="B2601" t="s">
        <v>108</v>
      </c>
      <c r="C2601">
        <v>52</v>
      </c>
      <c r="D2601">
        <v>12</v>
      </c>
      <c r="E2601">
        <v>4</v>
      </c>
      <c r="F2601">
        <v>4</v>
      </c>
      <c r="G2601" t="s">
        <v>123</v>
      </c>
      <c r="H2601" t="str">
        <f>IFERROR(ROUND(COUNTIFS(Tasks!$A:$A,$A2601,Tasks!$B:$B,$B2601,Tasks!$C:$C,$G2601,Tasks!$I:$I,"&lt;="&amp;INDEX(Weeks!$D:$D,MATCH($C2601,Weeks!$A:$A,0)),Tasks!$I:$I,"&lt;&gt;")/COUNTIFS(Tasks!$A:$A,$A2601,Tasks!$B:$B,$B2601,Tasks!$C:$C,$G2601)*100,0),"")</f>
        <v/>
      </c>
    </row>
    <row r="2602" spans="1:8" ht="15" hidden="1" customHeight="1">
      <c r="A2602" t="s">
        <v>107</v>
      </c>
      <c r="B2602" t="s">
        <v>110</v>
      </c>
      <c r="C2602">
        <v>1</v>
      </c>
      <c r="D2602">
        <v>1</v>
      </c>
      <c r="E2602">
        <v>1</v>
      </c>
      <c r="F2602">
        <v>1</v>
      </c>
      <c r="G2602" t="s">
        <v>120</v>
      </c>
      <c r="H2602" t="str">
        <f>IFERROR(ROUND(COUNTIFS(Tasks!$A:$A,$A2602,Tasks!$B:$B,$B2602,Tasks!$C:$C,$G2602,Tasks!$I:$I,"&lt;="&amp;INDEX(Weeks!$D:$D,MATCH($C2602,Weeks!$A:$A,0)),Tasks!$I:$I,"&lt;&gt;")/COUNTIFS(Tasks!$A:$A,$A2602,Tasks!$B:$B,$B2602,Tasks!$C:$C,$G2602)*100,0),"")</f>
        <v/>
      </c>
    </row>
    <row r="2603" spans="1:8" ht="15" hidden="1" customHeight="1">
      <c r="A2603" t="s">
        <v>107</v>
      </c>
      <c r="B2603" t="s">
        <v>110</v>
      </c>
      <c r="C2603">
        <v>2</v>
      </c>
      <c r="D2603">
        <v>1</v>
      </c>
      <c r="E2603">
        <v>2</v>
      </c>
      <c r="F2603">
        <v>1</v>
      </c>
      <c r="G2603" t="s">
        <v>120</v>
      </c>
      <c r="H2603" t="str">
        <f>IFERROR(ROUND(COUNTIFS(Tasks!$A:$A,$A2603,Tasks!$B:$B,$B2603,Tasks!$C:$C,$G2603,Tasks!$I:$I,"&lt;="&amp;INDEX(Weeks!$D:$D,MATCH($C2603,Weeks!$A:$A,0)),Tasks!$I:$I,"&lt;&gt;")/COUNTIFS(Tasks!$A:$A,$A2603,Tasks!$B:$B,$B2603,Tasks!$C:$C,$G2603)*100,0),"")</f>
        <v/>
      </c>
    </row>
    <row r="2604" spans="1:8" ht="15" hidden="1" customHeight="1">
      <c r="A2604" t="s">
        <v>107</v>
      </c>
      <c r="B2604" t="s">
        <v>110</v>
      </c>
      <c r="C2604">
        <v>3</v>
      </c>
      <c r="D2604">
        <v>1</v>
      </c>
      <c r="E2604">
        <v>3</v>
      </c>
      <c r="F2604">
        <v>1</v>
      </c>
      <c r="G2604" t="s">
        <v>120</v>
      </c>
      <c r="H2604" t="str">
        <f>IFERROR(ROUND(COUNTIFS(Tasks!$A:$A,$A2604,Tasks!$B:$B,$B2604,Tasks!$C:$C,$G2604,Tasks!$I:$I,"&lt;="&amp;INDEX(Weeks!$D:$D,MATCH($C2604,Weeks!$A:$A,0)),Tasks!$I:$I,"&lt;&gt;")/COUNTIFS(Tasks!$A:$A,$A2604,Tasks!$B:$B,$B2604,Tasks!$C:$C,$G2604)*100,0),"")</f>
        <v/>
      </c>
    </row>
    <row r="2605" spans="1:8" ht="15" hidden="1" customHeight="1">
      <c r="A2605" t="s">
        <v>107</v>
      </c>
      <c r="B2605" t="s">
        <v>110</v>
      </c>
      <c r="C2605">
        <v>4</v>
      </c>
      <c r="D2605">
        <v>1</v>
      </c>
      <c r="E2605">
        <v>4</v>
      </c>
      <c r="F2605">
        <v>1</v>
      </c>
      <c r="G2605" t="s">
        <v>120</v>
      </c>
      <c r="H2605" t="str">
        <f>IFERROR(ROUND(COUNTIFS(Tasks!$A:$A,$A2605,Tasks!$B:$B,$B2605,Tasks!$C:$C,$G2605,Tasks!$I:$I,"&lt;="&amp;INDEX(Weeks!$D:$D,MATCH($C2605,Weeks!$A:$A,0)),Tasks!$I:$I,"&lt;&gt;")/COUNTIFS(Tasks!$A:$A,$A2605,Tasks!$B:$B,$B2605,Tasks!$C:$C,$G2605)*100,0),"")</f>
        <v/>
      </c>
    </row>
    <row r="2606" spans="1:8" ht="15" hidden="1" customHeight="1">
      <c r="A2606" t="s">
        <v>107</v>
      </c>
      <c r="B2606" t="s">
        <v>110</v>
      </c>
      <c r="C2606">
        <v>5</v>
      </c>
      <c r="D2606">
        <v>1</v>
      </c>
      <c r="E2606">
        <v>5</v>
      </c>
      <c r="F2606">
        <v>1</v>
      </c>
      <c r="G2606" t="s">
        <v>120</v>
      </c>
      <c r="H2606" t="str">
        <f>IFERROR(ROUND(COUNTIFS(Tasks!$A:$A,$A2606,Tasks!$B:$B,$B2606,Tasks!$C:$C,$G2606,Tasks!$I:$I,"&lt;="&amp;INDEX(Weeks!$D:$D,MATCH($C2606,Weeks!$A:$A,0)),Tasks!$I:$I,"&lt;&gt;")/COUNTIFS(Tasks!$A:$A,$A2606,Tasks!$B:$B,$B2606,Tasks!$C:$C,$G2606)*100,0),"")</f>
        <v/>
      </c>
    </row>
    <row r="2607" spans="1:8" ht="15" hidden="1" customHeight="1">
      <c r="A2607" t="s">
        <v>107</v>
      </c>
      <c r="B2607" t="s">
        <v>110</v>
      </c>
      <c r="C2607">
        <v>6</v>
      </c>
      <c r="D2607">
        <v>2</v>
      </c>
      <c r="E2607">
        <v>1</v>
      </c>
      <c r="F2607">
        <v>1</v>
      </c>
      <c r="G2607" t="s">
        <v>120</v>
      </c>
      <c r="H2607" t="str">
        <f>IFERROR(ROUND(COUNTIFS(Tasks!$A:$A,$A2607,Tasks!$B:$B,$B2607,Tasks!$C:$C,$G2607,Tasks!$I:$I,"&lt;="&amp;INDEX(Weeks!$D:$D,MATCH($C2607,Weeks!$A:$A,0)),Tasks!$I:$I,"&lt;&gt;")/COUNTIFS(Tasks!$A:$A,$A2607,Tasks!$B:$B,$B2607,Tasks!$C:$C,$G2607)*100,0),"")</f>
        <v/>
      </c>
    </row>
    <row r="2608" spans="1:8" ht="15" hidden="1" customHeight="1">
      <c r="A2608" t="s">
        <v>107</v>
      </c>
      <c r="B2608" t="s">
        <v>110</v>
      </c>
      <c r="C2608">
        <v>7</v>
      </c>
      <c r="D2608">
        <v>2</v>
      </c>
      <c r="E2608">
        <v>2</v>
      </c>
      <c r="F2608">
        <v>1</v>
      </c>
      <c r="G2608" t="s">
        <v>120</v>
      </c>
      <c r="H2608" t="str">
        <f>IFERROR(ROUND(COUNTIFS(Tasks!$A:$A,$A2608,Tasks!$B:$B,$B2608,Tasks!$C:$C,$G2608,Tasks!$I:$I,"&lt;="&amp;INDEX(Weeks!$D:$D,MATCH($C2608,Weeks!$A:$A,0)),Tasks!$I:$I,"&lt;&gt;")/COUNTIFS(Tasks!$A:$A,$A2608,Tasks!$B:$B,$B2608,Tasks!$C:$C,$G2608)*100,0),"")</f>
        <v/>
      </c>
    </row>
    <row r="2609" spans="1:8" ht="15" hidden="1" customHeight="1">
      <c r="A2609" t="s">
        <v>107</v>
      </c>
      <c r="B2609" t="s">
        <v>110</v>
      </c>
      <c r="C2609">
        <v>8</v>
      </c>
      <c r="D2609">
        <v>2</v>
      </c>
      <c r="E2609">
        <v>3</v>
      </c>
      <c r="F2609">
        <v>1</v>
      </c>
      <c r="G2609" t="s">
        <v>120</v>
      </c>
      <c r="H2609" t="str">
        <f>IFERROR(ROUND(COUNTIFS(Tasks!$A:$A,$A2609,Tasks!$B:$B,$B2609,Tasks!$C:$C,$G2609,Tasks!$I:$I,"&lt;="&amp;INDEX(Weeks!$D:$D,MATCH($C2609,Weeks!$A:$A,0)),Tasks!$I:$I,"&lt;&gt;")/COUNTIFS(Tasks!$A:$A,$A2609,Tasks!$B:$B,$B2609,Tasks!$C:$C,$G2609)*100,0),"")</f>
        <v/>
      </c>
    </row>
    <row r="2610" spans="1:8" ht="15" hidden="1" customHeight="1">
      <c r="A2610" t="s">
        <v>107</v>
      </c>
      <c r="B2610" t="s">
        <v>110</v>
      </c>
      <c r="C2610">
        <v>9</v>
      </c>
      <c r="D2610">
        <v>2</v>
      </c>
      <c r="E2610">
        <v>4</v>
      </c>
      <c r="F2610">
        <v>1</v>
      </c>
      <c r="G2610" t="s">
        <v>120</v>
      </c>
      <c r="H2610" t="str">
        <f>IFERROR(ROUND(COUNTIFS(Tasks!$A:$A,$A2610,Tasks!$B:$B,$B2610,Tasks!$C:$C,$G2610,Tasks!$I:$I,"&lt;="&amp;INDEX(Weeks!$D:$D,MATCH($C2610,Weeks!$A:$A,0)),Tasks!$I:$I,"&lt;&gt;")/COUNTIFS(Tasks!$A:$A,$A2610,Tasks!$B:$B,$B2610,Tasks!$C:$C,$G2610)*100,0),"")</f>
        <v/>
      </c>
    </row>
    <row r="2611" spans="1:8" ht="15" hidden="1" customHeight="1">
      <c r="A2611" t="s">
        <v>107</v>
      </c>
      <c r="B2611" t="s">
        <v>110</v>
      </c>
      <c r="C2611">
        <v>10</v>
      </c>
      <c r="D2611">
        <v>3</v>
      </c>
      <c r="E2611">
        <v>1</v>
      </c>
      <c r="F2611">
        <v>1</v>
      </c>
      <c r="G2611" t="s">
        <v>120</v>
      </c>
      <c r="H2611" t="str">
        <f>IFERROR(ROUND(COUNTIFS(Tasks!$A:$A,$A2611,Tasks!$B:$B,$B2611,Tasks!$C:$C,$G2611,Tasks!$I:$I,"&lt;="&amp;INDEX(Weeks!$D:$D,MATCH($C2611,Weeks!$A:$A,0)),Tasks!$I:$I,"&lt;&gt;")/COUNTIFS(Tasks!$A:$A,$A2611,Tasks!$B:$B,$B2611,Tasks!$C:$C,$G2611)*100,0),"")</f>
        <v/>
      </c>
    </row>
    <row r="2612" spans="1:8" ht="15" hidden="1" customHeight="1">
      <c r="A2612" t="s">
        <v>107</v>
      </c>
      <c r="B2612" t="s">
        <v>110</v>
      </c>
      <c r="C2612">
        <v>11</v>
      </c>
      <c r="D2612">
        <v>3</v>
      </c>
      <c r="E2612">
        <v>2</v>
      </c>
      <c r="F2612">
        <v>1</v>
      </c>
      <c r="G2612" t="s">
        <v>120</v>
      </c>
      <c r="H2612" t="str">
        <f>IFERROR(ROUND(COUNTIFS(Tasks!$A:$A,$A2612,Tasks!$B:$B,$B2612,Tasks!$C:$C,$G2612,Tasks!$I:$I,"&lt;="&amp;INDEX(Weeks!$D:$D,MATCH($C2612,Weeks!$A:$A,0)),Tasks!$I:$I,"&lt;&gt;")/COUNTIFS(Tasks!$A:$A,$A2612,Tasks!$B:$B,$B2612,Tasks!$C:$C,$G2612)*100,0),"")</f>
        <v/>
      </c>
    </row>
    <row r="2613" spans="1:8" ht="15" hidden="1" customHeight="1">
      <c r="A2613" t="s">
        <v>107</v>
      </c>
      <c r="B2613" t="s">
        <v>110</v>
      </c>
      <c r="C2613">
        <v>12</v>
      </c>
      <c r="D2613">
        <v>3</v>
      </c>
      <c r="E2613">
        <v>3</v>
      </c>
      <c r="F2613">
        <v>1</v>
      </c>
      <c r="G2613" t="s">
        <v>120</v>
      </c>
      <c r="H2613" t="str">
        <f>IFERROR(ROUND(COUNTIFS(Tasks!$A:$A,$A2613,Tasks!$B:$B,$B2613,Tasks!$C:$C,$G2613,Tasks!$I:$I,"&lt;="&amp;INDEX(Weeks!$D:$D,MATCH($C2613,Weeks!$A:$A,0)),Tasks!$I:$I,"&lt;&gt;")/COUNTIFS(Tasks!$A:$A,$A2613,Tasks!$B:$B,$B2613,Tasks!$C:$C,$G2613)*100,0),"")</f>
        <v/>
      </c>
    </row>
    <row r="2614" spans="1:8" ht="15" hidden="1" customHeight="1">
      <c r="A2614" t="s">
        <v>107</v>
      </c>
      <c r="B2614" t="s">
        <v>110</v>
      </c>
      <c r="C2614">
        <v>13</v>
      </c>
      <c r="D2614">
        <v>3</v>
      </c>
      <c r="E2614">
        <v>4</v>
      </c>
      <c r="F2614">
        <v>1</v>
      </c>
      <c r="G2614" t="s">
        <v>120</v>
      </c>
      <c r="H2614" t="str">
        <f>IFERROR(ROUND(COUNTIFS(Tasks!$A:$A,$A2614,Tasks!$B:$B,$B2614,Tasks!$C:$C,$G2614,Tasks!$I:$I,"&lt;="&amp;INDEX(Weeks!$D:$D,MATCH($C2614,Weeks!$A:$A,0)),Tasks!$I:$I,"&lt;&gt;")/COUNTIFS(Tasks!$A:$A,$A2614,Tasks!$B:$B,$B2614,Tasks!$C:$C,$G2614)*100,0),"")</f>
        <v/>
      </c>
    </row>
    <row r="2615" spans="1:8" ht="15" hidden="1" customHeight="1">
      <c r="A2615" t="s">
        <v>107</v>
      </c>
      <c r="B2615" t="s">
        <v>110</v>
      </c>
      <c r="C2615">
        <v>14</v>
      </c>
      <c r="D2615">
        <v>4</v>
      </c>
      <c r="E2615">
        <v>1</v>
      </c>
      <c r="F2615">
        <v>1</v>
      </c>
      <c r="G2615" t="s">
        <v>120</v>
      </c>
      <c r="H2615" t="str">
        <f>IFERROR(ROUND(COUNTIFS(Tasks!$A:$A,$A2615,Tasks!$B:$B,$B2615,Tasks!$C:$C,$G2615,Tasks!$I:$I,"&lt;="&amp;INDEX(Weeks!$D:$D,MATCH($C2615,Weeks!$A:$A,0)),Tasks!$I:$I,"&lt;&gt;")/COUNTIFS(Tasks!$A:$A,$A2615,Tasks!$B:$B,$B2615,Tasks!$C:$C,$G2615)*100,0),"")</f>
        <v/>
      </c>
    </row>
    <row r="2616" spans="1:8" ht="15" hidden="1" customHeight="1">
      <c r="A2616" t="s">
        <v>107</v>
      </c>
      <c r="B2616" t="s">
        <v>110</v>
      </c>
      <c r="C2616">
        <v>15</v>
      </c>
      <c r="D2616">
        <v>4</v>
      </c>
      <c r="E2616">
        <v>2</v>
      </c>
      <c r="F2616">
        <v>1</v>
      </c>
      <c r="G2616" t="s">
        <v>120</v>
      </c>
      <c r="H2616" t="str">
        <f>IFERROR(ROUND(COUNTIFS(Tasks!$A:$A,$A2616,Tasks!$B:$B,$B2616,Tasks!$C:$C,$G2616,Tasks!$I:$I,"&lt;="&amp;INDEX(Weeks!$D:$D,MATCH($C2616,Weeks!$A:$A,0)),Tasks!$I:$I,"&lt;&gt;")/COUNTIFS(Tasks!$A:$A,$A2616,Tasks!$B:$B,$B2616,Tasks!$C:$C,$G2616)*100,0),"")</f>
        <v/>
      </c>
    </row>
    <row r="2617" spans="1:8" ht="15" hidden="1" customHeight="1">
      <c r="A2617" t="s">
        <v>107</v>
      </c>
      <c r="B2617" t="s">
        <v>110</v>
      </c>
      <c r="C2617">
        <v>16</v>
      </c>
      <c r="D2617">
        <v>4</v>
      </c>
      <c r="E2617">
        <v>3</v>
      </c>
      <c r="F2617">
        <v>1</v>
      </c>
      <c r="G2617" t="s">
        <v>120</v>
      </c>
      <c r="H2617" t="str">
        <f>IFERROR(ROUND(COUNTIFS(Tasks!$A:$A,$A2617,Tasks!$B:$B,$B2617,Tasks!$C:$C,$G2617,Tasks!$I:$I,"&lt;="&amp;INDEX(Weeks!$D:$D,MATCH($C2617,Weeks!$A:$A,0)),Tasks!$I:$I,"&lt;&gt;")/COUNTIFS(Tasks!$A:$A,$A2617,Tasks!$B:$B,$B2617,Tasks!$C:$C,$G2617)*100,0),"")</f>
        <v/>
      </c>
    </row>
    <row r="2618" spans="1:8" ht="15" hidden="1" customHeight="1">
      <c r="A2618" t="s">
        <v>107</v>
      </c>
      <c r="B2618" t="s">
        <v>110</v>
      </c>
      <c r="C2618">
        <v>17</v>
      </c>
      <c r="D2618">
        <v>4</v>
      </c>
      <c r="E2618">
        <v>4</v>
      </c>
      <c r="F2618">
        <v>1</v>
      </c>
      <c r="G2618" t="s">
        <v>120</v>
      </c>
      <c r="H2618" t="str">
        <f>IFERROR(ROUND(COUNTIFS(Tasks!$A:$A,$A2618,Tasks!$B:$B,$B2618,Tasks!$C:$C,$G2618,Tasks!$I:$I,"&lt;="&amp;INDEX(Weeks!$D:$D,MATCH($C2618,Weeks!$A:$A,0)),Tasks!$I:$I,"&lt;&gt;")/COUNTIFS(Tasks!$A:$A,$A2618,Tasks!$B:$B,$B2618,Tasks!$C:$C,$G2618)*100,0),"")</f>
        <v/>
      </c>
    </row>
    <row r="2619" spans="1:8" ht="15" hidden="1" customHeight="1">
      <c r="A2619" t="s">
        <v>107</v>
      </c>
      <c r="B2619" t="s">
        <v>110</v>
      </c>
      <c r="C2619">
        <v>18</v>
      </c>
      <c r="D2619">
        <v>5</v>
      </c>
      <c r="E2619">
        <v>1</v>
      </c>
      <c r="F2619">
        <v>1</v>
      </c>
      <c r="G2619" t="s">
        <v>120</v>
      </c>
      <c r="H2619" t="str">
        <f>IFERROR(ROUND(COUNTIFS(Tasks!$A:$A,$A2619,Tasks!$B:$B,$B2619,Tasks!$C:$C,$G2619,Tasks!$I:$I,"&lt;="&amp;INDEX(Weeks!$D:$D,MATCH($C2619,Weeks!$A:$A,0)),Tasks!$I:$I,"&lt;&gt;")/COUNTIFS(Tasks!$A:$A,$A2619,Tasks!$B:$B,$B2619,Tasks!$C:$C,$G2619)*100,0),"")</f>
        <v/>
      </c>
    </row>
    <row r="2620" spans="1:8" ht="15" hidden="1" customHeight="1">
      <c r="A2620" t="s">
        <v>107</v>
      </c>
      <c r="B2620" t="s">
        <v>110</v>
      </c>
      <c r="C2620">
        <v>19</v>
      </c>
      <c r="D2620">
        <v>5</v>
      </c>
      <c r="E2620">
        <v>2</v>
      </c>
      <c r="F2620">
        <v>1</v>
      </c>
      <c r="G2620" t="s">
        <v>120</v>
      </c>
      <c r="H2620" t="str">
        <f>IFERROR(ROUND(COUNTIFS(Tasks!$A:$A,$A2620,Tasks!$B:$B,$B2620,Tasks!$C:$C,$G2620,Tasks!$I:$I,"&lt;="&amp;INDEX(Weeks!$D:$D,MATCH($C2620,Weeks!$A:$A,0)),Tasks!$I:$I,"&lt;&gt;")/COUNTIFS(Tasks!$A:$A,$A2620,Tasks!$B:$B,$B2620,Tasks!$C:$C,$G2620)*100,0),"")</f>
        <v/>
      </c>
    </row>
    <row r="2621" spans="1:8" ht="15" hidden="1" customHeight="1">
      <c r="A2621" t="s">
        <v>107</v>
      </c>
      <c r="B2621" t="s">
        <v>110</v>
      </c>
      <c r="C2621">
        <v>20</v>
      </c>
      <c r="D2621">
        <v>5</v>
      </c>
      <c r="E2621">
        <v>3</v>
      </c>
      <c r="F2621">
        <v>1</v>
      </c>
      <c r="G2621" t="s">
        <v>120</v>
      </c>
      <c r="H2621" t="str">
        <f>IFERROR(ROUND(COUNTIFS(Tasks!$A:$A,$A2621,Tasks!$B:$B,$B2621,Tasks!$C:$C,$G2621,Tasks!$I:$I,"&lt;="&amp;INDEX(Weeks!$D:$D,MATCH($C2621,Weeks!$A:$A,0)),Tasks!$I:$I,"&lt;&gt;")/COUNTIFS(Tasks!$A:$A,$A2621,Tasks!$B:$B,$B2621,Tasks!$C:$C,$G2621)*100,0),"")</f>
        <v/>
      </c>
    </row>
    <row r="2622" spans="1:8" ht="15" hidden="1" customHeight="1">
      <c r="A2622" t="s">
        <v>107</v>
      </c>
      <c r="B2622" t="s">
        <v>110</v>
      </c>
      <c r="C2622">
        <v>21</v>
      </c>
      <c r="D2622">
        <v>5</v>
      </c>
      <c r="E2622">
        <v>4</v>
      </c>
      <c r="F2622">
        <v>1</v>
      </c>
      <c r="G2622" t="s">
        <v>120</v>
      </c>
      <c r="H2622" t="str">
        <f>IFERROR(ROUND(COUNTIFS(Tasks!$A:$A,$A2622,Tasks!$B:$B,$B2622,Tasks!$C:$C,$G2622,Tasks!$I:$I,"&lt;="&amp;INDEX(Weeks!$D:$D,MATCH($C2622,Weeks!$A:$A,0)),Tasks!$I:$I,"&lt;&gt;")/COUNTIFS(Tasks!$A:$A,$A2622,Tasks!$B:$B,$B2622,Tasks!$C:$C,$G2622)*100,0),"")</f>
        <v/>
      </c>
    </row>
    <row r="2623" spans="1:8" ht="15" hidden="1" customHeight="1">
      <c r="A2623" t="s">
        <v>107</v>
      </c>
      <c r="B2623" t="s">
        <v>110</v>
      </c>
      <c r="C2623">
        <v>22</v>
      </c>
      <c r="D2623">
        <v>5</v>
      </c>
      <c r="E2623">
        <v>5</v>
      </c>
      <c r="F2623">
        <v>1</v>
      </c>
      <c r="G2623" t="s">
        <v>120</v>
      </c>
      <c r="H2623" t="str">
        <f>IFERROR(ROUND(COUNTIFS(Tasks!$A:$A,$A2623,Tasks!$B:$B,$B2623,Tasks!$C:$C,$G2623,Tasks!$I:$I,"&lt;="&amp;INDEX(Weeks!$D:$D,MATCH($C2623,Weeks!$A:$A,0)),Tasks!$I:$I,"&lt;&gt;")/COUNTIFS(Tasks!$A:$A,$A2623,Tasks!$B:$B,$B2623,Tasks!$C:$C,$G2623)*100,0),"")</f>
        <v/>
      </c>
    </row>
    <row r="2624" spans="1:8" ht="15" hidden="1" customHeight="1">
      <c r="A2624" t="s">
        <v>107</v>
      </c>
      <c r="B2624" t="s">
        <v>110</v>
      </c>
      <c r="C2624">
        <v>23</v>
      </c>
      <c r="D2624">
        <v>6</v>
      </c>
      <c r="E2624">
        <v>1</v>
      </c>
      <c r="F2624">
        <v>1</v>
      </c>
      <c r="G2624" t="s">
        <v>120</v>
      </c>
      <c r="H2624" t="str">
        <f>IFERROR(ROUND(COUNTIFS(Tasks!$A:$A,$A2624,Tasks!$B:$B,$B2624,Tasks!$C:$C,$G2624,Tasks!$I:$I,"&lt;="&amp;INDEX(Weeks!$D:$D,MATCH($C2624,Weeks!$A:$A,0)),Tasks!$I:$I,"&lt;&gt;")/COUNTIFS(Tasks!$A:$A,$A2624,Tasks!$B:$B,$B2624,Tasks!$C:$C,$G2624)*100,0),"")</f>
        <v/>
      </c>
    </row>
    <row r="2625" spans="1:8" ht="15" hidden="1" customHeight="1">
      <c r="A2625" t="s">
        <v>107</v>
      </c>
      <c r="B2625" t="s">
        <v>110</v>
      </c>
      <c r="C2625">
        <v>24</v>
      </c>
      <c r="D2625">
        <v>6</v>
      </c>
      <c r="E2625">
        <v>2</v>
      </c>
      <c r="F2625">
        <v>1</v>
      </c>
      <c r="G2625" t="s">
        <v>120</v>
      </c>
      <c r="H2625" t="str">
        <f>IFERROR(ROUND(COUNTIFS(Tasks!$A:$A,$A2625,Tasks!$B:$B,$B2625,Tasks!$C:$C,$G2625,Tasks!$I:$I,"&lt;="&amp;INDEX(Weeks!$D:$D,MATCH($C2625,Weeks!$A:$A,0)),Tasks!$I:$I,"&lt;&gt;")/COUNTIFS(Tasks!$A:$A,$A2625,Tasks!$B:$B,$B2625,Tasks!$C:$C,$G2625)*100,0),"")</f>
        <v/>
      </c>
    </row>
    <row r="2626" spans="1:8" ht="15" hidden="1" customHeight="1">
      <c r="A2626" t="s">
        <v>107</v>
      </c>
      <c r="B2626" t="s">
        <v>110</v>
      </c>
      <c r="C2626">
        <v>25</v>
      </c>
      <c r="D2626">
        <v>6</v>
      </c>
      <c r="E2626">
        <v>3</v>
      </c>
      <c r="F2626">
        <v>1</v>
      </c>
      <c r="G2626" t="s">
        <v>120</v>
      </c>
      <c r="H2626" t="str">
        <f>IFERROR(ROUND(COUNTIFS(Tasks!$A:$A,$A2626,Tasks!$B:$B,$B2626,Tasks!$C:$C,$G2626,Tasks!$I:$I,"&lt;="&amp;INDEX(Weeks!$D:$D,MATCH($C2626,Weeks!$A:$A,0)),Tasks!$I:$I,"&lt;&gt;")/COUNTIFS(Tasks!$A:$A,$A2626,Tasks!$B:$B,$B2626,Tasks!$C:$C,$G2626)*100,0),"")</f>
        <v/>
      </c>
    </row>
    <row r="2627" spans="1:8" ht="15" hidden="1" customHeight="1">
      <c r="A2627" t="s">
        <v>107</v>
      </c>
      <c r="B2627" t="s">
        <v>110</v>
      </c>
      <c r="C2627">
        <v>26</v>
      </c>
      <c r="D2627">
        <v>6</v>
      </c>
      <c r="E2627">
        <v>4</v>
      </c>
      <c r="F2627">
        <v>1</v>
      </c>
      <c r="G2627" t="s">
        <v>120</v>
      </c>
      <c r="H2627" t="str">
        <f>IFERROR(ROUND(COUNTIFS(Tasks!$A:$A,$A2627,Tasks!$B:$B,$B2627,Tasks!$C:$C,$G2627,Tasks!$I:$I,"&lt;="&amp;INDEX(Weeks!$D:$D,MATCH($C2627,Weeks!$A:$A,0)),Tasks!$I:$I,"&lt;&gt;")/COUNTIFS(Tasks!$A:$A,$A2627,Tasks!$B:$B,$B2627,Tasks!$C:$C,$G2627)*100,0),"")</f>
        <v/>
      </c>
    </row>
    <row r="2628" spans="1:8" ht="15" hidden="1" customHeight="1">
      <c r="A2628" t="s">
        <v>107</v>
      </c>
      <c r="B2628" t="s">
        <v>110</v>
      </c>
      <c r="C2628">
        <v>27</v>
      </c>
      <c r="D2628">
        <v>7</v>
      </c>
      <c r="E2628">
        <v>1</v>
      </c>
      <c r="F2628">
        <v>1</v>
      </c>
      <c r="G2628" t="s">
        <v>120</v>
      </c>
      <c r="H2628" t="str">
        <f>IFERROR(ROUND(COUNTIFS(Tasks!$A:$A,$A2628,Tasks!$B:$B,$B2628,Tasks!$C:$C,$G2628,Tasks!$I:$I,"&lt;="&amp;INDEX(Weeks!$D:$D,MATCH($C2628,Weeks!$A:$A,0)),Tasks!$I:$I,"&lt;&gt;")/COUNTIFS(Tasks!$A:$A,$A2628,Tasks!$B:$B,$B2628,Tasks!$C:$C,$G2628)*100,0),"")</f>
        <v/>
      </c>
    </row>
    <row r="2629" spans="1:8" ht="15" hidden="1" customHeight="1">
      <c r="A2629" t="s">
        <v>107</v>
      </c>
      <c r="B2629" t="s">
        <v>110</v>
      </c>
      <c r="C2629">
        <v>28</v>
      </c>
      <c r="D2629">
        <v>7</v>
      </c>
      <c r="E2629">
        <v>2</v>
      </c>
      <c r="F2629">
        <v>1</v>
      </c>
      <c r="G2629" t="s">
        <v>120</v>
      </c>
      <c r="H2629" t="str">
        <f>IFERROR(ROUND(COUNTIFS(Tasks!$A:$A,$A2629,Tasks!$B:$B,$B2629,Tasks!$C:$C,$G2629,Tasks!$I:$I,"&lt;="&amp;INDEX(Weeks!$D:$D,MATCH($C2629,Weeks!$A:$A,0)),Tasks!$I:$I,"&lt;&gt;")/COUNTIFS(Tasks!$A:$A,$A2629,Tasks!$B:$B,$B2629,Tasks!$C:$C,$G2629)*100,0),"")</f>
        <v/>
      </c>
    </row>
    <row r="2630" spans="1:8" ht="15" hidden="1" customHeight="1">
      <c r="A2630" t="s">
        <v>107</v>
      </c>
      <c r="B2630" t="s">
        <v>110</v>
      </c>
      <c r="C2630">
        <v>29</v>
      </c>
      <c r="D2630">
        <v>7</v>
      </c>
      <c r="E2630">
        <v>3</v>
      </c>
      <c r="F2630">
        <v>1</v>
      </c>
      <c r="G2630" t="s">
        <v>120</v>
      </c>
      <c r="H2630" t="str">
        <f>IFERROR(ROUND(COUNTIFS(Tasks!$A:$A,$A2630,Tasks!$B:$B,$B2630,Tasks!$C:$C,$G2630,Tasks!$I:$I,"&lt;="&amp;INDEX(Weeks!$D:$D,MATCH($C2630,Weeks!$A:$A,0)),Tasks!$I:$I,"&lt;&gt;")/COUNTIFS(Tasks!$A:$A,$A2630,Tasks!$B:$B,$B2630,Tasks!$C:$C,$G2630)*100,0),"")</f>
        <v/>
      </c>
    </row>
    <row r="2631" spans="1:8" ht="15" hidden="1" customHeight="1">
      <c r="A2631" t="s">
        <v>107</v>
      </c>
      <c r="B2631" t="s">
        <v>110</v>
      </c>
      <c r="C2631">
        <v>30</v>
      </c>
      <c r="D2631">
        <v>7</v>
      </c>
      <c r="E2631">
        <v>4</v>
      </c>
      <c r="F2631">
        <v>1</v>
      </c>
      <c r="G2631" t="s">
        <v>120</v>
      </c>
      <c r="H2631" t="str">
        <f>IFERROR(ROUND(COUNTIFS(Tasks!$A:$A,$A2631,Tasks!$B:$B,$B2631,Tasks!$C:$C,$G2631,Tasks!$I:$I,"&lt;="&amp;INDEX(Weeks!$D:$D,MATCH($C2631,Weeks!$A:$A,0)),Tasks!$I:$I,"&lt;&gt;")/COUNTIFS(Tasks!$A:$A,$A2631,Tasks!$B:$B,$B2631,Tasks!$C:$C,$G2631)*100,0),"")</f>
        <v/>
      </c>
    </row>
    <row r="2632" spans="1:8" ht="15" hidden="1" customHeight="1">
      <c r="A2632" t="s">
        <v>107</v>
      </c>
      <c r="B2632" t="s">
        <v>110</v>
      </c>
      <c r="C2632">
        <v>31</v>
      </c>
      <c r="D2632">
        <v>8</v>
      </c>
      <c r="E2632">
        <v>1</v>
      </c>
      <c r="F2632">
        <v>1</v>
      </c>
      <c r="G2632" t="s">
        <v>120</v>
      </c>
      <c r="H2632" t="str">
        <f>IFERROR(ROUND(COUNTIFS(Tasks!$A:$A,$A2632,Tasks!$B:$B,$B2632,Tasks!$C:$C,$G2632,Tasks!$I:$I,"&lt;="&amp;INDEX(Weeks!$D:$D,MATCH($C2632,Weeks!$A:$A,0)),Tasks!$I:$I,"&lt;&gt;")/COUNTIFS(Tasks!$A:$A,$A2632,Tasks!$B:$B,$B2632,Tasks!$C:$C,$G2632)*100,0),"")</f>
        <v/>
      </c>
    </row>
    <row r="2633" spans="1:8" ht="15" hidden="1" customHeight="1">
      <c r="A2633" t="s">
        <v>107</v>
      </c>
      <c r="B2633" t="s">
        <v>110</v>
      </c>
      <c r="C2633">
        <v>32</v>
      </c>
      <c r="D2633">
        <v>8</v>
      </c>
      <c r="E2633">
        <v>2</v>
      </c>
      <c r="F2633">
        <v>1</v>
      </c>
      <c r="G2633" t="s">
        <v>120</v>
      </c>
      <c r="H2633" t="str">
        <f>IFERROR(ROUND(COUNTIFS(Tasks!$A:$A,$A2633,Tasks!$B:$B,$B2633,Tasks!$C:$C,$G2633,Tasks!$I:$I,"&lt;="&amp;INDEX(Weeks!$D:$D,MATCH($C2633,Weeks!$A:$A,0)),Tasks!$I:$I,"&lt;&gt;")/COUNTIFS(Tasks!$A:$A,$A2633,Tasks!$B:$B,$B2633,Tasks!$C:$C,$G2633)*100,0),"")</f>
        <v/>
      </c>
    </row>
    <row r="2634" spans="1:8" ht="15" hidden="1" customHeight="1">
      <c r="A2634" t="s">
        <v>107</v>
      </c>
      <c r="B2634" t="s">
        <v>110</v>
      </c>
      <c r="C2634">
        <v>33</v>
      </c>
      <c r="D2634">
        <v>8</v>
      </c>
      <c r="E2634">
        <v>3</v>
      </c>
      <c r="F2634">
        <v>1</v>
      </c>
      <c r="G2634" t="s">
        <v>120</v>
      </c>
      <c r="H2634" t="str">
        <f>IFERROR(ROUND(COUNTIFS(Tasks!$A:$A,$A2634,Tasks!$B:$B,$B2634,Tasks!$C:$C,$G2634,Tasks!$I:$I,"&lt;="&amp;INDEX(Weeks!$D:$D,MATCH($C2634,Weeks!$A:$A,0)),Tasks!$I:$I,"&lt;&gt;")/COUNTIFS(Tasks!$A:$A,$A2634,Tasks!$B:$B,$B2634,Tasks!$C:$C,$G2634)*100,0),"")</f>
        <v/>
      </c>
    </row>
    <row r="2635" spans="1:8" ht="15" hidden="1" customHeight="1">
      <c r="A2635" t="s">
        <v>107</v>
      </c>
      <c r="B2635" t="s">
        <v>110</v>
      </c>
      <c r="C2635">
        <v>34</v>
      </c>
      <c r="D2635">
        <v>8</v>
      </c>
      <c r="E2635">
        <v>4</v>
      </c>
      <c r="F2635">
        <v>1</v>
      </c>
      <c r="G2635" t="s">
        <v>120</v>
      </c>
      <c r="H2635" t="str">
        <f>IFERROR(ROUND(COUNTIFS(Tasks!$A:$A,$A2635,Tasks!$B:$B,$B2635,Tasks!$C:$C,$G2635,Tasks!$I:$I,"&lt;="&amp;INDEX(Weeks!$D:$D,MATCH($C2635,Weeks!$A:$A,0)),Tasks!$I:$I,"&lt;&gt;")/COUNTIFS(Tasks!$A:$A,$A2635,Tasks!$B:$B,$B2635,Tasks!$C:$C,$G2635)*100,0),"")</f>
        <v/>
      </c>
    </row>
    <row r="2636" spans="1:8" ht="15" hidden="1" customHeight="1">
      <c r="A2636" t="s">
        <v>107</v>
      </c>
      <c r="B2636" t="s">
        <v>110</v>
      </c>
      <c r="C2636">
        <v>35</v>
      </c>
      <c r="D2636">
        <v>8</v>
      </c>
      <c r="E2636">
        <v>5</v>
      </c>
      <c r="F2636">
        <v>1</v>
      </c>
      <c r="G2636" t="s">
        <v>120</v>
      </c>
      <c r="H2636" t="str">
        <f>IFERROR(ROUND(COUNTIFS(Tasks!$A:$A,$A2636,Tasks!$B:$B,$B2636,Tasks!$C:$C,$G2636,Tasks!$I:$I,"&lt;="&amp;INDEX(Weeks!$D:$D,MATCH($C2636,Weeks!$A:$A,0)),Tasks!$I:$I,"&lt;&gt;")/COUNTIFS(Tasks!$A:$A,$A2636,Tasks!$B:$B,$B2636,Tasks!$C:$C,$G2636)*100,0),"")</f>
        <v/>
      </c>
    </row>
    <row r="2637" spans="1:8" ht="15" hidden="1" customHeight="1">
      <c r="A2637" t="s">
        <v>107</v>
      </c>
      <c r="B2637" t="s">
        <v>110</v>
      </c>
      <c r="C2637">
        <v>36</v>
      </c>
      <c r="D2637">
        <v>9</v>
      </c>
      <c r="E2637">
        <v>1</v>
      </c>
      <c r="F2637">
        <v>1</v>
      </c>
      <c r="G2637" t="s">
        <v>120</v>
      </c>
      <c r="H2637" t="str">
        <f>IFERROR(ROUND(COUNTIFS(Tasks!$A:$A,$A2637,Tasks!$B:$B,$B2637,Tasks!$C:$C,$G2637,Tasks!$I:$I,"&lt;="&amp;INDEX(Weeks!$D:$D,MATCH($C2637,Weeks!$A:$A,0)),Tasks!$I:$I,"&lt;&gt;")/COUNTIFS(Tasks!$A:$A,$A2637,Tasks!$B:$B,$B2637,Tasks!$C:$C,$G2637)*100,0),"")</f>
        <v/>
      </c>
    </row>
    <row r="2638" spans="1:8" ht="15" hidden="1" customHeight="1">
      <c r="A2638" t="s">
        <v>107</v>
      </c>
      <c r="B2638" t="s">
        <v>110</v>
      </c>
      <c r="C2638">
        <v>37</v>
      </c>
      <c r="D2638">
        <v>9</v>
      </c>
      <c r="E2638">
        <v>2</v>
      </c>
      <c r="F2638">
        <v>1</v>
      </c>
      <c r="G2638" t="s">
        <v>120</v>
      </c>
      <c r="H2638" t="str">
        <f>IFERROR(ROUND(COUNTIFS(Tasks!$A:$A,$A2638,Tasks!$B:$B,$B2638,Tasks!$C:$C,$G2638,Tasks!$I:$I,"&lt;="&amp;INDEX(Weeks!$D:$D,MATCH($C2638,Weeks!$A:$A,0)),Tasks!$I:$I,"&lt;&gt;")/COUNTIFS(Tasks!$A:$A,$A2638,Tasks!$B:$B,$B2638,Tasks!$C:$C,$G2638)*100,0),"")</f>
        <v/>
      </c>
    </row>
    <row r="2639" spans="1:8" ht="15" hidden="1" customHeight="1">
      <c r="A2639" t="s">
        <v>107</v>
      </c>
      <c r="B2639" t="s">
        <v>110</v>
      </c>
      <c r="C2639">
        <v>38</v>
      </c>
      <c r="D2639">
        <v>9</v>
      </c>
      <c r="E2639">
        <v>3</v>
      </c>
      <c r="F2639">
        <v>1</v>
      </c>
      <c r="G2639" t="s">
        <v>120</v>
      </c>
      <c r="H2639" t="str">
        <f>IFERROR(ROUND(COUNTIFS(Tasks!$A:$A,$A2639,Tasks!$B:$B,$B2639,Tasks!$C:$C,$G2639,Tasks!$I:$I,"&lt;="&amp;INDEX(Weeks!$D:$D,MATCH($C2639,Weeks!$A:$A,0)),Tasks!$I:$I,"&lt;&gt;")/COUNTIFS(Tasks!$A:$A,$A2639,Tasks!$B:$B,$B2639,Tasks!$C:$C,$G2639)*100,0),"")</f>
        <v/>
      </c>
    </row>
    <row r="2640" spans="1:8" ht="15" hidden="1" customHeight="1">
      <c r="A2640" t="s">
        <v>107</v>
      </c>
      <c r="B2640" t="s">
        <v>110</v>
      </c>
      <c r="C2640">
        <v>39</v>
      </c>
      <c r="D2640">
        <v>9</v>
      </c>
      <c r="E2640">
        <v>4</v>
      </c>
      <c r="F2640">
        <v>1</v>
      </c>
      <c r="G2640" t="s">
        <v>120</v>
      </c>
      <c r="H2640" t="str">
        <f>IFERROR(ROUND(COUNTIFS(Tasks!$A:$A,$A2640,Tasks!$B:$B,$B2640,Tasks!$C:$C,$G2640,Tasks!$I:$I,"&lt;="&amp;INDEX(Weeks!$D:$D,MATCH($C2640,Weeks!$A:$A,0)),Tasks!$I:$I,"&lt;&gt;")/COUNTIFS(Tasks!$A:$A,$A2640,Tasks!$B:$B,$B2640,Tasks!$C:$C,$G2640)*100,0),"")</f>
        <v/>
      </c>
    </row>
    <row r="2641" spans="1:8" ht="15" hidden="1" customHeight="1">
      <c r="A2641" t="s">
        <v>107</v>
      </c>
      <c r="B2641" t="s">
        <v>110</v>
      </c>
      <c r="C2641">
        <v>40</v>
      </c>
      <c r="D2641">
        <v>10</v>
      </c>
      <c r="E2641">
        <v>1</v>
      </c>
      <c r="F2641">
        <v>1</v>
      </c>
      <c r="G2641" t="s">
        <v>120</v>
      </c>
      <c r="H2641" t="str">
        <f>IFERROR(ROUND(COUNTIFS(Tasks!$A:$A,$A2641,Tasks!$B:$B,$B2641,Tasks!$C:$C,$G2641,Tasks!$I:$I,"&lt;="&amp;INDEX(Weeks!$D:$D,MATCH($C2641,Weeks!$A:$A,0)),Tasks!$I:$I,"&lt;&gt;")/COUNTIFS(Tasks!$A:$A,$A2641,Tasks!$B:$B,$B2641,Tasks!$C:$C,$G2641)*100,0),"")</f>
        <v/>
      </c>
    </row>
    <row r="2642" spans="1:8" ht="15" hidden="1" customHeight="1">
      <c r="A2642" t="s">
        <v>107</v>
      </c>
      <c r="B2642" t="s">
        <v>110</v>
      </c>
      <c r="C2642">
        <v>41</v>
      </c>
      <c r="D2642">
        <v>10</v>
      </c>
      <c r="E2642">
        <v>2</v>
      </c>
      <c r="F2642">
        <v>1</v>
      </c>
      <c r="G2642" t="s">
        <v>120</v>
      </c>
      <c r="H2642" t="str">
        <f>IFERROR(ROUND(COUNTIFS(Tasks!$A:$A,$A2642,Tasks!$B:$B,$B2642,Tasks!$C:$C,$G2642,Tasks!$I:$I,"&lt;="&amp;INDEX(Weeks!$D:$D,MATCH($C2642,Weeks!$A:$A,0)),Tasks!$I:$I,"&lt;&gt;")/COUNTIFS(Tasks!$A:$A,$A2642,Tasks!$B:$B,$B2642,Tasks!$C:$C,$G2642)*100,0),"")</f>
        <v/>
      </c>
    </row>
    <row r="2643" spans="1:8" ht="15" hidden="1" customHeight="1">
      <c r="A2643" t="s">
        <v>107</v>
      </c>
      <c r="B2643" t="s">
        <v>110</v>
      </c>
      <c r="C2643">
        <v>42</v>
      </c>
      <c r="D2643">
        <v>10</v>
      </c>
      <c r="E2643">
        <v>3</v>
      </c>
      <c r="F2643">
        <v>1</v>
      </c>
      <c r="G2643" t="s">
        <v>120</v>
      </c>
      <c r="H2643" t="str">
        <f>IFERROR(ROUND(COUNTIFS(Tasks!$A:$A,$A2643,Tasks!$B:$B,$B2643,Tasks!$C:$C,$G2643,Tasks!$I:$I,"&lt;="&amp;INDEX(Weeks!$D:$D,MATCH($C2643,Weeks!$A:$A,0)),Tasks!$I:$I,"&lt;&gt;")/COUNTIFS(Tasks!$A:$A,$A2643,Tasks!$B:$B,$B2643,Tasks!$C:$C,$G2643)*100,0),"")</f>
        <v/>
      </c>
    </row>
    <row r="2644" spans="1:8" ht="15" hidden="1" customHeight="1">
      <c r="A2644" t="s">
        <v>107</v>
      </c>
      <c r="B2644" t="s">
        <v>110</v>
      </c>
      <c r="C2644">
        <v>43</v>
      </c>
      <c r="D2644">
        <v>10</v>
      </c>
      <c r="E2644">
        <v>4</v>
      </c>
      <c r="F2644">
        <v>1</v>
      </c>
      <c r="G2644" t="s">
        <v>120</v>
      </c>
      <c r="H2644" t="str">
        <f>IFERROR(ROUND(COUNTIFS(Tasks!$A:$A,$A2644,Tasks!$B:$B,$B2644,Tasks!$C:$C,$G2644,Tasks!$I:$I,"&lt;="&amp;INDEX(Weeks!$D:$D,MATCH($C2644,Weeks!$A:$A,0)),Tasks!$I:$I,"&lt;&gt;")/COUNTIFS(Tasks!$A:$A,$A2644,Tasks!$B:$B,$B2644,Tasks!$C:$C,$G2644)*100,0),"")</f>
        <v/>
      </c>
    </row>
    <row r="2645" spans="1:8" ht="15" hidden="1" customHeight="1">
      <c r="A2645" t="s">
        <v>107</v>
      </c>
      <c r="B2645" t="s">
        <v>110</v>
      </c>
      <c r="C2645">
        <v>44</v>
      </c>
      <c r="D2645">
        <v>10</v>
      </c>
      <c r="E2645">
        <v>5</v>
      </c>
      <c r="F2645">
        <v>1</v>
      </c>
      <c r="G2645" t="s">
        <v>120</v>
      </c>
      <c r="H2645" t="str">
        <f>IFERROR(ROUND(COUNTIFS(Tasks!$A:$A,$A2645,Tasks!$B:$B,$B2645,Tasks!$C:$C,$G2645,Tasks!$I:$I,"&lt;="&amp;INDEX(Weeks!$D:$D,MATCH($C2645,Weeks!$A:$A,0)),Tasks!$I:$I,"&lt;&gt;")/COUNTIFS(Tasks!$A:$A,$A2645,Tasks!$B:$B,$B2645,Tasks!$C:$C,$G2645)*100,0),"")</f>
        <v/>
      </c>
    </row>
    <row r="2646" spans="1:8" ht="15" hidden="1" customHeight="1">
      <c r="A2646" t="s">
        <v>107</v>
      </c>
      <c r="B2646" t="s">
        <v>110</v>
      </c>
      <c r="C2646">
        <v>45</v>
      </c>
      <c r="D2646">
        <v>11</v>
      </c>
      <c r="E2646">
        <v>1</v>
      </c>
      <c r="F2646">
        <v>1</v>
      </c>
      <c r="G2646" t="s">
        <v>120</v>
      </c>
      <c r="H2646" t="str">
        <f>IFERROR(ROUND(COUNTIFS(Tasks!$A:$A,$A2646,Tasks!$B:$B,$B2646,Tasks!$C:$C,$G2646,Tasks!$I:$I,"&lt;="&amp;INDEX(Weeks!$D:$D,MATCH($C2646,Weeks!$A:$A,0)),Tasks!$I:$I,"&lt;&gt;")/COUNTIFS(Tasks!$A:$A,$A2646,Tasks!$B:$B,$B2646,Tasks!$C:$C,$G2646)*100,0),"")</f>
        <v/>
      </c>
    </row>
    <row r="2647" spans="1:8" ht="15" hidden="1" customHeight="1">
      <c r="A2647" t="s">
        <v>107</v>
      </c>
      <c r="B2647" t="s">
        <v>110</v>
      </c>
      <c r="C2647">
        <v>46</v>
      </c>
      <c r="D2647">
        <v>11</v>
      </c>
      <c r="E2647">
        <v>2</v>
      </c>
      <c r="F2647">
        <v>1</v>
      </c>
      <c r="G2647" t="s">
        <v>120</v>
      </c>
      <c r="H2647" t="str">
        <f>IFERROR(ROUND(COUNTIFS(Tasks!$A:$A,$A2647,Tasks!$B:$B,$B2647,Tasks!$C:$C,$G2647,Tasks!$I:$I,"&lt;="&amp;INDEX(Weeks!$D:$D,MATCH($C2647,Weeks!$A:$A,0)),Tasks!$I:$I,"&lt;&gt;")/COUNTIFS(Tasks!$A:$A,$A2647,Tasks!$B:$B,$B2647,Tasks!$C:$C,$G2647)*100,0),"")</f>
        <v/>
      </c>
    </row>
    <row r="2648" spans="1:8" ht="15" hidden="1" customHeight="1">
      <c r="A2648" t="s">
        <v>107</v>
      </c>
      <c r="B2648" t="s">
        <v>110</v>
      </c>
      <c r="C2648">
        <v>47</v>
      </c>
      <c r="D2648">
        <v>11</v>
      </c>
      <c r="E2648">
        <v>3</v>
      </c>
      <c r="F2648">
        <v>1</v>
      </c>
      <c r="G2648" t="s">
        <v>120</v>
      </c>
      <c r="H2648" t="str">
        <f>IFERROR(ROUND(COUNTIFS(Tasks!$A:$A,$A2648,Tasks!$B:$B,$B2648,Tasks!$C:$C,$G2648,Tasks!$I:$I,"&lt;="&amp;INDEX(Weeks!$D:$D,MATCH($C2648,Weeks!$A:$A,0)),Tasks!$I:$I,"&lt;&gt;")/COUNTIFS(Tasks!$A:$A,$A2648,Tasks!$B:$B,$B2648,Tasks!$C:$C,$G2648)*100,0),"")</f>
        <v/>
      </c>
    </row>
    <row r="2649" spans="1:8" ht="15" hidden="1" customHeight="1">
      <c r="A2649" t="s">
        <v>107</v>
      </c>
      <c r="B2649" t="s">
        <v>110</v>
      </c>
      <c r="C2649">
        <v>48</v>
      </c>
      <c r="D2649">
        <v>11</v>
      </c>
      <c r="E2649">
        <v>4</v>
      </c>
      <c r="F2649">
        <v>1</v>
      </c>
      <c r="G2649" t="s">
        <v>120</v>
      </c>
      <c r="H2649" t="str">
        <f>IFERROR(ROUND(COUNTIFS(Tasks!$A:$A,$A2649,Tasks!$B:$B,$B2649,Tasks!$C:$C,$G2649,Tasks!$I:$I,"&lt;="&amp;INDEX(Weeks!$D:$D,MATCH($C2649,Weeks!$A:$A,0)),Tasks!$I:$I,"&lt;&gt;")/COUNTIFS(Tasks!$A:$A,$A2649,Tasks!$B:$B,$B2649,Tasks!$C:$C,$G2649)*100,0),"")</f>
        <v/>
      </c>
    </row>
    <row r="2650" spans="1:8" ht="15" hidden="1" customHeight="1">
      <c r="A2650" t="s">
        <v>107</v>
      </c>
      <c r="B2650" t="s">
        <v>110</v>
      </c>
      <c r="C2650">
        <v>49</v>
      </c>
      <c r="D2650">
        <v>12</v>
      </c>
      <c r="E2650">
        <v>1</v>
      </c>
      <c r="F2650">
        <v>1</v>
      </c>
      <c r="G2650" t="s">
        <v>120</v>
      </c>
      <c r="H2650" t="str">
        <f>IFERROR(ROUND(COUNTIFS(Tasks!$A:$A,$A2650,Tasks!$B:$B,$B2650,Tasks!$C:$C,$G2650,Tasks!$I:$I,"&lt;="&amp;INDEX(Weeks!$D:$D,MATCH($C2650,Weeks!$A:$A,0)),Tasks!$I:$I,"&lt;&gt;")/COUNTIFS(Tasks!$A:$A,$A2650,Tasks!$B:$B,$B2650,Tasks!$C:$C,$G2650)*100,0),"")</f>
        <v/>
      </c>
    </row>
    <row r="2651" spans="1:8" ht="15" hidden="1" customHeight="1">
      <c r="A2651" t="s">
        <v>107</v>
      </c>
      <c r="B2651" t="s">
        <v>110</v>
      </c>
      <c r="C2651">
        <v>50</v>
      </c>
      <c r="D2651">
        <v>12</v>
      </c>
      <c r="E2651">
        <v>2</v>
      </c>
      <c r="F2651">
        <v>1</v>
      </c>
      <c r="G2651" t="s">
        <v>120</v>
      </c>
      <c r="H2651" t="str">
        <f>IFERROR(ROUND(COUNTIFS(Tasks!$A:$A,$A2651,Tasks!$B:$B,$B2651,Tasks!$C:$C,$G2651,Tasks!$I:$I,"&lt;="&amp;INDEX(Weeks!$D:$D,MATCH($C2651,Weeks!$A:$A,0)),Tasks!$I:$I,"&lt;&gt;")/COUNTIFS(Tasks!$A:$A,$A2651,Tasks!$B:$B,$B2651,Tasks!$C:$C,$G2651)*100,0),"")</f>
        <v/>
      </c>
    </row>
    <row r="2652" spans="1:8" ht="15" hidden="1" customHeight="1">
      <c r="A2652" t="s">
        <v>107</v>
      </c>
      <c r="B2652" t="s">
        <v>110</v>
      </c>
      <c r="C2652">
        <v>51</v>
      </c>
      <c r="D2652">
        <v>12</v>
      </c>
      <c r="E2652">
        <v>3</v>
      </c>
      <c r="F2652">
        <v>1</v>
      </c>
      <c r="G2652" t="s">
        <v>120</v>
      </c>
      <c r="H2652" t="str">
        <f>IFERROR(ROUND(COUNTIFS(Tasks!$A:$A,$A2652,Tasks!$B:$B,$B2652,Tasks!$C:$C,$G2652,Tasks!$I:$I,"&lt;="&amp;INDEX(Weeks!$D:$D,MATCH($C2652,Weeks!$A:$A,0)),Tasks!$I:$I,"&lt;&gt;")/COUNTIFS(Tasks!$A:$A,$A2652,Tasks!$B:$B,$B2652,Tasks!$C:$C,$G2652)*100,0),"")</f>
        <v/>
      </c>
    </row>
    <row r="2653" spans="1:8" ht="15" hidden="1" customHeight="1">
      <c r="A2653" t="s">
        <v>107</v>
      </c>
      <c r="B2653" t="s">
        <v>110</v>
      </c>
      <c r="C2653">
        <v>52</v>
      </c>
      <c r="D2653">
        <v>12</v>
      </c>
      <c r="E2653">
        <v>4</v>
      </c>
      <c r="F2653">
        <v>1</v>
      </c>
      <c r="G2653" t="s">
        <v>120</v>
      </c>
      <c r="H2653" t="str">
        <f>IFERROR(ROUND(COUNTIFS(Tasks!$A:$A,$A2653,Tasks!$B:$B,$B2653,Tasks!$C:$C,$G2653,Tasks!$I:$I,"&lt;="&amp;INDEX(Weeks!$D:$D,MATCH($C2653,Weeks!$A:$A,0)),Tasks!$I:$I,"&lt;&gt;")/COUNTIFS(Tasks!$A:$A,$A2653,Tasks!$B:$B,$B2653,Tasks!$C:$C,$G2653)*100,0),"")</f>
        <v/>
      </c>
    </row>
    <row r="2654" spans="1:8" ht="15" hidden="1" customHeight="1">
      <c r="A2654" t="s">
        <v>107</v>
      </c>
      <c r="B2654" t="s">
        <v>110</v>
      </c>
      <c r="C2654">
        <v>1</v>
      </c>
      <c r="D2654">
        <v>1</v>
      </c>
      <c r="E2654">
        <v>1</v>
      </c>
      <c r="F2654">
        <v>2</v>
      </c>
      <c r="G2654" t="s">
        <v>121</v>
      </c>
      <c r="H2654" t="str">
        <f>IFERROR(ROUND(COUNTIFS(Tasks!$A:$A,$A2654,Tasks!$B:$B,$B2654,Tasks!$C:$C,$G2654,Tasks!$I:$I,"&lt;="&amp;INDEX(Weeks!$D:$D,MATCH($C2654,Weeks!$A:$A,0)),Tasks!$I:$I,"&lt;&gt;")/COUNTIFS(Tasks!$A:$A,$A2654,Tasks!$B:$B,$B2654,Tasks!$C:$C,$G2654)*100,0),"")</f>
        <v/>
      </c>
    </row>
    <row r="2655" spans="1:8" ht="15" hidden="1" customHeight="1">
      <c r="A2655" t="s">
        <v>107</v>
      </c>
      <c r="B2655" t="s">
        <v>110</v>
      </c>
      <c r="C2655">
        <v>2</v>
      </c>
      <c r="D2655">
        <v>1</v>
      </c>
      <c r="E2655">
        <v>2</v>
      </c>
      <c r="F2655">
        <v>2</v>
      </c>
      <c r="G2655" t="s">
        <v>121</v>
      </c>
      <c r="H2655" t="str">
        <f>IFERROR(ROUND(COUNTIFS(Tasks!$A:$A,$A2655,Tasks!$B:$B,$B2655,Tasks!$C:$C,$G2655,Tasks!$I:$I,"&lt;="&amp;INDEX(Weeks!$D:$D,MATCH($C2655,Weeks!$A:$A,0)),Tasks!$I:$I,"&lt;&gt;")/COUNTIFS(Tasks!$A:$A,$A2655,Tasks!$B:$B,$B2655,Tasks!$C:$C,$G2655)*100,0),"")</f>
        <v/>
      </c>
    </row>
    <row r="2656" spans="1:8" ht="15" hidden="1" customHeight="1">
      <c r="A2656" t="s">
        <v>107</v>
      </c>
      <c r="B2656" t="s">
        <v>110</v>
      </c>
      <c r="C2656">
        <v>3</v>
      </c>
      <c r="D2656">
        <v>1</v>
      </c>
      <c r="E2656">
        <v>3</v>
      </c>
      <c r="F2656">
        <v>2</v>
      </c>
      <c r="G2656" t="s">
        <v>121</v>
      </c>
      <c r="H2656" t="str">
        <f>IFERROR(ROUND(COUNTIFS(Tasks!$A:$A,$A2656,Tasks!$B:$B,$B2656,Tasks!$C:$C,$G2656,Tasks!$I:$I,"&lt;="&amp;INDEX(Weeks!$D:$D,MATCH($C2656,Weeks!$A:$A,0)),Tasks!$I:$I,"&lt;&gt;")/COUNTIFS(Tasks!$A:$A,$A2656,Tasks!$B:$B,$B2656,Tasks!$C:$C,$G2656)*100,0),"")</f>
        <v/>
      </c>
    </row>
    <row r="2657" spans="1:8" ht="15" hidden="1" customHeight="1">
      <c r="A2657" t="s">
        <v>107</v>
      </c>
      <c r="B2657" t="s">
        <v>110</v>
      </c>
      <c r="C2657">
        <v>4</v>
      </c>
      <c r="D2657">
        <v>1</v>
      </c>
      <c r="E2657">
        <v>4</v>
      </c>
      <c r="F2657">
        <v>2</v>
      </c>
      <c r="G2657" t="s">
        <v>121</v>
      </c>
      <c r="H2657" t="str">
        <f>IFERROR(ROUND(COUNTIFS(Tasks!$A:$A,$A2657,Tasks!$B:$B,$B2657,Tasks!$C:$C,$G2657,Tasks!$I:$I,"&lt;="&amp;INDEX(Weeks!$D:$D,MATCH($C2657,Weeks!$A:$A,0)),Tasks!$I:$I,"&lt;&gt;")/COUNTIFS(Tasks!$A:$A,$A2657,Tasks!$B:$B,$B2657,Tasks!$C:$C,$G2657)*100,0),"")</f>
        <v/>
      </c>
    </row>
    <row r="2658" spans="1:8" ht="15" hidden="1" customHeight="1">
      <c r="A2658" t="s">
        <v>107</v>
      </c>
      <c r="B2658" t="s">
        <v>110</v>
      </c>
      <c r="C2658">
        <v>5</v>
      </c>
      <c r="D2658">
        <v>1</v>
      </c>
      <c r="E2658">
        <v>5</v>
      </c>
      <c r="F2658">
        <v>2</v>
      </c>
      <c r="G2658" t="s">
        <v>121</v>
      </c>
      <c r="H2658" t="str">
        <f>IFERROR(ROUND(COUNTIFS(Tasks!$A:$A,$A2658,Tasks!$B:$B,$B2658,Tasks!$C:$C,$G2658,Tasks!$I:$I,"&lt;="&amp;INDEX(Weeks!$D:$D,MATCH($C2658,Weeks!$A:$A,0)),Tasks!$I:$I,"&lt;&gt;")/COUNTIFS(Tasks!$A:$A,$A2658,Tasks!$B:$B,$B2658,Tasks!$C:$C,$G2658)*100,0),"")</f>
        <v/>
      </c>
    </row>
    <row r="2659" spans="1:8" ht="15" hidden="1" customHeight="1">
      <c r="A2659" t="s">
        <v>107</v>
      </c>
      <c r="B2659" t="s">
        <v>110</v>
      </c>
      <c r="C2659">
        <v>6</v>
      </c>
      <c r="D2659">
        <v>2</v>
      </c>
      <c r="E2659">
        <v>1</v>
      </c>
      <c r="F2659">
        <v>2</v>
      </c>
      <c r="G2659" t="s">
        <v>121</v>
      </c>
      <c r="H2659" t="str">
        <f>IFERROR(ROUND(COUNTIFS(Tasks!$A:$A,$A2659,Tasks!$B:$B,$B2659,Tasks!$C:$C,$G2659,Tasks!$I:$I,"&lt;="&amp;INDEX(Weeks!$D:$D,MATCH($C2659,Weeks!$A:$A,0)),Tasks!$I:$I,"&lt;&gt;")/COUNTIFS(Tasks!$A:$A,$A2659,Tasks!$B:$B,$B2659,Tasks!$C:$C,$G2659)*100,0),"")</f>
        <v/>
      </c>
    </row>
    <row r="2660" spans="1:8" ht="15" hidden="1" customHeight="1">
      <c r="A2660" t="s">
        <v>107</v>
      </c>
      <c r="B2660" t="s">
        <v>110</v>
      </c>
      <c r="C2660">
        <v>7</v>
      </c>
      <c r="D2660">
        <v>2</v>
      </c>
      <c r="E2660">
        <v>2</v>
      </c>
      <c r="F2660">
        <v>2</v>
      </c>
      <c r="G2660" t="s">
        <v>121</v>
      </c>
      <c r="H2660" t="str">
        <f>IFERROR(ROUND(COUNTIFS(Tasks!$A:$A,$A2660,Tasks!$B:$B,$B2660,Tasks!$C:$C,$G2660,Tasks!$I:$I,"&lt;="&amp;INDEX(Weeks!$D:$D,MATCH($C2660,Weeks!$A:$A,0)),Tasks!$I:$I,"&lt;&gt;")/COUNTIFS(Tasks!$A:$A,$A2660,Tasks!$B:$B,$B2660,Tasks!$C:$C,$G2660)*100,0),"")</f>
        <v/>
      </c>
    </row>
    <row r="2661" spans="1:8" ht="15" hidden="1" customHeight="1">
      <c r="A2661" t="s">
        <v>107</v>
      </c>
      <c r="B2661" t="s">
        <v>110</v>
      </c>
      <c r="C2661">
        <v>8</v>
      </c>
      <c r="D2661">
        <v>2</v>
      </c>
      <c r="E2661">
        <v>3</v>
      </c>
      <c r="F2661">
        <v>2</v>
      </c>
      <c r="G2661" t="s">
        <v>121</v>
      </c>
      <c r="H2661" t="str">
        <f>IFERROR(ROUND(COUNTIFS(Tasks!$A:$A,$A2661,Tasks!$B:$B,$B2661,Tasks!$C:$C,$G2661,Tasks!$I:$I,"&lt;="&amp;INDEX(Weeks!$D:$D,MATCH($C2661,Weeks!$A:$A,0)),Tasks!$I:$I,"&lt;&gt;")/COUNTIFS(Tasks!$A:$A,$A2661,Tasks!$B:$B,$B2661,Tasks!$C:$C,$G2661)*100,0),"")</f>
        <v/>
      </c>
    </row>
    <row r="2662" spans="1:8" ht="15" hidden="1" customHeight="1">
      <c r="A2662" t="s">
        <v>107</v>
      </c>
      <c r="B2662" t="s">
        <v>110</v>
      </c>
      <c r="C2662">
        <v>9</v>
      </c>
      <c r="D2662">
        <v>2</v>
      </c>
      <c r="E2662">
        <v>4</v>
      </c>
      <c r="F2662">
        <v>2</v>
      </c>
      <c r="G2662" t="s">
        <v>121</v>
      </c>
      <c r="H2662" t="str">
        <f>IFERROR(ROUND(COUNTIFS(Tasks!$A:$A,$A2662,Tasks!$B:$B,$B2662,Tasks!$C:$C,$G2662,Tasks!$I:$I,"&lt;="&amp;INDEX(Weeks!$D:$D,MATCH($C2662,Weeks!$A:$A,0)),Tasks!$I:$I,"&lt;&gt;")/COUNTIFS(Tasks!$A:$A,$A2662,Tasks!$B:$B,$B2662,Tasks!$C:$C,$G2662)*100,0),"")</f>
        <v/>
      </c>
    </row>
    <row r="2663" spans="1:8" ht="15" hidden="1" customHeight="1">
      <c r="A2663" t="s">
        <v>107</v>
      </c>
      <c r="B2663" t="s">
        <v>110</v>
      </c>
      <c r="C2663">
        <v>10</v>
      </c>
      <c r="D2663">
        <v>3</v>
      </c>
      <c r="E2663">
        <v>1</v>
      </c>
      <c r="F2663">
        <v>2</v>
      </c>
      <c r="G2663" t="s">
        <v>121</v>
      </c>
      <c r="H2663" t="str">
        <f>IFERROR(ROUND(COUNTIFS(Tasks!$A:$A,$A2663,Tasks!$B:$B,$B2663,Tasks!$C:$C,$G2663,Tasks!$I:$I,"&lt;="&amp;INDEX(Weeks!$D:$D,MATCH($C2663,Weeks!$A:$A,0)),Tasks!$I:$I,"&lt;&gt;")/COUNTIFS(Tasks!$A:$A,$A2663,Tasks!$B:$B,$B2663,Tasks!$C:$C,$G2663)*100,0),"")</f>
        <v/>
      </c>
    </row>
    <row r="2664" spans="1:8" ht="15" hidden="1" customHeight="1">
      <c r="A2664" t="s">
        <v>107</v>
      </c>
      <c r="B2664" t="s">
        <v>110</v>
      </c>
      <c r="C2664">
        <v>11</v>
      </c>
      <c r="D2664">
        <v>3</v>
      </c>
      <c r="E2664">
        <v>2</v>
      </c>
      <c r="F2664">
        <v>2</v>
      </c>
      <c r="G2664" t="s">
        <v>121</v>
      </c>
      <c r="H2664" t="str">
        <f>IFERROR(ROUND(COUNTIFS(Tasks!$A:$A,$A2664,Tasks!$B:$B,$B2664,Tasks!$C:$C,$G2664,Tasks!$I:$I,"&lt;="&amp;INDEX(Weeks!$D:$D,MATCH($C2664,Weeks!$A:$A,0)),Tasks!$I:$I,"&lt;&gt;")/COUNTIFS(Tasks!$A:$A,$A2664,Tasks!$B:$B,$B2664,Tasks!$C:$C,$G2664)*100,0),"")</f>
        <v/>
      </c>
    </row>
    <row r="2665" spans="1:8" ht="15" hidden="1" customHeight="1">
      <c r="A2665" t="s">
        <v>107</v>
      </c>
      <c r="B2665" t="s">
        <v>110</v>
      </c>
      <c r="C2665">
        <v>12</v>
      </c>
      <c r="D2665">
        <v>3</v>
      </c>
      <c r="E2665">
        <v>3</v>
      </c>
      <c r="F2665">
        <v>2</v>
      </c>
      <c r="G2665" t="s">
        <v>121</v>
      </c>
      <c r="H2665" t="str">
        <f>IFERROR(ROUND(COUNTIFS(Tasks!$A:$A,$A2665,Tasks!$B:$B,$B2665,Tasks!$C:$C,$G2665,Tasks!$I:$I,"&lt;="&amp;INDEX(Weeks!$D:$D,MATCH($C2665,Weeks!$A:$A,0)),Tasks!$I:$I,"&lt;&gt;")/COUNTIFS(Tasks!$A:$A,$A2665,Tasks!$B:$B,$B2665,Tasks!$C:$C,$G2665)*100,0),"")</f>
        <v/>
      </c>
    </row>
    <row r="2666" spans="1:8" ht="15" hidden="1" customHeight="1">
      <c r="A2666" t="s">
        <v>107</v>
      </c>
      <c r="B2666" t="s">
        <v>110</v>
      </c>
      <c r="C2666">
        <v>13</v>
      </c>
      <c r="D2666">
        <v>3</v>
      </c>
      <c r="E2666">
        <v>4</v>
      </c>
      <c r="F2666">
        <v>2</v>
      </c>
      <c r="G2666" t="s">
        <v>121</v>
      </c>
      <c r="H2666" t="str">
        <f>IFERROR(ROUND(COUNTIFS(Tasks!$A:$A,$A2666,Tasks!$B:$B,$B2666,Tasks!$C:$C,$G2666,Tasks!$I:$I,"&lt;="&amp;INDEX(Weeks!$D:$D,MATCH($C2666,Weeks!$A:$A,0)),Tasks!$I:$I,"&lt;&gt;")/COUNTIFS(Tasks!$A:$A,$A2666,Tasks!$B:$B,$B2666,Tasks!$C:$C,$G2666)*100,0),"")</f>
        <v/>
      </c>
    </row>
    <row r="2667" spans="1:8" ht="15" hidden="1" customHeight="1">
      <c r="A2667" t="s">
        <v>107</v>
      </c>
      <c r="B2667" t="s">
        <v>110</v>
      </c>
      <c r="C2667">
        <v>14</v>
      </c>
      <c r="D2667">
        <v>4</v>
      </c>
      <c r="E2667">
        <v>1</v>
      </c>
      <c r="F2667">
        <v>2</v>
      </c>
      <c r="G2667" t="s">
        <v>121</v>
      </c>
      <c r="H2667" t="str">
        <f>IFERROR(ROUND(COUNTIFS(Tasks!$A:$A,$A2667,Tasks!$B:$B,$B2667,Tasks!$C:$C,$G2667,Tasks!$I:$I,"&lt;="&amp;INDEX(Weeks!$D:$D,MATCH($C2667,Weeks!$A:$A,0)),Tasks!$I:$I,"&lt;&gt;")/COUNTIFS(Tasks!$A:$A,$A2667,Tasks!$B:$B,$B2667,Tasks!$C:$C,$G2667)*100,0),"")</f>
        <v/>
      </c>
    </row>
    <row r="2668" spans="1:8" ht="15" hidden="1" customHeight="1">
      <c r="A2668" t="s">
        <v>107</v>
      </c>
      <c r="B2668" t="s">
        <v>110</v>
      </c>
      <c r="C2668">
        <v>15</v>
      </c>
      <c r="D2668">
        <v>4</v>
      </c>
      <c r="E2668">
        <v>2</v>
      </c>
      <c r="F2668">
        <v>2</v>
      </c>
      <c r="G2668" t="s">
        <v>121</v>
      </c>
      <c r="H2668" t="str">
        <f>IFERROR(ROUND(COUNTIFS(Tasks!$A:$A,$A2668,Tasks!$B:$B,$B2668,Tasks!$C:$C,$G2668,Tasks!$I:$I,"&lt;="&amp;INDEX(Weeks!$D:$D,MATCH($C2668,Weeks!$A:$A,0)),Tasks!$I:$I,"&lt;&gt;")/COUNTIFS(Tasks!$A:$A,$A2668,Tasks!$B:$B,$B2668,Tasks!$C:$C,$G2668)*100,0),"")</f>
        <v/>
      </c>
    </row>
    <row r="2669" spans="1:8" ht="15" hidden="1" customHeight="1">
      <c r="A2669" t="s">
        <v>107</v>
      </c>
      <c r="B2669" t="s">
        <v>110</v>
      </c>
      <c r="C2669">
        <v>16</v>
      </c>
      <c r="D2669">
        <v>4</v>
      </c>
      <c r="E2669">
        <v>3</v>
      </c>
      <c r="F2669">
        <v>2</v>
      </c>
      <c r="G2669" t="s">
        <v>121</v>
      </c>
      <c r="H2669" t="str">
        <f>IFERROR(ROUND(COUNTIFS(Tasks!$A:$A,$A2669,Tasks!$B:$B,$B2669,Tasks!$C:$C,$G2669,Tasks!$I:$I,"&lt;="&amp;INDEX(Weeks!$D:$D,MATCH($C2669,Weeks!$A:$A,0)),Tasks!$I:$I,"&lt;&gt;")/COUNTIFS(Tasks!$A:$A,$A2669,Tasks!$B:$B,$B2669,Tasks!$C:$C,$G2669)*100,0),"")</f>
        <v/>
      </c>
    </row>
    <row r="2670" spans="1:8" ht="15" hidden="1" customHeight="1">
      <c r="A2670" t="s">
        <v>107</v>
      </c>
      <c r="B2670" t="s">
        <v>110</v>
      </c>
      <c r="C2670">
        <v>17</v>
      </c>
      <c r="D2670">
        <v>4</v>
      </c>
      <c r="E2670">
        <v>4</v>
      </c>
      <c r="F2670">
        <v>2</v>
      </c>
      <c r="G2670" t="s">
        <v>121</v>
      </c>
      <c r="H2670" t="str">
        <f>IFERROR(ROUND(COUNTIFS(Tasks!$A:$A,$A2670,Tasks!$B:$B,$B2670,Tasks!$C:$C,$G2670,Tasks!$I:$I,"&lt;="&amp;INDEX(Weeks!$D:$D,MATCH($C2670,Weeks!$A:$A,0)),Tasks!$I:$I,"&lt;&gt;")/COUNTIFS(Tasks!$A:$A,$A2670,Tasks!$B:$B,$B2670,Tasks!$C:$C,$G2670)*100,0),"")</f>
        <v/>
      </c>
    </row>
    <row r="2671" spans="1:8" ht="15" hidden="1" customHeight="1">
      <c r="A2671" t="s">
        <v>107</v>
      </c>
      <c r="B2671" t="s">
        <v>110</v>
      </c>
      <c r="C2671">
        <v>18</v>
      </c>
      <c r="D2671">
        <v>5</v>
      </c>
      <c r="E2671">
        <v>1</v>
      </c>
      <c r="F2671">
        <v>2</v>
      </c>
      <c r="G2671" t="s">
        <v>121</v>
      </c>
      <c r="H2671" t="str">
        <f>IFERROR(ROUND(COUNTIFS(Tasks!$A:$A,$A2671,Tasks!$B:$B,$B2671,Tasks!$C:$C,$G2671,Tasks!$I:$I,"&lt;="&amp;INDEX(Weeks!$D:$D,MATCH($C2671,Weeks!$A:$A,0)),Tasks!$I:$I,"&lt;&gt;")/COUNTIFS(Tasks!$A:$A,$A2671,Tasks!$B:$B,$B2671,Tasks!$C:$C,$G2671)*100,0),"")</f>
        <v/>
      </c>
    </row>
    <row r="2672" spans="1:8" ht="15" hidden="1" customHeight="1">
      <c r="A2672" t="s">
        <v>107</v>
      </c>
      <c r="B2672" t="s">
        <v>110</v>
      </c>
      <c r="C2672">
        <v>19</v>
      </c>
      <c r="D2672">
        <v>5</v>
      </c>
      <c r="E2672">
        <v>2</v>
      </c>
      <c r="F2672">
        <v>2</v>
      </c>
      <c r="G2672" t="s">
        <v>121</v>
      </c>
      <c r="H2672" t="str">
        <f>IFERROR(ROUND(COUNTIFS(Tasks!$A:$A,$A2672,Tasks!$B:$B,$B2672,Tasks!$C:$C,$G2672,Tasks!$I:$I,"&lt;="&amp;INDEX(Weeks!$D:$D,MATCH($C2672,Weeks!$A:$A,0)),Tasks!$I:$I,"&lt;&gt;")/COUNTIFS(Tasks!$A:$A,$A2672,Tasks!$B:$B,$B2672,Tasks!$C:$C,$G2672)*100,0),"")</f>
        <v/>
      </c>
    </row>
    <row r="2673" spans="1:8" ht="15" hidden="1" customHeight="1">
      <c r="A2673" t="s">
        <v>107</v>
      </c>
      <c r="B2673" t="s">
        <v>110</v>
      </c>
      <c r="C2673">
        <v>20</v>
      </c>
      <c r="D2673">
        <v>5</v>
      </c>
      <c r="E2673">
        <v>3</v>
      </c>
      <c r="F2673">
        <v>2</v>
      </c>
      <c r="G2673" t="s">
        <v>121</v>
      </c>
      <c r="H2673" t="str">
        <f>IFERROR(ROUND(COUNTIFS(Tasks!$A:$A,$A2673,Tasks!$B:$B,$B2673,Tasks!$C:$C,$G2673,Tasks!$I:$I,"&lt;="&amp;INDEX(Weeks!$D:$D,MATCH($C2673,Weeks!$A:$A,0)),Tasks!$I:$I,"&lt;&gt;")/COUNTIFS(Tasks!$A:$A,$A2673,Tasks!$B:$B,$B2673,Tasks!$C:$C,$G2673)*100,0),"")</f>
        <v/>
      </c>
    </row>
    <row r="2674" spans="1:8" ht="15" hidden="1" customHeight="1">
      <c r="A2674" t="s">
        <v>107</v>
      </c>
      <c r="B2674" t="s">
        <v>110</v>
      </c>
      <c r="C2674">
        <v>21</v>
      </c>
      <c r="D2674">
        <v>5</v>
      </c>
      <c r="E2674">
        <v>4</v>
      </c>
      <c r="F2674">
        <v>2</v>
      </c>
      <c r="G2674" t="s">
        <v>121</v>
      </c>
      <c r="H2674" t="str">
        <f>IFERROR(ROUND(COUNTIFS(Tasks!$A:$A,$A2674,Tasks!$B:$B,$B2674,Tasks!$C:$C,$G2674,Tasks!$I:$I,"&lt;="&amp;INDEX(Weeks!$D:$D,MATCH($C2674,Weeks!$A:$A,0)),Tasks!$I:$I,"&lt;&gt;")/COUNTIFS(Tasks!$A:$A,$A2674,Tasks!$B:$B,$B2674,Tasks!$C:$C,$G2674)*100,0),"")</f>
        <v/>
      </c>
    </row>
    <row r="2675" spans="1:8" ht="15" hidden="1" customHeight="1">
      <c r="A2675" t="s">
        <v>107</v>
      </c>
      <c r="B2675" t="s">
        <v>110</v>
      </c>
      <c r="C2675">
        <v>22</v>
      </c>
      <c r="D2675">
        <v>5</v>
      </c>
      <c r="E2675">
        <v>5</v>
      </c>
      <c r="F2675">
        <v>2</v>
      </c>
      <c r="G2675" t="s">
        <v>121</v>
      </c>
      <c r="H2675" t="str">
        <f>IFERROR(ROUND(COUNTIFS(Tasks!$A:$A,$A2675,Tasks!$B:$B,$B2675,Tasks!$C:$C,$G2675,Tasks!$I:$I,"&lt;="&amp;INDEX(Weeks!$D:$D,MATCH($C2675,Weeks!$A:$A,0)),Tasks!$I:$I,"&lt;&gt;")/COUNTIFS(Tasks!$A:$A,$A2675,Tasks!$B:$B,$B2675,Tasks!$C:$C,$G2675)*100,0),"")</f>
        <v/>
      </c>
    </row>
    <row r="2676" spans="1:8" ht="15" hidden="1" customHeight="1">
      <c r="A2676" t="s">
        <v>107</v>
      </c>
      <c r="B2676" t="s">
        <v>110</v>
      </c>
      <c r="C2676">
        <v>23</v>
      </c>
      <c r="D2676">
        <v>6</v>
      </c>
      <c r="E2676">
        <v>1</v>
      </c>
      <c r="F2676">
        <v>2</v>
      </c>
      <c r="G2676" t="s">
        <v>121</v>
      </c>
      <c r="H2676" t="str">
        <f>IFERROR(ROUND(COUNTIFS(Tasks!$A:$A,$A2676,Tasks!$B:$B,$B2676,Tasks!$C:$C,$G2676,Tasks!$I:$I,"&lt;="&amp;INDEX(Weeks!$D:$D,MATCH($C2676,Weeks!$A:$A,0)),Tasks!$I:$I,"&lt;&gt;")/COUNTIFS(Tasks!$A:$A,$A2676,Tasks!$B:$B,$B2676,Tasks!$C:$C,$G2676)*100,0),"")</f>
        <v/>
      </c>
    </row>
    <row r="2677" spans="1:8" ht="15" hidden="1" customHeight="1">
      <c r="A2677" t="s">
        <v>107</v>
      </c>
      <c r="B2677" t="s">
        <v>110</v>
      </c>
      <c r="C2677">
        <v>24</v>
      </c>
      <c r="D2677">
        <v>6</v>
      </c>
      <c r="E2677">
        <v>2</v>
      </c>
      <c r="F2677">
        <v>2</v>
      </c>
      <c r="G2677" t="s">
        <v>121</v>
      </c>
      <c r="H2677" t="str">
        <f>IFERROR(ROUND(COUNTIFS(Tasks!$A:$A,$A2677,Tasks!$B:$B,$B2677,Tasks!$C:$C,$G2677,Tasks!$I:$I,"&lt;="&amp;INDEX(Weeks!$D:$D,MATCH($C2677,Weeks!$A:$A,0)),Tasks!$I:$I,"&lt;&gt;")/COUNTIFS(Tasks!$A:$A,$A2677,Tasks!$B:$B,$B2677,Tasks!$C:$C,$G2677)*100,0),"")</f>
        <v/>
      </c>
    </row>
    <row r="2678" spans="1:8" ht="15" hidden="1" customHeight="1">
      <c r="A2678" t="s">
        <v>107</v>
      </c>
      <c r="B2678" t="s">
        <v>110</v>
      </c>
      <c r="C2678">
        <v>25</v>
      </c>
      <c r="D2678">
        <v>6</v>
      </c>
      <c r="E2678">
        <v>3</v>
      </c>
      <c r="F2678">
        <v>2</v>
      </c>
      <c r="G2678" t="s">
        <v>121</v>
      </c>
      <c r="H2678" t="str">
        <f>IFERROR(ROUND(COUNTIFS(Tasks!$A:$A,$A2678,Tasks!$B:$B,$B2678,Tasks!$C:$C,$G2678,Tasks!$I:$I,"&lt;="&amp;INDEX(Weeks!$D:$D,MATCH($C2678,Weeks!$A:$A,0)),Tasks!$I:$I,"&lt;&gt;")/COUNTIFS(Tasks!$A:$A,$A2678,Tasks!$B:$B,$B2678,Tasks!$C:$C,$G2678)*100,0),"")</f>
        <v/>
      </c>
    </row>
    <row r="2679" spans="1:8" ht="15" hidden="1" customHeight="1">
      <c r="A2679" t="s">
        <v>107</v>
      </c>
      <c r="B2679" t="s">
        <v>110</v>
      </c>
      <c r="C2679">
        <v>26</v>
      </c>
      <c r="D2679">
        <v>6</v>
      </c>
      <c r="E2679">
        <v>4</v>
      </c>
      <c r="F2679">
        <v>2</v>
      </c>
      <c r="G2679" t="s">
        <v>121</v>
      </c>
      <c r="H2679" t="str">
        <f>IFERROR(ROUND(COUNTIFS(Tasks!$A:$A,$A2679,Tasks!$B:$B,$B2679,Tasks!$C:$C,$G2679,Tasks!$I:$I,"&lt;="&amp;INDEX(Weeks!$D:$D,MATCH($C2679,Weeks!$A:$A,0)),Tasks!$I:$I,"&lt;&gt;")/COUNTIFS(Tasks!$A:$A,$A2679,Tasks!$B:$B,$B2679,Tasks!$C:$C,$G2679)*100,0),"")</f>
        <v/>
      </c>
    </row>
    <row r="2680" spans="1:8" ht="15" hidden="1" customHeight="1">
      <c r="A2680" t="s">
        <v>107</v>
      </c>
      <c r="B2680" t="s">
        <v>110</v>
      </c>
      <c r="C2680">
        <v>27</v>
      </c>
      <c r="D2680">
        <v>7</v>
      </c>
      <c r="E2680">
        <v>1</v>
      </c>
      <c r="F2680">
        <v>2</v>
      </c>
      <c r="G2680" t="s">
        <v>121</v>
      </c>
      <c r="H2680" t="str">
        <f>IFERROR(ROUND(COUNTIFS(Tasks!$A:$A,$A2680,Tasks!$B:$B,$B2680,Tasks!$C:$C,$G2680,Tasks!$I:$I,"&lt;="&amp;INDEX(Weeks!$D:$D,MATCH($C2680,Weeks!$A:$A,0)),Tasks!$I:$I,"&lt;&gt;")/COUNTIFS(Tasks!$A:$A,$A2680,Tasks!$B:$B,$B2680,Tasks!$C:$C,$G2680)*100,0),"")</f>
        <v/>
      </c>
    </row>
    <row r="2681" spans="1:8" ht="15" hidden="1" customHeight="1">
      <c r="A2681" t="s">
        <v>107</v>
      </c>
      <c r="B2681" t="s">
        <v>110</v>
      </c>
      <c r="C2681">
        <v>28</v>
      </c>
      <c r="D2681">
        <v>7</v>
      </c>
      <c r="E2681">
        <v>2</v>
      </c>
      <c r="F2681">
        <v>2</v>
      </c>
      <c r="G2681" t="s">
        <v>121</v>
      </c>
      <c r="H2681" t="str">
        <f>IFERROR(ROUND(COUNTIFS(Tasks!$A:$A,$A2681,Tasks!$B:$B,$B2681,Tasks!$C:$C,$G2681,Tasks!$I:$I,"&lt;="&amp;INDEX(Weeks!$D:$D,MATCH($C2681,Weeks!$A:$A,0)),Tasks!$I:$I,"&lt;&gt;")/COUNTIFS(Tasks!$A:$A,$A2681,Tasks!$B:$B,$B2681,Tasks!$C:$C,$G2681)*100,0),"")</f>
        <v/>
      </c>
    </row>
    <row r="2682" spans="1:8" ht="15" hidden="1" customHeight="1">
      <c r="A2682" t="s">
        <v>107</v>
      </c>
      <c r="B2682" t="s">
        <v>110</v>
      </c>
      <c r="C2682">
        <v>29</v>
      </c>
      <c r="D2682">
        <v>7</v>
      </c>
      <c r="E2682">
        <v>3</v>
      </c>
      <c r="F2682">
        <v>2</v>
      </c>
      <c r="G2682" t="s">
        <v>121</v>
      </c>
      <c r="H2682" t="str">
        <f>IFERROR(ROUND(COUNTIFS(Tasks!$A:$A,$A2682,Tasks!$B:$B,$B2682,Tasks!$C:$C,$G2682,Tasks!$I:$I,"&lt;="&amp;INDEX(Weeks!$D:$D,MATCH($C2682,Weeks!$A:$A,0)),Tasks!$I:$I,"&lt;&gt;")/COUNTIFS(Tasks!$A:$A,$A2682,Tasks!$B:$B,$B2682,Tasks!$C:$C,$G2682)*100,0),"")</f>
        <v/>
      </c>
    </row>
    <row r="2683" spans="1:8" ht="15" hidden="1" customHeight="1">
      <c r="A2683" t="s">
        <v>107</v>
      </c>
      <c r="B2683" t="s">
        <v>110</v>
      </c>
      <c r="C2683">
        <v>30</v>
      </c>
      <c r="D2683">
        <v>7</v>
      </c>
      <c r="E2683">
        <v>4</v>
      </c>
      <c r="F2683">
        <v>2</v>
      </c>
      <c r="G2683" t="s">
        <v>121</v>
      </c>
      <c r="H2683" t="str">
        <f>IFERROR(ROUND(COUNTIFS(Tasks!$A:$A,$A2683,Tasks!$B:$B,$B2683,Tasks!$C:$C,$G2683,Tasks!$I:$I,"&lt;="&amp;INDEX(Weeks!$D:$D,MATCH($C2683,Weeks!$A:$A,0)),Tasks!$I:$I,"&lt;&gt;")/COUNTIFS(Tasks!$A:$A,$A2683,Tasks!$B:$B,$B2683,Tasks!$C:$C,$G2683)*100,0),"")</f>
        <v/>
      </c>
    </row>
    <row r="2684" spans="1:8" ht="15" hidden="1" customHeight="1">
      <c r="A2684" t="s">
        <v>107</v>
      </c>
      <c r="B2684" t="s">
        <v>110</v>
      </c>
      <c r="C2684">
        <v>31</v>
      </c>
      <c r="D2684">
        <v>8</v>
      </c>
      <c r="E2684">
        <v>1</v>
      </c>
      <c r="F2684">
        <v>2</v>
      </c>
      <c r="G2684" t="s">
        <v>121</v>
      </c>
      <c r="H2684" t="str">
        <f>IFERROR(ROUND(COUNTIFS(Tasks!$A:$A,$A2684,Tasks!$B:$B,$B2684,Tasks!$C:$C,$G2684,Tasks!$I:$I,"&lt;="&amp;INDEX(Weeks!$D:$D,MATCH($C2684,Weeks!$A:$A,0)),Tasks!$I:$I,"&lt;&gt;")/COUNTIFS(Tasks!$A:$A,$A2684,Tasks!$B:$B,$B2684,Tasks!$C:$C,$G2684)*100,0),"")</f>
        <v/>
      </c>
    </row>
    <row r="2685" spans="1:8" ht="15" hidden="1" customHeight="1">
      <c r="A2685" t="s">
        <v>107</v>
      </c>
      <c r="B2685" t="s">
        <v>110</v>
      </c>
      <c r="C2685">
        <v>32</v>
      </c>
      <c r="D2685">
        <v>8</v>
      </c>
      <c r="E2685">
        <v>2</v>
      </c>
      <c r="F2685">
        <v>2</v>
      </c>
      <c r="G2685" t="s">
        <v>121</v>
      </c>
      <c r="H2685" t="str">
        <f>IFERROR(ROUND(COUNTIFS(Tasks!$A:$A,$A2685,Tasks!$B:$B,$B2685,Tasks!$C:$C,$G2685,Tasks!$I:$I,"&lt;="&amp;INDEX(Weeks!$D:$D,MATCH($C2685,Weeks!$A:$A,0)),Tasks!$I:$I,"&lt;&gt;")/COUNTIFS(Tasks!$A:$A,$A2685,Tasks!$B:$B,$B2685,Tasks!$C:$C,$G2685)*100,0),"")</f>
        <v/>
      </c>
    </row>
    <row r="2686" spans="1:8" ht="15" hidden="1" customHeight="1">
      <c r="A2686" t="s">
        <v>107</v>
      </c>
      <c r="B2686" t="s">
        <v>110</v>
      </c>
      <c r="C2686">
        <v>33</v>
      </c>
      <c r="D2686">
        <v>8</v>
      </c>
      <c r="E2686">
        <v>3</v>
      </c>
      <c r="F2686">
        <v>2</v>
      </c>
      <c r="G2686" t="s">
        <v>121</v>
      </c>
      <c r="H2686" t="str">
        <f>IFERROR(ROUND(COUNTIFS(Tasks!$A:$A,$A2686,Tasks!$B:$B,$B2686,Tasks!$C:$C,$G2686,Tasks!$I:$I,"&lt;="&amp;INDEX(Weeks!$D:$D,MATCH($C2686,Weeks!$A:$A,0)),Tasks!$I:$I,"&lt;&gt;")/COUNTIFS(Tasks!$A:$A,$A2686,Tasks!$B:$B,$B2686,Tasks!$C:$C,$G2686)*100,0),"")</f>
        <v/>
      </c>
    </row>
    <row r="2687" spans="1:8" ht="15" hidden="1" customHeight="1">
      <c r="A2687" t="s">
        <v>107</v>
      </c>
      <c r="B2687" t="s">
        <v>110</v>
      </c>
      <c r="C2687">
        <v>34</v>
      </c>
      <c r="D2687">
        <v>8</v>
      </c>
      <c r="E2687">
        <v>4</v>
      </c>
      <c r="F2687">
        <v>2</v>
      </c>
      <c r="G2687" t="s">
        <v>121</v>
      </c>
      <c r="H2687" t="str">
        <f>IFERROR(ROUND(COUNTIFS(Tasks!$A:$A,$A2687,Tasks!$B:$B,$B2687,Tasks!$C:$C,$G2687,Tasks!$I:$I,"&lt;="&amp;INDEX(Weeks!$D:$D,MATCH($C2687,Weeks!$A:$A,0)),Tasks!$I:$I,"&lt;&gt;")/COUNTIFS(Tasks!$A:$A,$A2687,Tasks!$B:$B,$B2687,Tasks!$C:$C,$G2687)*100,0),"")</f>
        <v/>
      </c>
    </row>
    <row r="2688" spans="1:8" ht="15" hidden="1" customHeight="1">
      <c r="A2688" t="s">
        <v>107</v>
      </c>
      <c r="B2688" t="s">
        <v>110</v>
      </c>
      <c r="C2688">
        <v>35</v>
      </c>
      <c r="D2688">
        <v>8</v>
      </c>
      <c r="E2688">
        <v>5</v>
      </c>
      <c r="F2688">
        <v>2</v>
      </c>
      <c r="G2688" t="s">
        <v>121</v>
      </c>
      <c r="H2688" t="str">
        <f>IFERROR(ROUND(COUNTIFS(Tasks!$A:$A,$A2688,Tasks!$B:$B,$B2688,Tasks!$C:$C,$G2688,Tasks!$I:$I,"&lt;="&amp;INDEX(Weeks!$D:$D,MATCH($C2688,Weeks!$A:$A,0)),Tasks!$I:$I,"&lt;&gt;")/COUNTIFS(Tasks!$A:$A,$A2688,Tasks!$B:$B,$B2688,Tasks!$C:$C,$G2688)*100,0),"")</f>
        <v/>
      </c>
    </row>
    <row r="2689" spans="1:8" ht="15" hidden="1" customHeight="1">
      <c r="A2689" t="s">
        <v>107</v>
      </c>
      <c r="B2689" t="s">
        <v>110</v>
      </c>
      <c r="C2689">
        <v>36</v>
      </c>
      <c r="D2689">
        <v>9</v>
      </c>
      <c r="E2689">
        <v>1</v>
      </c>
      <c r="F2689">
        <v>2</v>
      </c>
      <c r="G2689" t="s">
        <v>121</v>
      </c>
      <c r="H2689" t="str">
        <f>IFERROR(ROUND(COUNTIFS(Tasks!$A:$A,$A2689,Tasks!$B:$B,$B2689,Tasks!$C:$C,$G2689,Tasks!$I:$I,"&lt;="&amp;INDEX(Weeks!$D:$D,MATCH($C2689,Weeks!$A:$A,0)),Tasks!$I:$I,"&lt;&gt;")/COUNTIFS(Tasks!$A:$A,$A2689,Tasks!$B:$B,$B2689,Tasks!$C:$C,$G2689)*100,0),"")</f>
        <v/>
      </c>
    </row>
    <row r="2690" spans="1:8" ht="15" hidden="1" customHeight="1">
      <c r="A2690" t="s">
        <v>107</v>
      </c>
      <c r="B2690" t="s">
        <v>110</v>
      </c>
      <c r="C2690">
        <v>37</v>
      </c>
      <c r="D2690">
        <v>9</v>
      </c>
      <c r="E2690">
        <v>2</v>
      </c>
      <c r="F2690">
        <v>2</v>
      </c>
      <c r="G2690" t="s">
        <v>121</v>
      </c>
      <c r="H2690" t="str">
        <f>IFERROR(ROUND(COUNTIFS(Tasks!$A:$A,$A2690,Tasks!$B:$B,$B2690,Tasks!$C:$C,$G2690,Tasks!$I:$I,"&lt;="&amp;INDEX(Weeks!$D:$D,MATCH($C2690,Weeks!$A:$A,0)),Tasks!$I:$I,"&lt;&gt;")/COUNTIFS(Tasks!$A:$A,$A2690,Tasks!$B:$B,$B2690,Tasks!$C:$C,$G2690)*100,0),"")</f>
        <v/>
      </c>
    </row>
    <row r="2691" spans="1:8" ht="15" hidden="1" customHeight="1">
      <c r="A2691" t="s">
        <v>107</v>
      </c>
      <c r="B2691" t="s">
        <v>110</v>
      </c>
      <c r="C2691">
        <v>38</v>
      </c>
      <c r="D2691">
        <v>9</v>
      </c>
      <c r="E2691">
        <v>3</v>
      </c>
      <c r="F2691">
        <v>2</v>
      </c>
      <c r="G2691" t="s">
        <v>121</v>
      </c>
      <c r="H2691" t="str">
        <f>IFERROR(ROUND(COUNTIFS(Tasks!$A:$A,$A2691,Tasks!$B:$B,$B2691,Tasks!$C:$C,$G2691,Tasks!$I:$I,"&lt;="&amp;INDEX(Weeks!$D:$D,MATCH($C2691,Weeks!$A:$A,0)),Tasks!$I:$I,"&lt;&gt;")/COUNTIFS(Tasks!$A:$A,$A2691,Tasks!$B:$B,$B2691,Tasks!$C:$C,$G2691)*100,0),"")</f>
        <v/>
      </c>
    </row>
    <row r="2692" spans="1:8" ht="15" hidden="1" customHeight="1">
      <c r="A2692" t="s">
        <v>107</v>
      </c>
      <c r="B2692" t="s">
        <v>110</v>
      </c>
      <c r="C2692">
        <v>39</v>
      </c>
      <c r="D2692">
        <v>9</v>
      </c>
      <c r="E2692">
        <v>4</v>
      </c>
      <c r="F2692">
        <v>2</v>
      </c>
      <c r="G2692" t="s">
        <v>121</v>
      </c>
      <c r="H2692" t="str">
        <f>IFERROR(ROUND(COUNTIFS(Tasks!$A:$A,$A2692,Tasks!$B:$B,$B2692,Tasks!$C:$C,$G2692,Tasks!$I:$I,"&lt;="&amp;INDEX(Weeks!$D:$D,MATCH($C2692,Weeks!$A:$A,0)),Tasks!$I:$I,"&lt;&gt;")/COUNTIFS(Tasks!$A:$A,$A2692,Tasks!$B:$B,$B2692,Tasks!$C:$C,$G2692)*100,0),"")</f>
        <v/>
      </c>
    </row>
    <row r="2693" spans="1:8" ht="15" hidden="1" customHeight="1">
      <c r="A2693" t="s">
        <v>107</v>
      </c>
      <c r="B2693" t="s">
        <v>110</v>
      </c>
      <c r="C2693">
        <v>40</v>
      </c>
      <c r="D2693">
        <v>10</v>
      </c>
      <c r="E2693">
        <v>1</v>
      </c>
      <c r="F2693">
        <v>2</v>
      </c>
      <c r="G2693" t="s">
        <v>121</v>
      </c>
      <c r="H2693" t="str">
        <f>IFERROR(ROUND(COUNTIFS(Tasks!$A:$A,$A2693,Tasks!$B:$B,$B2693,Tasks!$C:$C,$G2693,Tasks!$I:$I,"&lt;="&amp;INDEX(Weeks!$D:$D,MATCH($C2693,Weeks!$A:$A,0)),Tasks!$I:$I,"&lt;&gt;")/COUNTIFS(Tasks!$A:$A,$A2693,Tasks!$B:$B,$B2693,Tasks!$C:$C,$G2693)*100,0),"")</f>
        <v/>
      </c>
    </row>
    <row r="2694" spans="1:8" ht="15" hidden="1" customHeight="1">
      <c r="A2694" t="s">
        <v>107</v>
      </c>
      <c r="B2694" t="s">
        <v>110</v>
      </c>
      <c r="C2694">
        <v>41</v>
      </c>
      <c r="D2694">
        <v>10</v>
      </c>
      <c r="E2694">
        <v>2</v>
      </c>
      <c r="F2694">
        <v>2</v>
      </c>
      <c r="G2694" t="s">
        <v>121</v>
      </c>
      <c r="H2694" t="str">
        <f>IFERROR(ROUND(COUNTIFS(Tasks!$A:$A,$A2694,Tasks!$B:$B,$B2694,Tasks!$C:$C,$G2694,Tasks!$I:$I,"&lt;="&amp;INDEX(Weeks!$D:$D,MATCH($C2694,Weeks!$A:$A,0)),Tasks!$I:$I,"&lt;&gt;")/COUNTIFS(Tasks!$A:$A,$A2694,Tasks!$B:$B,$B2694,Tasks!$C:$C,$G2694)*100,0),"")</f>
        <v/>
      </c>
    </row>
    <row r="2695" spans="1:8" ht="15" hidden="1" customHeight="1">
      <c r="A2695" t="s">
        <v>107</v>
      </c>
      <c r="B2695" t="s">
        <v>110</v>
      </c>
      <c r="C2695">
        <v>42</v>
      </c>
      <c r="D2695">
        <v>10</v>
      </c>
      <c r="E2695">
        <v>3</v>
      </c>
      <c r="F2695">
        <v>2</v>
      </c>
      <c r="G2695" t="s">
        <v>121</v>
      </c>
      <c r="H2695" t="str">
        <f>IFERROR(ROUND(COUNTIFS(Tasks!$A:$A,$A2695,Tasks!$B:$B,$B2695,Tasks!$C:$C,$G2695,Tasks!$I:$I,"&lt;="&amp;INDEX(Weeks!$D:$D,MATCH($C2695,Weeks!$A:$A,0)),Tasks!$I:$I,"&lt;&gt;")/COUNTIFS(Tasks!$A:$A,$A2695,Tasks!$B:$B,$B2695,Tasks!$C:$C,$G2695)*100,0),"")</f>
        <v/>
      </c>
    </row>
    <row r="2696" spans="1:8" ht="15" hidden="1" customHeight="1">
      <c r="A2696" t="s">
        <v>107</v>
      </c>
      <c r="B2696" t="s">
        <v>110</v>
      </c>
      <c r="C2696">
        <v>43</v>
      </c>
      <c r="D2696">
        <v>10</v>
      </c>
      <c r="E2696">
        <v>4</v>
      </c>
      <c r="F2696">
        <v>2</v>
      </c>
      <c r="G2696" t="s">
        <v>121</v>
      </c>
      <c r="H2696" t="str">
        <f>IFERROR(ROUND(COUNTIFS(Tasks!$A:$A,$A2696,Tasks!$B:$B,$B2696,Tasks!$C:$C,$G2696,Tasks!$I:$I,"&lt;="&amp;INDEX(Weeks!$D:$D,MATCH($C2696,Weeks!$A:$A,0)),Tasks!$I:$I,"&lt;&gt;")/COUNTIFS(Tasks!$A:$A,$A2696,Tasks!$B:$B,$B2696,Tasks!$C:$C,$G2696)*100,0),"")</f>
        <v/>
      </c>
    </row>
    <row r="2697" spans="1:8" ht="15" hidden="1" customHeight="1">
      <c r="A2697" t="s">
        <v>107</v>
      </c>
      <c r="B2697" t="s">
        <v>110</v>
      </c>
      <c r="C2697">
        <v>44</v>
      </c>
      <c r="D2697">
        <v>10</v>
      </c>
      <c r="E2697">
        <v>5</v>
      </c>
      <c r="F2697">
        <v>2</v>
      </c>
      <c r="G2697" t="s">
        <v>121</v>
      </c>
      <c r="H2697" t="str">
        <f>IFERROR(ROUND(COUNTIFS(Tasks!$A:$A,$A2697,Tasks!$B:$B,$B2697,Tasks!$C:$C,$G2697,Tasks!$I:$I,"&lt;="&amp;INDEX(Weeks!$D:$D,MATCH($C2697,Weeks!$A:$A,0)),Tasks!$I:$I,"&lt;&gt;")/COUNTIFS(Tasks!$A:$A,$A2697,Tasks!$B:$B,$B2697,Tasks!$C:$C,$G2697)*100,0),"")</f>
        <v/>
      </c>
    </row>
    <row r="2698" spans="1:8" ht="15" hidden="1" customHeight="1">
      <c r="A2698" t="s">
        <v>107</v>
      </c>
      <c r="B2698" t="s">
        <v>110</v>
      </c>
      <c r="C2698">
        <v>45</v>
      </c>
      <c r="D2698">
        <v>11</v>
      </c>
      <c r="E2698">
        <v>1</v>
      </c>
      <c r="F2698">
        <v>2</v>
      </c>
      <c r="G2698" t="s">
        <v>121</v>
      </c>
      <c r="H2698" t="str">
        <f>IFERROR(ROUND(COUNTIFS(Tasks!$A:$A,$A2698,Tasks!$B:$B,$B2698,Tasks!$C:$C,$G2698,Tasks!$I:$I,"&lt;="&amp;INDEX(Weeks!$D:$D,MATCH($C2698,Weeks!$A:$A,0)),Tasks!$I:$I,"&lt;&gt;")/COUNTIFS(Tasks!$A:$A,$A2698,Tasks!$B:$B,$B2698,Tasks!$C:$C,$G2698)*100,0),"")</f>
        <v/>
      </c>
    </row>
    <row r="2699" spans="1:8" ht="15" hidden="1" customHeight="1">
      <c r="A2699" t="s">
        <v>107</v>
      </c>
      <c r="B2699" t="s">
        <v>110</v>
      </c>
      <c r="C2699">
        <v>46</v>
      </c>
      <c r="D2699">
        <v>11</v>
      </c>
      <c r="E2699">
        <v>2</v>
      </c>
      <c r="F2699">
        <v>2</v>
      </c>
      <c r="G2699" t="s">
        <v>121</v>
      </c>
      <c r="H2699" t="str">
        <f>IFERROR(ROUND(COUNTIFS(Tasks!$A:$A,$A2699,Tasks!$B:$B,$B2699,Tasks!$C:$C,$G2699,Tasks!$I:$I,"&lt;="&amp;INDEX(Weeks!$D:$D,MATCH($C2699,Weeks!$A:$A,0)),Tasks!$I:$I,"&lt;&gt;")/COUNTIFS(Tasks!$A:$A,$A2699,Tasks!$B:$B,$B2699,Tasks!$C:$C,$G2699)*100,0),"")</f>
        <v/>
      </c>
    </row>
    <row r="2700" spans="1:8" ht="15" hidden="1" customHeight="1">
      <c r="A2700" t="s">
        <v>107</v>
      </c>
      <c r="B2700" t="s">
        <v>110</v>
      </c>
      <c r="C2700">
        <v>47</v>
      </c>
      <c r="D2700">
        <v>11</v>
      </c>
      <c r="E2700">
        <v>3</v>
      </c>
      <c r="F2700">
        <v>2</v>
      </c>
      <c r="G2700" t="s">
        <v>121</v>
      </c>
      <c r="H2700" t="str">
        <f>IFERROR(ROUND(COUNTIFS(Tasks!$A:$A,$A2700,Tasks!$B:$B,$B2700,Tasks!$C:$C,$G2700,Tasks!$I:$I,"&lt;="&amp;INDEX(Weeks!$D:$D,MATCH($C2700,Weeks!$A:$A,0)),Tasks!$I:$I,"&lt;&gt;")/COUNTIFS(Tasks!$A:$A,$A2700,Tasks!$B:$B,$B2700,Tasks!$C:$C,$G2700)*100,0),"")</f>
        <v/>
      </c>
    </row>
    <row r="2701" spans="1:8" ht="15" hidden="1" customHeight="1">
      <c r="A2701" t="s">
        <v>107</v>
      </c>
      <c r="B2701" t="s">
        <v>110</v>
      </c>
      <c r="C2701">
        <v>48</v>
      </c>
      <c r="D2701">
        <v>11</v>
      </c>
      <c r="E2701">
        <v>4</v>
      </c>
      <c r="F2701">
        <v>2</v>
      </c>
      <c r="G2701" t="s">
        <v>121</v>
      </c>
      <c r="H2701" t="str">
        <f>IFERROR(ROUND(COUNTIFS(Tasks!$A:$A,$A2701,Tasks!$B:$B,$B2701,Tasks!$C:$C,$G2701,Tasks!$I:$I,"&lt;="&amp;INDEX(Weeks!$D:$D,MATCH($C2701,Weeks!$A:$A,0)),Tasks!$I:$I,"&lt;&gt;")/COUNTIFS(Tasks!$A:$A,$A2701,Tasks!$B:$B,$B2701,Tasks!$C:$C,$G2701)*100,0),"")</f>
        <v/>
      </c>
    </row>
    <row r="2702" spans="1:8" ht="15" hidden="1" customHeight="1">
      <c r="A2702" t="s">
        <v>107</v>
      </c>
      <c r="B2702" t="s">
        <v>110</v>
      </c>
      <c r="C2702">
        <v>49</v>
      </c>
      <c r="D2702">
        <v>12</v>
      </c>
      <c r="E2702">
        <v>1</v>
      </c>
      <c r="F2702">
        <v>2</v>
      </c>
      <c r="G2702" t="s">
        <v>121</v>
      </c>
      <c r="H2702" t="str">
        <f>IFERROR(ROUND(COUNTIFS(Tasks!$A:$A,$A2702,Tasks!$B:$B,$B2702,Tasks!$C:$C,$G2702,Tasks!$I:$I,"&lt;="&amp;INDEX(Weeks!$D:$D,MATCH($C2702,Weeks!$A:$A,0)),Tasks!$I:$I,"&lt;&gt;")/COUNTIFS(Tasks!$A:$A,$A2702,Tasks!$B:$B,$B2702,Tasks!$C:$C,$G2702)*100,0),"")</f>
        <v/>
      </c>
    </row>
    <row r="2703" spans="1:8" ht="15" hidden="1" customHeight="1">
      <c r="A2703" t="s">
        <v>107</v>
      </c>
      <c r="B2703" t="s">
        <v>110</v>
      </c>
      <c r="C2703">
        <v>50</v>
      </c>
      <c r="D2703">
        <v>12</v>
      </c>
      <c r="E2703">
        <v>2</v>
      </c>
      <c r="F2703">
        <v>2</v>
      </c>
      <c r="G2703" t="s">
        <v>121</v>
      </c>
      <c r="H2703" t="str">
        <f>IFERROR(ROUND(COUNTIFS(Tasks!$A:$A,$A2703,Tasks!$B:$B,$B2703,Tasks!$C:$C,$G2703,Tasks!$I:$I,"&lt;="&amp;INDEX(Weeks!$D:$D,MATCH($C2703,Weeks!$A:$A,0)),Tasks!$I:$I,"&lt;&gt;")/COUNTIFS(Tasks!$A:$A,$A2703,Tasks!$B:$B,$B2703,Tasks!$C:$C,$G2703)*100,0),"")</f>
        <v/>
      </c>
    </row>
    <row r="2704" spans="1:8" ht="15" hidden="1" customHeight="1">
      <c r="A2704" t="s">
        <v>107</v>
      </c>
      <c r="B2704" t="s">
        <v>110</v>
      </c>
      <c r="C2704">
        <v>51</v>
      </c>
      <c r="D2704">
        <v>12</v>
      </c>
      <c r="E2704">
        <v>3</v>
      </c>
      <c r="F2704">
        <v>2</v>
      </c>
      <c r="G2704" t="s">
        <v>121</v>
      </c>
      <c r="H2704" t="str">
        <f>IFERROR(ROUND(COUNTIFS(Tasks!$A:$A,$A2704,Tasks!$B:$B,$B2704,Tasks!$C:$C,$G2704,Tasks!$I:$I,"&lt;="&amp;INDEX(Weeks!$D:$D,MATCH($C2704,Weeks!$A:$A,0)),Tasks!$I:$I,"&lt;&gt;")/COUNTIFS(Tasks!$A:$A,$A2704,Tasks!$B:$B,$B2704,Tasks!$C:$C,$G2704)*100,0),"")</f>
        <v/>
      </c>
    </row>
    <row r="2705" spans="1:8" ht="15" hidden="1" customHeight="1">
      <c r="A2705" t="s">
        <v>107</v>
      </c>
      <c r="B2705" t="s">
        <v>110</v>
      </c>
      <c r="C2705">
        <v>52</v>
      </c>
      <c r="D2705">
        <v>12</v>
      </c>
      <c r="E2705">
        <v>4</v>
      </c>
      <c r="F2705">
        <v>2</v>
      </c>
      <c r="G2705" t="s">
        <v>121</v>
      </c>
      <c r="H2705" t="str">
        <f>IFERROR(ROUND(COUNTIFS(Tasks!$A:$A,$A2705,Tasks!$B:$B,$B2705,Tasks!$C:$C,$G2705,Tasks!$I:$I,"&lt;="&amp;INDEX(Weeks!$D:$D,MATCH($C2705,Weeks!$A:$A,0)),Tasks!$I:$I,"&lt;&gt;")/COUNTIFS(Tasks!$A:$A,$A2705,Tasks!$B:$B,$B2705,Tasks!$C:$C,$G2705)*100,0),"")</f>
        <v/>
      </c>
    </row>
    <row r="2706" spans="1:8" ht="15" hidden="1" customHeight="1">
      <c r="A2706" t="s">
        <v>107</v>
      </c>
      <c r="B2706" t="s">
        <v>110</v>
      </c>
      <c r="C2706">
        <v>1</v>
      </c>
      <c r="D2706">
        <v>1</v>
      </c>
      <c r="E2706">
        <v>1</v>
      </c>
      <c r="F2706">
        <v>3</v>
      </c>
      <c r="G2706" t="s">
        <v>122</v>
      </c>
      <c r="H2706" t="str">
        <f>IFERROR(ROUND(COUNTIFS(Tasks!$A:$A,$A2706,Tasks!$B:$B,$B2706,Tasks!$C:$C,$G2706,Tasks!$I:$I,"&lt;="&amp;INDEX(Weeks!$D:$D,MATCH($C2706,Weeks!$A:$A,0)),Tasks!$I:$I,"&lt;&gt;")/COUNTIFS(Tasks!$A:$A,$A2706,Tasks!$B:$B,$B2706,Tasks!$C:$C,$G2706)*100,0),"")</f>
        <v/>
      </c>
    </row>
    <row r="2707" spans="1:8" ht="15" hidden="1" customHeight="1">
      <c r="A2707" t="s">
        <v>107</v>
      </c>
      <c r="B2707" t="s">
        <v>110</v>
      </c>
      <c r="C2707">
        <v>2</v>
      </c>
      <c r="D2707">
        <v>1</v>
      </c>
      <c r="E2707">
        <v>2</v>
      </c>
      <c r="F2707">
        <v>3</v>
      </c>
      <c r="G2707" t="s">
        <v>122</v>
      </c>
      <c r="H2707" t="str">
        <f>IFERROR(ROUND(COUNTIFS(Tasks!$A:$A,$A2707,Tasks!$B:$B,$B2707,Tasks!$C:$C,$G2707,Tasks!$I:$I,"&lt;="&amp;INDEX(Weeks!$D:$D,MATCH($C2707,Weeks!$A:$A,0)),Tasks!$I:$I,"&lt;&gt;")/COUNTIFS(Tasks!$A:$A,$A2707,Tasks!$B:$B,$B2707,Tasks!$C:$C,$G2707)*100,0),"")</f>
        <v/>
      </c>
    </row>
    <row r="2708" spans="1:8" ht="15" hidden="1" customHeight="1">
      <c r="A2708" t="s">
        <v>107</v>
      </c>
      <c r="B2708" t="s">
        <v>110</v>
      </c>
      <c r="C2708">
        <v>3</v>
      </c>
      <c r="D2708">
        <v>1</v>
      </c>
      <c r="E2708">
        <v>3</v>
      </c>
      <c r="F2708">
        <v>3</v>
      </c>
      <c r="G2708" t="s">
        <v>122</v>
      </c>
      <c r="H2708" t="str">
        <f>IFERROR(ROUND(COUNTIFS(Tasks!$A:$A,$A2708,Tasks!$B:$B,$B2708,Tasks!$C:$C,$G2708,Tasks!$I:$I,"&lt;="&amp;INDEX(Weeks!$D:$D,MATCH($C2708,Weeks!$A:$A,0)),Tasks!$I:$I,"&lt;&gt;")/COUNTIFS(Tasks!$A:$A,$A2708,Tasks!$B:$B,$B2708,Tasks!$C:$C,$G2708)*100,0),"")</f>
        <v/>
      </c>
    </row>
    <row r="2709" spans="1:8" ht="15" hidden="1" customHeight="1">
      <c r="A2709" t="s">
        <v>107</v>
      </c>
      <c r="B2709" t="s">
        <v>110</v>
      </c>
      <c r="C2709">
        <v>4</v>
      </c>
      <c r="D2709">
        <v>1</v>
      </c>
      <c r="E2709">
        <v>4</v>
      </c>
      <c r="F2709">
        <v>3</v>
      </c>
      <c r="G2709" t="s">
        <v>122</v>
      </c>
      <c r="H2709" t="str">
        <f>IFERROR(ROUND(COUNTIFS(Tasks!$A:$A,$A2709,Tasks!$B:$B,$B2709,Tasks!$C:$C,$G2709,Tasks!$I:$I,"&lt;="&amp;INDEX(Weeks!$D:$D,MATCH($C2709,Weeks!$A:$A,0)),Tasks!$I:$I,"&lt;&gt;")/COUNTIFS(Tasks!$A:$A,$A2709,Tasks!$B:$B,$B2709,Tasks!$C:$C,$G2709)*100,0),"")</f>
        <v/>
      </c>
    </row>
    <row r="2710" spans="1:8" ht="15" hidden="1" customHeight="1">
      <c r="A2710" t="s">
        <v>107</v>
      </c>
      <c r="B2710" t="s">
        <v>110</v>
      </c>
      <c r="C2710">
        <v>5</v>
      </c>
      <c r="D2710">
        <v>1</v>
      </c>
      <c r="E2710">
        <v>5</v>
      </c>
      <c r="F2710">
        <v>3</v>
      </c>
      <c r="G2710" t="s">
        <v>122</v>
      </c>
      <c r="H2710" t="str">
        <f>IFERROR(ROUND(COUNTIFS(Tasks!$A:$A,$A2710,Tasks!$B:$B,$B2710,Tasks!$C:$C,$G2710,Tasks!$I:$I,"&lt;="&amp;INDEX(Weeks!$D:$D,MATCH($C2710,Weeks!$A:$A,0)),Tasks!$I:$I,"&lt;&gt;")/COUNTIFS(Tasks!$A:$A,$A2710,Tasks!$B:$B,$B2710,Tasks!$C:$C,$G2710)*100,0),"")</f>
        <v/>
      </c>
    </row>
    <row r="2711" spans="1:8" ht="15" hidden="1" customHeight="1">
      <c r="A2711" t="s">
        <v>107</v>
      </c>
      <c r="B2711" t="s">
        <v>110</v>
      </c>
      <c r="C2711">
        <v>6</v>
      </c>
      <c r="D2711">
        <v>2</v>
      </c>
      <c r="E2711">
        <v>1</v>
      </c>
      <c r="F2711">
        <v>3</v>
      </c>
      <c r="G2711" t="s">
        <v>122</v>
      </c>
      <c r="H2711" t="str">
        <f>IFERROR(ROUND(COUNTIFS(Tasks!$A:$A,$A2711,Tasks!$B:$B,$B2711,Tasks!$C:$C,$G2711,Tasks!$I:$I,"&lt;="&amp;INDEX(Weeks!$D:$D,MATCH($C2711,Weeks!$A:$A,0)),Tasks!$I:$I,"&lt;&gt;")/COUNTIFS(Tasks!$A:$A,$A2711,Tasks!$B:$B,$B2711,Tasks!$C:$C,$G2711)*100,0),"")</f>
        <v/>
      </c>
    </row>
    <row r="2712" spans="1:8" ht="15" hidden="1" customHeight="1">
      <c r="A2712" t="s">
        <v>107</v>
      </c>
      <c r="B2712" t="s">
        <v>110</v>
      </c>
      <c r="C2712">
        <v>7</v>
      </c>
      <c r="D2712">
        <v>2</v>
      </c>
      <c r="E2712">
        <v>2</v>
      </c>
      <c r="F2712">
        <v>3</v>
      </c>
      <c r="G2712" t="s">
        <v>122</v>
      </c>
      <c r="H2712" t="str">
        <f>IFERROR(ROUND(COUNTIFS(Tasks!$A:$A,$A2712,Tasks!$B:$B,$B2712,Tasks!$C:$C,$G2712,Tasks!$I:$I,"&lt;="&amp;INDEX(Weeks!$D:$D,MATCH($C2712,Weeks!$A:$A,0)),Tasks!$I:$I,"&lt;&gt;")/COUNTIFS(Tasks!$A:$A,$A2712,Tasks!$B:$B,$B2712,Tasks!$C:$C,$G2712)*100,0),"")</f>
        <v/>
      </c>
    </row>
    <row r="2713" spans="1:8" ht="15" hidden="1" customHeight="1">
      <c r="A2713" t="s">
        <v>107</v>
      </c>
      <c r="B2713" t="s">
        <v>110</v>
      </c>
      <c r="C2713">
        <v>8</v>
      </c>
      <c r="D2713">
        <v>2</v>
      </c>
      <c r="E2713">
        <v>3</v>
      </c>
      <c r="F2713">
        <v>3</v>
      </c>
      <c r="G2713" t="s">
        <v>122</v>
      </c>
      <c r="H2713" t="str">
        <f>IFERROR(ROUND(COUNTIFS(Tasks!$A:$A,$A2713,Tasks!$B:$B,$B2713,Tasks!$C:$C,$G2713,Tasks!$I:$I,"&lt;="&amp;INDEX(Weeks!$D:$D,MATCH($C2713,Weeks!$A:$A,0)),Tasks!$I:$I,"&lt;&gt;")/COUNTIFS(Tasks!$A:$A,$A2713,Tasks!$B:$B,$B2713,Tasks!$C:$C,$G2713)*100,0),"")</f>
        <v/>
      </c>
    </row>
    <row r="2714" spans="1:8" ht="15" hidden="1" customHeight="1">
      <c r="A2714" t="s">
        <v>107</v>
      </c>
      <c r="B2714" t="s">
        <v>110</v>
      </c>
      <c r="C2714">
        <v>9</v>
      </c>
      <c r="D2714">
        <v>2</v>
      </c>
      <c r="E2714">
        <v>4</v>
      </c>
      <c r="F2714">
        <v>3</v>
      </c>
      <c r="G2714" t="s">
        <v>122</v>
      </c>
      <c r="H2714" t="str">
        <f>IFERROR(ROUND(COUNTIFS(Tasks!$A:$A,$A2714,Tasks!$B:$B,$B2714,Tasks!$C:$C,$G2714,Tasks!$I:$I,"&lt;="&amp;INDEX(Weeks!$D:$D,MATCH($C2714,Weeks!$A:$A,0)),Tasks!$I:$I,"&lt;&gt;")/COUNTIFS(Tasks!$A:$A,$A2714,Tasks!$B:$B,$B2714,Tasks!$C:$C,$G2714)*100,0),"")</f>
        <v/>
      </c>
    </row>
    <row r="2715" spans="1:8" ht="15" hidden="1" customHeight="1">
      <c r="A2715" t="s">
        <v>107</v>
      </c>
      <c r="B2715" t="s">
        <v>110</v>
      </c>
      <c r="C2715">
        <v>10</v>
      </c>
      <c r="D2715">
        <v>3</v>
      </c>
      <c r="E2715">
        <v>1</v>
      </c>
      <c r="F2715">
        <v>3</v>
      </c>
      <c r="G2715" t="s">
        <v>122</v>
      </c>
      <c r="H2715" t="str">
        <f>IFERROR(ROUND(COUNTIFS(Tasks!$A:$A,$A2715,Tasks!$B:$B,$B2715,Tasks!$C:$C,$G2715,Tasks!$I:$I,"&lt;="&amp;INDEX(Weeks!$D:$D,MATCH($C2715,Weeks!$A:$A,0)),Tasks!$I:$I,"&lt;&gt;")/COUNTIFS(Tasks!$A:$A,$A2715,Tasks!$B:$B,$B2715,Tasks!$C:$C,$G2715)*100,0),"")</f>
        <v/>
      </c>
    </row>
    <row r="2716" spans="1:8" ht="15" hidden="1" customHeight="1">
      <c r="A2716" t="s">
        <v>107</v>
      </c>
      <c r="B2716" t="s">
        <v>110</v>
      </c>
      <c r="C2716">
        <v>11</v>
      </c>
      <c r="D2716">
        <v>3</v>
      </c>
      <c r="E2716">
        <v>2</v>
      </c>
      <c r="F2716">
        <v>3</v>
      </c>
      <c r="G2716" t="s">
        <v>122</v>
      </c>
      <c r="H2716" t="str">
        <f>IFERROR(ROUND(COUNTIFS(Tasks!$A:$A,$A2716,Tasks!$B:$B,$B2716,Tasks!$C:$C,$G2716,Tasks!$I:$I,"&lt;="&amp;INDEX(Weeks!$D:$D,MATCH($C2716,Weeks!$A:$A,0)),Tasks!$I:$I,"&lt;&gt;")/COUNTIFS(Tasks!$A:$A,$A2716,Tasks!$B:$B,$B2716,Tasks!$C:$C,$G2716)*100,0),"")</f>
        <v/>
      </c>
    </row>
    <row r="2717" spans="1:8" ht="15" hidden="1" customHeight="1">
      <c r="A2717" t="s">
        <v>107</v>
      </c>
      <c r="B2717" t="s">
        <v>110</v>
      </c>
      <c r="C2717">
        <v>12</v>
      </c>
      <c r="D2717">
        <v>3</v>
      </c>
      <c r="E2717">
        <v>3</v>
      </c>
      <c r="F2717">
        <v>3</v>
      </c>
      <c r="G2717" t="s">
        <v>122</v>
      </c>
      <c r="H2717" t="str">
        <f>IFERROR(ROUND(COUNTIFS(Tasks!$A:$A,$A2717,Tasks!$B:$B,$B2717,Tasks!$C:$C,$G2717,Tasks!$I:$I,"&lt;="&amp;INDEX(Weeks!$D:$D,MATCH($C2717,Weeks!$A:$A,0)),Tasks!$I:$I,"&lt;&gt;")/COUNTIFS(Tasks!$A:$A,$A2717,Tasks!$B:$B,$B2717,Tasks!$C:$C,$G2717)*100,0),"")</f>
        <v/>
      </c>
    </row>
    <row r="2718" spans="1:8" ht="15" hidden="1" customHeight="1">
      <c r="A2718" t="s">
        <v>107</v>
      </c>
      <c r="B2718" t="s">
        <v>110</v>
      </c>
      <c r="C2718">
        <v>13</v>
      </c>
      <c r="D2718">
        <v>3</v>
      </c>
      <c r="E2718">
        <v>4</v>
      </c>
      <c r="F2718">
        <v>3</v>
      </c>
      <c r="G2718" t="s">
        <v>122</v>
      </c>
      <c r="H2718" t="str">
        <f>IFERROR(ROUND(COUNTIFS(Tasks!$A:$A,$A2718,Tasks!$B:$B,$B2718,Tasks!$C:$C,$G2718,Tasks!$I:$I,"&lt;="&amp;INDEX(Weeks!$D:$D,MATCH($C2718,Weeks!$A:$A,0)),Tasks!$I:$I,"&lt;&gt;")/COUNTIFS(Tasks!$A:$A,$A2718,Tasks!$B:$B,$B2718,Tasks!$C:$C,$G2718)*100,0),"")</f>
        <v/>
      </c>
    </row>
    <row r="2719" spans="1:8" ht="15" hidden="1" customHeight="1">
      <c r="A2719" t="s">
        <v>107</v>
      </c>
      <c r="B2719" t="s">
        <v>110</v>
      </c>
      <c r="C2719">
        <v>14</v>
      </c>
      <c r="D2719">
        <v>4</v>
      </c>
      <c r="E2719">
        <v>1</v>
      </c>
      <c r="F2719">
        <v>3</v>
      </c>
      <c r="G2719" t="s">
        <v>122</v>
      </c>
      <c r="H2719" t="str">
        <f>IFERROR(ROUND(COUNTIFS(Tasks!$A:$A,$A2719,Tasks!$B:$B,$B2719,Tasks!$C:$C,$G2719,Tasks!$I:$I,"&lt;="&amp;INDEX(Weeks!$D:$D,MATCH($C2719,Weeks!$A:$A,0)),Tasks!$I:$I,"&lt;&gt;")/COUNTIFS(Tasks!$A:$A,$A2719,Tasks!$B:$B,$B2719,Tasks!$C:$C,$G2719)*100,0),"")</f>
        <v/>
      </c>
    </row>
    <row r="2720" spans="1:8" ht="15" hidden="1" customHeight="1">
      <c r="A2720" t="s">
        <v>107</v>
      </c>
      <c r="B2720" t="s">
        <v>110</v>
      </c>
      <c r="C2720">
        <v>15</v>
      </c>
      <c r="D2720">
        <v>4</v>
      </c>
      <c r="E2720">
        <v>2</v>
      </c>
      <c r="F2720">
        <v>3</v>
      </c>
      <c r="G2720" t="s">
        <v>122</v>
      </c>
      <c r="H2720" t="str">
        <f>IFERROR(ROUND(COUNTIFS(Tasks!$A:$A,$A2720,Tasks!$B:$B,$B2720,Tasks!$C:$C,$G2720,Tasks!$I:$I,"&lt;="&amp;INDEX(Weeks!$D:$D,MATCH($C2720,Weeks!$A:$A,0)),Tasks!$I:$I,"&lt;&gt;")/COUNTIFS(Tasks!$A:$A,$A2720,Tasks!$B:$B,$B2720,Tasks!$C:$C,$G2720)*100,0),"")</f>
        <v/>
      </c>
    </row>
    <row r="2721" spans="1:8" ht="15" hidden="1" customHeight="1">
      <c r="A2721" t="s">
        <v>107</v>
      </c>
      <c r="B2721" t="s">
        <v>110</v>
      </c>
      <c r="C2721">
        <v>16</v>
      </c>
      <c r="D2721">
        <v>4</v>
      </c>
      <c r="E2721">
        <v>3</v>
      </c>
      <c r="F2721">
        <v>3</v>
      </c>
      <c r="G2721" t="s">
        <v>122</v>
      </c>
      <c r="H2721" t="str">
        <f>IFERROR(ROUND(COUNTIFS(Tasks!$A:$A,$A2721,Tasks!$B:$B,$B2721,Tasks!$C:$C,$G2721,Tasks!$I:$I,"&lt;="&amp;INDEX(Weeks!$D:$D,MATCH($C2721,Weeks!$A:$A,0)),Tasks!$I:$I,"&lt;&gt;")/COUNTIFS(Tasks!$A:$A,$A2721,Tasks!$B:$B,$B2721,Tasks!$C:$C,$G2721)*100,0),"")</f>
        <v/>
      </c>
    </row>
    <row r="2722" spans="1:8" ht="15" hidden="1" customHeight="1">
      <c r="A2722" t="s">
        <v>107</v>
      </c>
      <c r="B2722" t="s">
        <v>110</v>
      </c>
      <c r="C2722">
        <v>17</v>
      </c>
      <c r="D2722">
        <v>4</v>
      </c>
      <c r="E2722">
        <v>4</v>
      </c>
      <c r="F2722">
        <v>3</v>
      </c>
      <c r="G2722" t="s">
        <v>122</v>
      </c>
      <c r="H2722" t="str">
        <f>IFERROR(ROUND(COUNTIFS(Tasks!$A:$A,$A2722,Tasks!$B:$B,$B2722,Tasks!$C:$C,$G2722,Tasks!$I:$I,"&lt;="&amp;INDEX(Weeks!$D:$D,MATCH($C2722,Weeks!$A:$A,0)),Tasks!$I:$I,"&lt;&gt;")/COUNTIFS(Tasks!$A:$A,$A2722,Tasks!$B:$B,$B2722,Tasks!$C:$C,$G2722)*100,0),"")</f>
        <v/>
      </c>
    </row>
    <row r="2723" spans="1:8" ht="15" hidden="1" customHeight="1">
      <c r="A2723" t="s">
        <v>107</v>
      </c>
      <c r="B2723" t="s">
        <v>110</v>
      </c>
      <c r="C2723">
        <v>18</v>
      </c>
      <c r="D2723">
        <v>5</v>
      </c>
      <c r="E2723">
        <v>1</v>
      </c>
      <c r="F2723">
        <v>3</v>
      </c>
      <c r="G2723" t="s">
        <v>122</v>
      </c>
      <c r="H2723" t="str">
        <f>IFERROR(ROUND(COUNTIFS(Tasks!$A:$A,$A2723,Tasks!$B:$B,$B2723,Tasks!$C:$C,$G2723,Tasks!$I:$I,"&lt;="&amp;INDEX(Weeks!$D:$D,MATCH($C2723,Weeks!$A:$A,0)),Tasks!$I:$I,"&lt;&gt;")/COUNTIFS(Tasks!$A:$A,$A2723,Tasks!$B:$B,$B2723,Tasks!$C:$C,$G2723)*100,0),"")</f>
        <v/>
      </c>
    </row>
    <row r="2724" spans="1:8" ht="15" hidden="1" customHeight="1">
      <c r="A2724" t="s">
        <v>107</v>
      </c>
      <c r="B2724" t="s">
        <v>110</v>
      </c>
      <c r="C2724">
        <v>19</v>
      </c>
      <c r="D2724">
        <v>5</v>
      </c>
      <c r="E2724">
        <v>2</v>
      </c>
      <c r="F2724">
        <v>3</v>
      </c>
      <c r="G2724" t="s">
        <v>122</v>
      </c>
      <c r="H2724" t="str">
        <f>IFERROR(ROUND(COUNTIFS(Tasks!$A:$A,$A2724,Tasks!$B:$B,$B2724,Tasks!$C:$C,$G2724,Tasks!$I:$I,"&lt;="&amp;INDEX(Weeks!$D:$D,MATCH($C2724,Weeks!$A:$A,0)),Tasks!$I:$I,"&lt;&gt;")/COUNTIFS(Tasks!$A:$A,$A2724,Tasks!$B:$B,$B2724,Tasks!$C:$C,$G2724)*100,0),"")</f>
        <v/>
      </c>
    </row>
    <row r="2725" spans="1:8" ht="15" hidden="1" customHeight="1">
      <c r="A2725" t="s">
        <v>107</v>
      </c>
      <c r="B2725" t="s">
        <v>110</v>
      </c>
      <c r="C2725">
        <v>20</v>
      </c>
      <c r="D2725">
        <v>5</v>
      </c>
      <c r="E2725">
        <v>3</v>
      </c>
      <c r="F2725">
        <v>3</v>
      </c>
      <c r="G2725" t="s">
        <v>122</v>
      </c>
      <c r="H2725" t="str">
        <f>IFERROR(ROUND(COUNTIFS(Tasks!$A:$A,$A2725,Tasks!$B:$B,$B2725,Tasks!$C:$C,$G2725,Tasks!$I:$I,"&lt;="&amp;INDEX(Weeks!$D:$D,MATCH($C2725,Weeks!$A:$A,0)),Tasks!$I:$I,"&lt;&gt;")/COUNTIFS(Tasks!$A:$A,$A2725,Tasks!$B:$B,$B2725,Tasks!$C:$C,$G2725)*100,0),"")</f>
        <v/>
      </c>
    </row>
    <row r="2726" spans="1:8" ht="15" hidden="1" customHeight="1">
      <c r="A2726" t="s">
        <v>107</v>
      </c>
      <c r="B2726" t="s">
        <v>110</v>
      </c>
      <c r="C2726">
        <v>21</v>
      </c>
      <c r="D2726">
        <v>5</v>
      </c>
      <c r="E2726">
        <v>4</v>
      </c>
      <c r="F2726">
        <v>3</v>
      </c>
      <c r="G2726" t="s">
        <v>122</v>
      </c>
      <c r="H2726" t="str">
        <f>IFERROR(ROUND(COUNTIFS(Tasks!$A:$A,$A2726,Tasks!$B:$B,$B2726,Tasks!$C:$C,$G2726,Tasks!$I:$I,"&lt;="&amp;INDEX(Weeks!$D:$D,MATCH($C2726,Weeks!$A:$A,0)),Tasks!$I:$I,"&lt;&gt;")/COUNTIFS(Tasks!$A:$A,$A2726,Tasks!$B:$B,$B2726,Tasks!$C:$C,$G2726)*100,0),"")</f>
        <v/>
      </c>
    </row>
    <row r="2727" spans="1:8" ht="15" hidden="1" customHeight="1">
      <c r="A2727" t="s">
        <v>107</v>
      </c>
      <c r="B2727" t="s">
        <v>110</v>
      </c>
      <c r="C2727">
        <v>22</v>
      </c>
      <c r="D2727">
        <v>5</v>
      </c>
      <c r="E2727">
        <v>5</v>
      </c>
      <c r="F2727">
        <v>3</v>
      </c>
      <c r="G2727" t="s">
        <v>122</v>
      </c>
      <c r="H2727" t="str">
        <f>IFERROR(ROUND(COUNTIFS(Tasks!$A:$A,$A2727,Tasks!$B:$B,$B2727,Tasks!$C:$C,$G2727,Tasks!$I:$I,"&lt;="&amp;INDEX(Weeks!$D:$D,MATCH($C2727,Weeks!$A:$A,0)),Tasks!$I:$I,"&lt;&gt;")/COUNTIFS(Tasks!$A:$A,$A2727,Tasks!$B:$B,$B2727,Tasks!$C:$C,$G2727)*100,0),"")</f>
        <v/>
      </c>
    </row>
    <row r="2728" spans="1:8" ht="15" hidden="1" customHeight="1">
      <c r="A2728" t="s">
        <v>107</v>
      </c>
      <c r="B2728" t="s">
        <v>110</v>
      </c>
      <c r="C2728">
        <v>23</v>
      </c>
      <c r="D2728">
        <v>6</v>
      </c>
      <c r="E2728">
        <v>1</v>
      </c>
      <c r="F2728">
        <v>3</v>
      </c>
      <c r="G2728" t="s">
        <v>122</v>
      </c>
      <c r="H2728" t="str">
        <f>IFERROR(ROUND(COUNTIFS(Tasks!$A:$A,$A2728,Tasks!$B:$B,$B2728,Tasks!$C:$C,$G2728,Tasks!$I:$I,"&lt;="&amp;INDEX(Weeks!$D:$D,MATCH($C2728,Weeks!$A:$A,0)),Tasks!$I:$I,"&lt;&gt;")/COUNTIFS(Tasks!$A:$A,$A2728,Tasks!$B:$B,$B2728,Tasks!$C:$C,$G2728)*100,0),"")</f>
        <v/>
      </c>
    </row>
    <row r="2729" spans="1:8" ht="15" hidden="1" customHeight="1">
      <c r="A2729" t="s">
        <v>107</v>
      </c>
      <c r="B2729" t="s">
        <v>110</v>
      </c>
      <c r="C2729">
        <v>24</v>
      </c>
      <c r="D2729">
        <v>6</v>
      </c>
      <c r="E2729">
        <v>2</v>
      </c>
      <c r="F2729">
        <v>3</v>
      </c>
      <c r="G2729" t="s">
        <v>122</v>
      </c>
      <c r="H2729" t="str">
        <f>IFERROR(ROUND(COUNTIFS(Tasks!$A:$A,$A2729,Tasks!$B:$B,$B2729,Tasks!$C:$C,$G2729,Tasks!$I:$I,"&lt;="&amp;INDEX(Weeks!$D:$D,MATCH($C2729,Weeks!$A:$A,0)),Tasks!$I:$I,"&lt;&gt;")/COUNTIFS(Tasks!$A:$A,$A2729,Tasks!$B:$B,$B2729,Tasks!$C:$C,$G2729)*100,0),"")</f>
        <v/>
      </c>
    </row>
    <row r="2730" spans="1:8" ht="15" hidden="1" customHeight="1">
      <c r="A2730" t="s">
        <v>107</v>
      </c>
      <c r="B2730" t="s">
        <v>110</v>
      </c>
      <c r="C2730">
        <v>25</v>
      </c>
      <c r="D2730">
        <v>6</v>
      </c>
      <c r="E2730">
        <v>3</v>
      </c>
      <c r="F2730">
        <v>3</v>
      </c>
      <c r="G2730" t="s">
        <v>122</v>
      </c>
      <c r="H2730" t="str">
        <f>IFERROR(ROUND(COUNTIFS(Tasks!$A:$A,$A2730,Tasks!$B:$B,$B2730,Tasks!$C:$C,$G2730,Tasks!$I:$I,"&lt;="&amp;INDEX(Weeks!$D:$D,MATCH($C2730,Weeks!$A:$A,0)),Tasks!$I:$I,"&lt;&gt;")/COUNTIFS(Tasks!$A:$A,$A2730,Tasks!$B:$B,$B2730,Tasks!$C:$C,$G2730)*100,0),"")</f>
        <v/>
      </c>
    </row>
    <row r="2731" spans="1:8" ht="15" hidden="1" customHeight="1">
      <c r="A2731" t="s">
        <v>107</v>
      </c>
      <c r="B2731" t="s">
        <v>110</v>
      </c>
      <c r="C2731">
        <v>26</v>
      </c>
      <c r="D2731">
        <v>6</v>
      </c>
      <c r="E2731">
        <v>4</v>
      </c>
      <c r="F2731">
        <v>3</v>
      </c>
      <c r="G2731" t="s">
        <v>122</v>
      </c>
      <c r="H2731" t="str">
        <f>IFERROR(ROUND(COUNTIFS(Tasks!$A:$A,$A2731,Tasks!$B:$B,$B2731,Tasks!$C:$C,$G2731,Tasks!$I:$I,"&lt;="&amp;INDEX(Weeks!$D:$D,MATCH($C2731,Weeks!$A:$A,0)),Tasks!$I:$I,"&lt;&gt;")/COUNTIFS(Tasks!$A:$A,$A2731,Tasks!$B:$B,$B2731,Tasks!$C:$C,$G2731)*100,0),"")</f>
        <v/>
      </c>
    </row>
    <row r="2732" spans="1:8" ht="15" hidden="1" customHeight="1">
      <c r="A2732" t="s">
        <v>107</v>
      </c>
      <c r="B2732" t="s">
        <v>110</v>
      </c>
      <c r="C2732">
        <v>27</v>
      </c>
      <c r="D2732">
        <v>7</v>
      </c>
      <c r="E2732">
        <v>1</v>
      </c>
      <c r="F2732">
        <v>3</v>
      </c>
      <c r="G2732" t="s">
        <v>122</v>
      </c>
      <c r="H2732" t="str">
        <f>IFERROR(ROUND(COUNTIFS(Tasks!$A:$A,$A2732,Tasks!$B:$B,$B2732,Tasks!$C:$C,$G2732,Tasks!$I:$I,"&lt;="&amp;INDEX(Weeks!$D:$D,MATCH($C2732,Weeks!$A:$A,0)),Tasks!$I:$I,"&lt;&gt;")/COUNTIFS(Tasks!$A:$A,$A2732,Tasks!$B:$B,$B2732,Tasks!$C:$C,$G2732)*100,0),"")</f>
        <v/>
      </c>
    </row>
    <row r="2733" spans="1:8" ht="15" hidden="1" customHeight="1">
      <c r="A2733" t="s">
        <v>107</v>
      </c>
      <c r="B2733" t="s">
        <v>110</v>
      </c>
      <c r="C2733">
        <v>28</v>
      </c>
      <c r="D2733">
        <v>7</v>
      </c>
      <c r="E2733">
        <v>2</v>
      </c>
      <c r="F2733">
        <v>3</v>
      </c>
      <c r="G2733" t="s">
        <v>122</v>
      </c>
      <c r="H2733" t="str">
        <f>IFERROR(ROUND(COUNTIFS(Tasks!$A:$A,$A2733,Tasks!$B:$B,$B2733,Tasks!$C:$C,$G2733,Tasks!$I:$I,"&lt;="&amp;INDEX(Weeks!$D:$D,MATCH($C2733,Weeks!$A:$A,0)),Tasks!$I:$I,"&lt;&gt;")/COUNTIFS(Tasks!$A:$A,$A2733,Tasks!$B:$B,$B2733,Tasks!$C:$C,$G2733)*100,0),"")</f>
        <v/>
      </c>
    </row>
    <row r="2734" spans="1:8" ht="15" hidden="1" customHeight="1">
      <c r="A2734" t="s">
        <v>107</v>
      </c>
      <c r="B2734" t="s">
        <v>110</v>
      </c>
      <c r="C2734">
        <v>29</v>
      </c>
      <c r="D2734">
        <v>7</v>
      </c>
      <c r="E2734">
        <v>3</v>
      </c>
      <c r="F2734">
        <v>3</v>
      </c>
      <c r="G2734" t="s">
        <v>122</v>
      </c>
      <c r="H2734" t="str">
        <f>IFERROR(ROUND(COUNTIFS(Tasks!$A:$A,$A2734,Tasks!$B:$B,$B2734,Tasks!$C:$C,$G2734,Tasks!$I:$I,"&lt;="&amp;INDEX(Weeks!$D:$D,MATCH($C2734,Weeks!$A:$A,0)),Tasks!$I:$I,"&lt;&gt;")/COUNTIFS(Tasks!$A:$A,$A2734,Tasks!$B:$B,$B2734,Tasks!$C:$C,$G2734)*100,0),"")</f>
        <v/>
      </c>
    </row>
    <row r="2735" spans="1:8" ht="15" hidden="1" customHeight="1">
      <c r="A2735" t="s">
        <v>107</v>
      </c>
      <c r="B2735" t="s">
        <v>110</v>
      </c>
      <c r="C2735">
        <v>30</v>
      </c>
      <c r="D2735">
        <v>7</v>
      </c>
      <c r="E2735">
        <v>4</v>
      </c>
      <c r="F2735">
        <v>3</v>
      </c>
      <c r="G2735" t="s">
        <v>122</v>
      </c>
      <c r="H2735" t="str">
        <f>IFERROR(ROUND(COUNTIFS(Tasks!$A:$A,$A2735,Tasks!$B:$B,$B2735,Tasks!$C:$C,$G2735,Tasks!$I:$I,"&lt;="&amp;INDEX(Weeks!$D:$D,MATCH($C2735,Weeks!$A:$A,0)),Tasks!$I:$I,"&lt;&gt;")/COUNTIFS(Tasks!$A:$A,$A2735,Tasks!$B:$B,$B2735,Tasks!$C:$C,$G2735)*100,0),"")</f>
        <v/>
      </c>
    </row>
    <row r="2736" spans="1:8" ht="15" hidden="1" customHeight="1">
      <c r="A2736" t="s">
        <v>107</v>
      </c>
      <c r="B2736" t="s">
        <v>110</v>
      </c>
      <c r="C2736">
        <v>31</v>
      </c>
      <c r="D2736">
        <v>8</v>
      </c>
      <c r="E2736">
        <v>1</v>
      </c>
      <c r="F2736">
        <v>3</v>
      </c>
      <c r="G2736" t="s">
        <v>122</v>
      </c>
      <c r="H2736" t="str">
        <f>IFERROR(ROUND(COUNTIFS(Tasks!$A:$A,$A2736,Tasks!$B:$B,$B2736,Tasks!$C:$C,$G2736,Tasks!$I:$I,"&lt;="&amp;INDEX(Weeks!$D:$D,MATCH($C2736,Weeks!$A:$A,0)),Tasks!$I:$I,"&lt;&gt;")/COUNTIFS(Tasks!$A:$A,$A2736,Tasks!$B:$B,$B2736,Tasks!$C:$C,$G2736)*100,0),"")</f>
        <v/>
      </c>
    </row>
    <row r="2737" spans="1:8" ht="15" hidden="1" customHeight="1">
      <c r="A2737" t="s">
        <v>107</v>
      </c>
      <c r="B2737" t="s">
        <v>110</v>
      </c>
      <c r="C2737">
        <v>32</v>
      </c>
      <c r="D2737">
        <v>8</v>
      </c>
      <c r="E2737">
        <v>2</v>
      </c>
      <c r="F2737">
        <v>3</v>
      </c>
      <c r="G2737" t="s">
        <v>122</v>
      </c>
      <c r="H2737" t="str">
        <f>IFERROR(ROUND(COUNTIFS(Tasks!$A:$A,$A2737,Tasks!$B:$B,$B2737,Tasks!$C:$C,$G2737,Tasks!$I:$I,"&lt;="&amp;INDEX(Weeks!$D:$D,MATCH($C2737,Weeks!$A:$A,0)),Tasks!$I:$I,"&lt;&gt;")/COUNTIFS(Tasks!$A:$A,$A2737,Tasks!$B:$B,$B2737,Tasks!$C:$C,$G2737)*100,0),"")</f>
        <v/>
      </c>
    </row>
    <row r="2738" spans="1:8" ht="15" hidden="1" customHeight="1">
      <c r="A2738" t="s">
        <v>107</v>
      </c>
      <c r="B2738" t="s">
        <v>110</v>
      </c>
      <c r="C2738">
        <v>33</v>
      </c>
      <c r="D2738">
        <v>8</v>
      </c>
      <c r="E2738">
        <v>3</v>
      </c>
      <c r="F2738">
        <v>3</v>
      </c>
      <c r="G2738" t="s">
        <v>122</v>
      </c>
      <c r="H2738" t="str">
        <f>IFERROR(ROUND(COUNTIFS(Tasks!$A:$A,$A2738,Tasks!$B:$B,$B2738,Tasks!$C:$C,$G2738,Tasks!$I:$I,"&lt;="&amp;INDEX(Weeks!$D:$D,MATCH($C2738,Weeks!$A:$A,0)),Tasks!$I:$I,"&lt;&gt;")/COUNTIFS(Tasks!$A:$A,$A2738,Tasks!$B:$B,$B2738,Tasks!$C:$C,$G2738)*100,0),"")</f>
        <v/>
      </c>
    </row>
    <row r="2739" spans="1:8" ht="15" hidden="1" customHeight="1">
      <c r="A2739" t="s">
        <v>107</v>
      </c>
      <c r="B2739" t="s">
        <v>110</v>
      </c>
      <c r="C2739">
        <v>34</v>
      </c>
      <c r="D2739">
        <v>8</v>
      </c>
      <c r="E2739">
        <v>4</v>
      </c>
      <c r="F2739">
        <v>3</v>
      </c>
      <c r="G2739" t="s">
        <v>122</v>
      </c>
      <c r="H2739" t="str">
        <f>IFERROR(ROUND(COUNTIFS(Tasks!$A:$A,$A2739,Tasks!$B:$B,$B2739,Tasks!$C:$C,$G2739,Tasks!$I:$I,"&lt;="&amp;INDEX(Weeks!$D:$D,MATCH($C2739,Weeks!$A:$A,0)),Tasks!$I:$I,"&lt;&gt;")/COUNTIFS(Tasks!$A:$A,$A2739,Tasks!$B:$B,$B2739,Tasks!$C:$C,$G2739)*100,0),"")</f>
        <v/>
      </c>
    </row>
    <row r="2740" spans="1:8" ht="15" hidden="1" customHeight="1">
      <c r="A2740" t="s">
        <v>107</v>
      </c>
      <c r="B2740" t="s">
        <v>110</v>
      </c>
      <c r="C2740">
        <v>35</v>
      </c>
      <c r="D2740">
        <v>8</v>
      </c>
      <c r="E2740">
        <v>5</v>
      </c>
      <c r="F2740">
        <v>3</v>
      </c>
      <c r="G2740" t="s">
        <v>122</v>
      </c>
      <c r="H2740" t="str">
        <f>IFERROR(ROUND(COUNTIFS(Tasks!$A:$A,$A2740,Tasks!$B:$B,$B2740,Tasks!$C:$C,$G2740,Tasks!$I:$I,"&lt;="&amp;INDEX(Weeks!$D:$D,MATCH($C2740,Weeks!$A:$A,0)),Tasks!$I:$I,"&lt;&gt;")/COUNTIFS(Tasks!$A:$A,$A2740,Tasks!$B:$B,$B2740,Tasks!$C:$C,$G2740)*100,0),"")</f>
        <v/>
      </c>
    </row>
    <row r="2741" spans="1:8" ht="15" hidden="1" customHeight="1">
      <c r="A2741" t="s">
        <v>107</v>
      </c>
      <c r="B2741" t="s">
        <v>110</v>
      </c>
      <c r="C2741">
        <v>36</v>
      </c>
      <c r="D2741">
        <v>9</v>
      </c>
      <c r="E2741">
        <v>1</v>
      </c>
      <c r="F2741">
        <v>3</v>
      </c>
      <c r="G2741" t="s">
        <v>122</v>
      </c>
      <c r="H2741" t="str">
        <f>IFERROR(ROUND(COUNTIFS(Tasks!$A:$A,$A2741,Tasks!$B:$B,$B2741,Tasks!$C:$C,$G2741,Tasks!$I:$I,"&lt;="&amp;INDEX(Weeks!$D:$D,MATCH($C2741,Weeks!$A:$A,0)),Tasks!$I:$I,"&lt;&gt;")/COUNTIFS(Tasks!$A:$A,$A2741,Tasks!$B:$B,$B2741,Tasks!$C:$C,$G2741)*100,0),"")</f>
        <v/>
      </c>
    </row>
    <row r="2742" spans="1:8" ht="15" hidden="1" customHeight="1">
      <c r="A2742" t="s">
        <v>107</v>
      </c>
      <c r="B2742" t="s">
        <v>110</v>
      </c>
      <c r="C2742">
        <v>37</v>
      </c>
      <c r="D2742">
        <v>9</v>
      </c>
      <c r="E2742">
        <v>2</v>
      </c>
      <c r="F2742">
        <v>3</v>
      </c>
      <c r="G2742" t="s">
        <v>122</v>
      </c>
      <c r="H2742" t="str">
        <f>IFERROR(ROUND(COUNTIFS(Tasks!$A:$A,$A2742,Tasks!$B:$B,$B2742,Tasks!$C:$C,$G2742,Tasks!$I:$I,"&lt;="&amp;INDEX(Weeks!$D:$D,MATCH($C2742,Weeks!$A:$A,0)),Tasks!$I:$I,"&lt;&gt;")/COUNTIFS(Tasks!$A:$A,$A2742,Tasks!$B:$B,$B2742,Tasks!$C:$C,$G2742)*100,0),"")</f>
        <v/>
      </c>
    </row>
    <row r="2743" spans="1:8" ht="15" hidden="1" customHeight="1">
      <c r="A2743" t="s">
        <v>107</v>
      </c>
      <c r="B2743" t="s">
        <v>110</v>
      </c>
      <c r="C2743">
        <v>38</v>
      </c>
      <c r="D2743">
        <v>9</v>
      </c>
      <c r="E2743">
        <v>3</v>
      </c>
      <c r="F2743">
        <v>3</v>
      </c>
      <c r="G2743" t="s">
        <v>122</v>
      </c>
      <c r="H2743" t="str">
        <f>IFERROR(ROUND(COUNTIFS(Tasks!$A:$A,$A2743,Tasks!$B:$B,$B2743,Tasks!$C:$C,$G2743,Tasks!$I:$I,"&lt;="&amp;INDEX(Weeks!$D:$D,MATCH($C2743,Weeks!$A:$A,0)),Tasks!$I:$I,"&lt;&gt;")/COUNTIFS(Tasks!$A:$A,$A2743,Tasks!$B:$B,$B2743,Tasks!$C:$C,$G2743)*100,0),"")</f>
        <v/>
      </c>
    </row>
    <row r="2744" spans="1:8" ht="15" hidden="1" customHeight="1">
      <c r="A2744" t="s">
        <v>107</v>
      </c>
      <c r="B2744" t="s">
        <v>110</v>
      </c>
      <c r="C2744">
        <v>39</v>
      </c>
      <c r="D2744">
        <v>9</v>
      </c>
      <c r="E2744">
        <v>4</v>
      </c>
      <c r="F2744">
        <v>3</v>
      </c>
      <c r="G2744" t="s">
        <v>122</v>
      </c>
      <c r="H2744" t="str">
        <f>IFERROR(ROUND(COUNTIFS(Tasks!$A:$A,$A2744,Tasks!$B:$B,$B2744,Tasks!$C:$C,$G2744,Tasks!$I:$I,"&lt;="&amp;INDEX(Weeks!$D:$D,MATCH($C2744,Weeks!$A:$A,0)),Tasks!$I:$I,"&lt;&gt;")/COUNTIFS(Tasks!$A:$A,$A2744,Tasks!$B:$B,$B2744,Tasks!$C:$C,$G2744)*100,0),"")</f>
        <v/>
      </c>
    </row>
    <row r="2745" spans="1:8" ht="15" hidden="1" customHeight="1">
      <c r="A2745" t="s">
        <v>107</v>
      </c>
      <c r="B2745" t="s">
        <v>110</v>
      </c>
      <c r="C2745">
        <v>40</v>
      </c>
      <c r="D2745">
        <v>10</v>
      </c>
      <c r="E2745">
        <v>1</v>
      </c>
      <c r="F2745">
        <v>3</v>
      </c>
      <c r="G2745" t="s">
        <v>122</v>
      </c>
      <c r="H2745" t="str">
        <f>IFERROR(ROUND(COUNTIFS(Tasks!$A:$A,$A2745,Tasks!$B:$B,$B2745,Tasks!$C:$C,$G2745,Tasks!$I:$I,"&lt;="&amp;INDEX(Weeks!$D:$D,MATCH($C2745,Weeks!$A:$A,0)),Tasks!$I:$I,"&lt;&gt;")/COUNTIFS(Tasks!$A:$A,$A2745,Tasks!$B:$B,$B2745,Tasks!$C:$C,$G2745)*100,0),"")</f>
        <v/>
      </c>
    </row>
    <row r="2746" spans="1:8" ht="15" hidden="1" customHeight="1">
      <c r="A2746" t="s">
        <v>107</v>
      </c>
      <c r="B2746" t="s">
        <v>110</v>
      </c>
      <c r="C2746">
        <v>41</v>
      </c>
      <c r="D2746">
        <v>10</v>
      </c>
      <c r="E2746">
        <v>2</v>
      </c>
      <c r="F2746">
        <v>3</v>
      </c>
      <c r="G2746" t="s">
        <v>122</v>
      </c>
      <c r="H2746" t="str">
        <f>IFERROR(ROUND(COUNTIFS(Tasks!$A:$A,$A2746,Tasks!$B:$B,$B2746,Tasks!$C:$C,$G2746,Tasks!$I:$I,"&lt;="&amp;INDEX(Weeks!$D:$D,MATCH($C2746,Weeks!$A:$A,0)),Tasks!$I:$I,"&lt;&gt;")/COUNTIFS(Tasks!$A:$A,$A2746,Tasks!$B:$B,$B2746,Tasks!$C:$C,$G2746)*100,0),"")</f>
        <v/>
      </c>
    </row>
    <row r="2747" spans="1:8" ht="15" hidden="1" customHeight="1">
      <c r="A2747" t="s">
        <v>107</v>
      </c>
      <c r="B2747" t="s">
        <v>110</v>
      </c>
      <c r="C2747">
        <v>42</v>
      </c>
      <c r="D2747">
        <v>10</v>
      </c>
      <c r="E2747">
        <v>3</v>
      </c>
      <c r="F2747">
        <v>3</v>
      </c>
      <c r="G2747" t="s">
        <v>122</v>
      </c>
      <c r="H2747" t="str">
        <f>IFERROR(ROUND(COUNTIFS(Tasks!$A:$A,$A2747,Tasks!$B:$B,$B2747,Tasks!$C:$C,$G2747,Tasks!$I:$I,"&lt;="&amp;INDEX(Weeks!$D:$D,MATCH($C2747,Weeks!$A:$A,0)),Tasks!$I:$I,"&lt;&gt;")/COUNTIFS(Tasks!$A:$A,$A2747,Tasks!$B:$B,$B2747,Tasks!$C:$C,$G2747)*100,0),"")</f>
        <v/>
      </c>
    </row>
    <row r="2748" spans="1:8" ht="15" hidden="1" customHeight="1">
      <c r="A2748" t="s">
        <v>107</v>
      </c>
      <c r="B2748" t="s">
        <v>110</v>
      </c>
      <c r="C2748">
        <v>43</v>
      </c>
      <c r="D2748">
        <v>10</v>
      </c>
      <c r="E2748">
        <v>4</v>
      </c>
      <c r="F2748">
        <v>3</v>
      </c>
      <c r="G2748" t="s">
        <v>122</v>
      </c>
      <c r="H2748" t="str">
        <f>IFERROR(ROUND(COUNTIFS(Tasks!$A:$A,$A2748,Tasks!$B:$B,$B2748,Tasks!$C:$C,$G2748,Tasks!$I:$I,"&lt;="&amp;INDEX(Weeks!$D:$D,MATCH($C2748,Weeks!$A:$A,0)),Tasks!$I:$I,"&lt;&gt;")/COUNTIFS(Tasks!$A:$A,$A2748,Tasks!$B:$B,$B2748,Tasks!$C:$C,$G2748)*100,0),"")</f>
        <v/>
      </c>
    </row>
    <row r="2749" spans="1:8" ht="15" hidden="1" customHeight="1">
      <c r="A2749" t="s">
        <v>107</v>
      </c>
      <c r="B2749" t="s">
        <v>110</v>
      </c>
      <c r="C2749">
        <v>44</v>
      </c>
      <c r="D2749">
        <v>10</v>
      </c>
      <c r="E2749">
        <v>5</v>
      </c>
      <c r="F2749">
        <v>3</v>
      </c>
      <c r="G2749" t="s">
        <v>122</v>
      </c>
      <c r="H2749" t="str">
        <f>IFERROR(ROUND(COUNTIFS(Tasks!$A:$A,$A2749,Tasks!$B:$B,$B2749,Tasks!$C:$C,$G2749,Tasks!$I:$I,"&lt;="&amp;INDEX(Weeks!$D:$D,MATCH($C2749,Weeks!$A:$A,0)),Tasks!$I:$I,"&lt;&gt;")/COUNTIFS(Tasks!$A:$A,$A2749,Tasks!$B:$B,$B2749,Tasks!$C:$C,$G2749)*100,0),"")</f>
        <v/>
      </c>
    </row>
    <row r="2750" spans="1:8" ht="15" hidden="1" customHeight="1">
      <c r="A2750" t="s">
        <v>107</v>
      </c>
      <c r="B2750" t="s">
        <v>110</v>
      </c>
      <c r="C2750">
        <v>45</v>
      </c>
      <c r="D2750">
        <v>11</v>
      </c>
      <c r="E2750">
        <v>1</v>
      </c>
      <c r="F2750">
        <v>3</v>
      </c>
      <c r="G2750" t="s">
        <v>122</v>
      </c>
      <c r="H2750" t="str">
        <f>IFERROR(ROUND(COUNTIFS(Tasks!$A:$A,$A2750,Tasks!$B:$B,$B2750,Tasks!$C:$C,$G2750,Tasks!$I:$I,"&lt;="&amp;INDEX(Weeks!$D:$D,MATCH($C2750,Weeks!$A:$A,0)),Tasks!$I:$I,"&lt;&gt;")/COUNTIFS(Tasks!$A:$A,$A2750,Tasks!$B:$B,$B2750,Tasks!$C:$C,$G2750)*100,0),"")</f>
        <v/>
      </c>
    </row>
    <row r="2751" spans="1:8" ht="15" hidden="1" customHeight="1">
      <c r="A2751" t="s">
        <v>107</v>
      </c>
      <c r="B2751" t="s">
        <v>110</v>
      </c>
      <c r="C2751">
        <v>46</v>
      </c>
      <c r="D2751">
        <v>11</v>
      </c>
      <c r="E2751">
        <v>2</v>
      </c>
      <c r="F2751">
        <v>3</v>
      </c>
      <c r="G2751" t="s">
        <v>122</v>
      </c>
      <c r="H2751" t="str">
        <f>IFERROR(ROUND(COUNTIFS(Tasks!$A:$A,$A2751,Tasks!$B:$B,$B2751,Tasks!$C:$C,$G2751,Tasks!$I:$I,"&lt;="&amp;INDEX(Weeks!$D:$D,MATCH($C2751,Weeks!$A:$A,0)),Tasks!$I:$I,"&lt;&gt;")/COUNTIFS(Tasks!$A:$A,$A2751,Tasks!$B:$B,$B2751,Tasks!$C:$C,$G2751)*100,0),"")</f>
        <v/>
      </c>
    </row>
    <row r="2752" spans="1:8" ht="15" hidden="1" customHeight="1">
      <c r="A2752" t="s">
        <v>107</v>
      </c>
      <c r="B2752" t="s">
        <v>110</v>
      </c>
      <c r="C2752">
        <v>47</v>
      </c>
      <c r="D2752">
        <v>11</v>
      </c>
      <c r="E2752">
        <v>3</v>
      </c>
      <c r="F2752">
        <v>3</v>
      </c>
      <c r="G2752" t="s">
        <v>122</v>
      </c>
      <c r="H2752" t="str">
        <f>IFERROR(ROUND(COUNTIFS(Tasks!$A:$A,$A2752,Tasks!$B:$B,$B2752,Tasks!$C:$C,$G2752,Tasks!$I:$I,"&lt;="&amp;INDEX(Weeks!$D:$D,MATCH($C2752,Weeks!$A:$A,0)),Tasks!$I:$I,"&lt;&gt;")/COUNTIFS(Tasks!$A:$A,$A2752,Tasks!$B:$B,$B2752,Tasks!$C:$C,$G2752)*100,0),"")</f>
        <v/>
      </c>
    </row>
    <row r="2753" spans="1:8" ht="15" hidden="1" customHeight="1">
      <c r="A2753" t="s">
        <v>107</v>
      </c>
      <c r="B2753" t="s">
        <v>110</v>
      </c>
      <c r="C2753">
        <v>48</v>
      </c>
      <c r="D2753">
        <v>11</v>
      </c>
      <c r="E2753">
        <v>4</v>
      </c>
      <c r="F2753">
        <v>3</v>
      </c>
      <c r="G2753" t="s">
        <v>122</v>
      </c>
      <c r="H2753" t="str">
        <f>IFERROR(ROUND(COUNTIFS(Tasks!$A:$A,$A2753,Tasks!$B:$B,$B2753,Tasks!$C:$C,$G2753,Tasks!$I:$I,"&lt;="&amp;INDEX(Weeks!$D:$D,MATCH($C2753,Weeks!$A:$A,0)),Tasks!$I:$I,"&lt;&gt;")/COUNTIFS(Tasks!$A:$A,$A2753,Tasks!$B:$B,$B2753,Tasks!$C:$C,$G2753)*100,0),"")</f>
        <v/>
      </c>
    </row>
    <row r="2754" spans="1:8" ht="15" hidden="1" customHeight="1">
      <c r="A2754" t="s">
        <v>107</v>
      </c>
      <c r="B2754" t="s">
        <v>110</v>
      </c>
      <c r="C2754">
        <v>49</v>
      </c>
      <c r="D2754">
        <v>12</v>
      </c>
      <c r="E2754">
        <v>1</v>
      </c>
      <c r="F2754">
        <v>3</v>
      </c>
      <c r="G2754" t="s">
        <v>122</v>
      </c>
      <c r="H2754" t="str">
        <f>IFERROR(ROUND(COUNTIFS(Tasks!$A:$A,$A2754,Tasks!$B:$B,$B2754,Tasks!$C:$C,$G2754,Tasks!$I:$I,"&lt;="&amp;INDEX(Weeks!$D:$D,MATCH($C2754,Weeks!$A:$A,0)),Tasks!$I:$I,"&lt;&gt;")/COUNTIFS(Tasks!$A:$A,$A2754,Tasks!$B:$B,$B2754,Tasks!$C:$C,$G2754)*100,0),"")</f>
        <v/>
      </c>
    </row>
    <row r="2755" spans="1:8" ht="15" hidden="1" customHeight="1">
      <c r="A2755" t="s">
        <v>107</v>
      </c>
      <c r="B2755" t="s">
        <v>110</v>
      </c>
      <c r="C2755">
        <v>50</v>
      </c>
      <c r="D2755">
        <v>12</v>
      </c>
      <c r="E2755">
        <v>2</v>
      </c>
      <c r="F2755">
        <v>3</v>
      </c>
      <c r="G2755" t="s">
        <v>122</v>
      </c>
      <c r="H2755" t="str">
        <f>IFERROR(ROUND(COUNTIFS(Tasks!$A:$A,$A2755,Tasks!$B:$B,$B2755,Tasks!$C:$C,$G2755,Tasks!$I:$I,"&lt;="&amp;INDEX(Weeks!$D:$D,MATCH($C2755,Weeks!$A:$A,0)),Tasks!$I:$I,"&lt;&gt;")/COUNTIFS(Tasks!$A:$A,$A2755,Tasks!$B:$B,$B2755,Tasks!$C:$C,$G2755)*100,0),"")</f>
        <v/>
      </c>
    </row>
    <row r="2756" spans="1:8" ht="15" hidden="1" customHeight="1">
      <c r="A2756" t="s">
        <v>107</v>
      </c>
      <c r="B2756" t="s">
        <v>110</v>
      </c>
      <c r="C2756">
        <v>51</v>
      </c>
      <c r="D2756">
        <v>12</v>
      </c>
      <c r="E2756">
        <v>3</v>
      </c>
      <c r="F2756">
        <v>3</v>
      </c>
      <c r="G2756" t="s">
        <v>122</v>
      </c>
      <c r="H2756" t="str">
        <f>IFERROR(ROUND(COUNTIFS(Tasks!$A:$A,$A2756,Tasks!$B:$B,$B2756,Tasks!$C:$C,$G2756,Tasks!$I:$I,"&lt;="&amp;INDEX(Weeks!$D:$D,MATCH($C2756,Weeks!$A:$A,0)),Tasks!$I:$I,"&lt;&gt;")/COUNTIFS(Tasks!$A:$A,$A2756,Tasks!$B:$B,$B2756,Tasks!$C:$C,$G2756)*100,0),"")</f>
        <v/>
      </c>
    </row>
    <row r="2757" spans="1:8" ht="15" hidden="1" customHeight="1">
      <c r="A2757" t="s">
        <v>107</v>
      </c>
      <c r="B2757" t="s">
        <v>110</v>
      </c>
      <c r="C2757">
        <v>52</v>
      </c>
      <c r="D2757">
        <v>12</v>
      </c>
      <c r="E2757">
        <v>4</v>
      </c>
      <c r="F2757">
        <v>3</v>
      </c>
      <c r="G2757" t="s">
        <v>122</v>
      </c>
      <c r="H2757" t="str">
        <f>IFERROR(ROUND(COUNTIFS(Tasks!$A:$A,$A2757,Tasks!$B:$B,$B2757,Tasks!$C:$C,$G2757,Tasks!$I:$I,"&lt;="&amp;INDEX(Weeks!$D:$D,MATCH($C2757,Weeks!$A:$A,0)),Tasks!$I:$I,"&lt;&gt;")/COUNTIFS(Tasks!$A:$A,$A2757,Tasks!$B:$B,$B2757,Tasks!$C:$C,$G2757)*100,0),"")</f>
        <v/>
      </c>
    </row>
    <row r="2758" spans="1:8" ht="15" hidden="1" customHeight="1">
      <c r="A2758" t="s">
        <v>107</v>
      </c>
      <c r="B2758" t="s">
        <v>110</v>
      </c>
      <c r="C2758">
        <v>1</v>
      </c>
      <c r="D2758">
        <v>1</v>
      </c>
      <c r="E2758">
        <v>1</v>
      </c>
      <c r="F2758">
        <v>4</v>
      </c>
      <c r="G2758" t="s">
        <v>123</v>
      </c>
      <c r="H2758" t="str">
        <f>IFERROR(ROUND(COUNTIFS(Tasks!$A:$A,$A2758,Tasks!$B:$B,$B2758,Tasks!$C:$C,$G2758,Tasks!$I:$I,"&lt;="&amp;INDEX(Weeks!$D:$D,MATCH($C2758,Weeks!$A:$A,0)),Tasks!$I:$I,"&lt;&gt;")/COUNTIFS(Tasks!$A:$A,$A2758,Tasks!$B:$B,$B2758,Tasks!$C:$C,$G2758)*100,0),"")</f>
        <v/>
      </c>
    </row>
    <row r="2759" spans="1:8" ht="15" hidden="1" customHeight="1">
      <c r="A2759" t="s">
        <v>107</v>
      </c>
      <c r="B2759" t="s">
        <v>110</v>
      </c>
      <c r="C2759">
        <v>2</v>
      </c>
      <c r="D2759">
        <v>1</v>
      </c>
      <c r="E2759">
        <v>2</v>
      </c>
      <c r="F2759">
        <v>4</v>
      </c>
      <c r="G2759" t="s">
        <v>123</v>
      </c>
      <c r="H2759" t="str">
        <f>IFERROR(ROUND(COUNTIFS(Tasks!$A:$A,$A2759,Tasks!$B:$B,$B2759,Tasks!$C:$C,$G2759,Tasks!$I:$I,"&lt;="&amp;INDEX(Weeks!$D:$D,MATCH($C2759,Weeks!$A:$A,0)),Tasks!$I:$I,"&lt;&gt;")/COUNTIFS(Tasks!$A:$A,$A2759,Tasks!$B:$B,$B2759,Tasks!$C:$C,$G2759)*100,0),"")</f>
        <v/>
      </c>
    </row>
    <row r="2760" spans="1:8" ht="15" hidden="1" customHeight="1">
      <c r="A2760" t="s">
        <v>107</v>
      </c>
      <c r="B2760" t="s">
        <v>110</v>
      </c>
      <c r="C2760">
        <v>3</v>
      </c>
      <c r="D2760">
        <v>1</v>
      </c>
      <c r="E2760">
        <v>3</v>
      </c>
      <c r="F2760">
        <v>4</v>
      </c>
      <c r="G2760" t="s">
        <v>123</v>
      </c>
      <c r="H2760" t="str">
        <f>IFERROR(ROUND(COUNTIFS(Tasks!$A:$A,$A2760,Tasks!$B:$B,$B2760,Tasks!$C:$C,$G2760,Tasks!$I:$I,"&lt;="&amp;INDEX(Weeks!$D:$D,MATCH($C2760,Weeks!$A:$A,0)),Tasks!$I:$I,"&lt;&gt;")/COUNTIFS(Tasks!$A:$A,$A2760,Tasks!$B:$B,$B2760,Tasks!$C:$C,$G2760)*100,0),"")</f>
        <v/>
      </c>
    </row>
    <row r="2761" spans="1:8" ht="15" hidden="1" customHeight="1">
      <c r="A2761" t="s">
        <v>107</v>
      </c>
      <c r="B2761" t="s">
        <v>110</v>
      </c>
      <c r="C2761">
        <v>4</v>
      </c>
      <c r="D2761">
        <v>1</v>
      </c>
      <c r="E2761">
        <v>4</v>
      </c>
      <c r="F2761">
        <v>4</v>
      </c>
      <c r="G2761" t="s">
        <v>123</v>
      </c>
      <c r="H2761" t="str">
        <f>IFERROR(ROUND(COUNTIFS(Tasks!$A:$A,$A2761,Tasks!$B:$B,$B2761,Tasks!$C:$C,$G2761,Tasks!$I:$I,"&lt;="&amp;INDEX(Weeks!$D:$D,MATCH($C2761,Weeks!$A:$A,0)),Tasks!$I:$I,"&lt;&gt;")/COUNTIFS(Tasks!$A:$A,$A2761,Tasks!$B:$B,$B2761,Tasks!$C:$C,$G2761)*100,0),"")</f>
        <v/>
      </c>
    </row>
    <row r="2762" spans="1:8" ht="15" hidden="1" customHeight="1">
      <c r="A2762" t="s">
        <v>107</v>
      </c>
      <c r="B2762" t="s">
        <v>110</v>
      </c>
      <c r="C2762">
        <v>5</v>
      </c>
      <c r="D2762">
        <v>1</v>
      </c>
      <c r="E2762">
        <v>5</v>
      </c>
      <c r="F2762">
        <v>4</v>
      </c>
      <c r="G2762" t="s">
        <v>123</v>
      </c>
      <c r="H2762" t="str">
        <f>IFERROR(ROUND(COUNTIFS(Tasks!$A:$A,$A2762,Tasks!$B:$B,$B2762,Tasks!$C:$C,$G2762,Tasks!$I:$I,"&lt;="&amp;INDEX(Weeks!$D:$D,MATCH($C2762,Weeks!$A:$A,0)),Tasks!$I:$I,"&lt;&gt;")/COUNTIFS(Tasks!$A:$A,$A2762,Tasks!$B:$B,$B2762,Tasks!$C:$C,$G2762)*100,0),"")</f>
        <v/>
      </c>
    </row>
    <row r="2763" spans="1:8" ht="15" hidden="1" customHeight="1">
      <c r="A2763" t="s">
        <v>107</v>
      </c>
      <c r="B2763" t="s">
        <v>110</v>
      </c>
      <c r="C2763">
        <v>6</v>
      </c>
      <c r="D2763">
        <v>2</v>
      </c>
      <c r="E2763">
        <v>1</v>
      </c>
      <c r="F2763">
        <v>4</v>
      </c>
      <c r="G2763" t="s">
        <v>123</v>
      </c>
      <c r="H2763" t="str">
        <f>IFERROR(ROUND(COUNTIFS(Tasks!$A:$A,$A2763,Tasks!$B:$B,$B2763,Tasks!$C:$C,$G2763,Tasks!$I:$I,"&lt;="&amp;INDEX(Weeks!$D:$D,MATCH($C2763,Weeks!$A:$A,0)),Tasks!$I:$I,"&lt;&gt;")/COUNTIFS(Tasks!$A:$A,$A2763,Tasks!$B:$B,$B2763,Tasks!$C:$C,$G2763)*100,0),"")</f>
        <v/>
      </c>
    </row>
    <row r="2764" spans="1:8" ht="15" hidden="1" customHeight="1">
      <c r="A2764" t="s">
        <v>107</v>
      </c>
      <c r="B2764" t="s">
        <v>110</v>
      </c>
      <c r="C2764">
        <v>7</v>
      </c>
      <c r="D2764">
        <v>2</v>
      </c>
      <c r="E2764">
        <v>2</v>
      </c>
      <c r="F2764">
        <v>4</v>
      </c>
      <c r="G2764" t="s">
        <v>123</v>
      </c>
      <c r="H2764" t="str">
        <f>IFERROR(ROUND(COUNTIFS(Tasks!$A:$A,$A2764,Tasks!$B:$B,$B2764,Tasks!$C:$C,$G2764,Tasks!$I:$I,"&lt;="&amp;INDEX(Weeks!$D:$D,MATCH($C2764,Weeks!$A:$A,0)),Tasks!$I:$I,"&lt;&gt;")/COUNTIFS(Tasks!$A:$A,$A2764,Tasks!$B:$B,$B2764,Tasks!$C:$C,$G2764)*100,0),"")</f>
        <v/>
      </c>
    </row>
    <row r="2765" spans="1:8" ht="15" hidden="1" customHeight="1">
      <c r="A2765" t="s">
        <v>107</v>
      </c>
      <c r="B2765" t="s">
        <v>110</v>
      </c>
      <c r="C2765">
        <v>8</v>
      </c>
      <c r="D2765">
        <v>2</v>
      </c>
      <c r="E2765">
        <v>3</v>
      </c>
      <c r="F2765">
        <v>4</v>
      </c>
      <c r="G2765" t="s">
        <v>123</v>
      </c>
      <c r="H2765" t="str">
        <f>IFERROR(ROUND(COUNTIFS(Tasks!$A:$A,$A2765,Tasks!$B:$B,$B2765,Tasks!$C:$C,$G2765,Tasks!$I:$I,"&lt;="&amp;INDEX(Weeks!$D:$D,MATCH($C2765,Weeks!$A:$A,0)),Tasks!$I:$I,"&lt;&gt;")/COUNTIFS(Tasks!$A:$A,$A2765,Tasks!$B:$B,$B2765,Tasks!$C:$C,$G2765)*100,0),"")</f>
        <v/>
      </c>
    </row>
    <row r="2766" spans="1:8" ht="15" hidden="1" customHeight="1">
      <c r="A2766" t="s">
        <v>107</v>
      </c>
      <c r="B2766" t="s">
        <v>110</v>
      </c>
      <c r="C2766">
        <v>9</v>
      </c>
      <c r="D2766">
        <v>2</v>
      </c>
      <c r="E2766">
        <v>4</v>
      </c>
      <c r="F2766">
        <v>4</v>
      </c>
      <c r="G2766" t="s">
        <v>123</v>
      </c>
      <c r="H2766" t="str">
        <f>IFERROR(ROUND(COUNTIFS(Tasks!$A:$A,$A2766,Tasks!$B:$B,$B2766,Tasks!$C:$C,$G2766,Tasks!$I:$I,"&lt;="&amp;INDEX(Weeks!$D:$D,MATCH($C2766,Weeks!$A:$A,0)),Tasks!$I:$I,"&lt;&gt;")/COUNTIFS(Tasks!$A:$A,$A2766,Tasks!$B:$B,$B2766,Tasks!$C:$C,$G2766)*100,0),"")</f>
        <v/>
      </c>
    </row>
    <row r="2767" spans="1:8" ht="15" hidden="1" customHeight="1">
      <c r="A2767" t="s">
        <v>107</v>
      </c>
      <c r="B2767" t="s">
        <v>110</v>
      </c>
      <c r="C2767">
        <v>10</v>
      </c>
      <c r="D2767">
        <v>3</v>
      </c>
      <c r="E2767">
        <v>1</v>
      </c>
      <c r="F2767">
        <v>4</v>
      </c>
      <c r="G2767" t="s">
        <v>123</v>
      </c>
      <c r="H2767" t="str">
        <f>IFERROR(ROUND(COUNTIFS(Tasks!$A:$A,$A2767,Tasks!$B:$B,$B2767,Tasks!$C:$C,$G2767,Tasks!$I:$I,"&lt;="&amp;INDEX(Weeks!$D:$D,MATCH($C2767,Weeks!$A:$A,0)),Tasks!$I:$I,"&lt;&gt;")/COUNTIFS(Tasks!$A:$A,$A2767,Tasks!$B:$B,$B2767,Tasks!$C:$C,$G2767)*100,0),"")</f>
        <v/>
      </c>
    </row>
    <row r="2768" spans="1:8" ht="15" hidden="1" customHeight="1">
      <c r="A2768" t="s">
        <v>107</v>
      </c>
      <c r="B2768" t="s">
        <v>110</v>
      </c>
      <c r="C2768">
        <v>11</v>
      </c>
      <c r="D2768">
        <v>3</v>
      </c>
      <c r="E2768">
        <v>2</v>
      </c>
      <c r="F2768">
        <v>4</v>
      </c>
      <c r="G2768" t="s">
        <v>123</v>
      </c>
      <c r="H2768" t="str">
        <f>IFERROR(ROUND(COUNTIFS(Tasks!$A:$A,$A2768,Tasks!$B:$B,$B2768,Tasks!$C:$C,$G2768,Tasks!$I:$I,"&lt;="&amp;INDEX(Weeks!$D:$D,MATCH($C2768,Weeks!$A:$A,0)),Tasks!$I:$I,"&lt;&gt;")/COUNTIFS(Tasks!$A:$A,$A2768,Tasks!$B:$B,$B2768,Tasks!$C:$C,$G2768)*100,0),"")</f>
        <v/>
      </c>
    </row>
    <row r="2769" spans="1:8" ht="15" hidden="1" customHeight="1">
      <c r="A2769" t="s">
        <v>107</v>
      </c>
      <c r="B2769" t="s">
        <v>110</v>
      </c>
      <c r="C2769">
        <v>12</v>
      </c>
      <c r="D2769">
        <v>3</v>
      </c>
      <c r="E2769">
        <v>3</v>
      </c>
      <c r="F2769">
        <v>4</v>
      </c>
      <c r="G2769" t="s">
        <v>123</v>
      </c>
      <c r="H2769" t="str">
        <f>IFERROR(ROUND(COUNTIFS(Tasks!$A:$A,$A2769,Tasks!$B:$B,$B2769,Tasks!$C:$C,$G2769,Tasks!$I:$I,"&lt;="&amp;INDEX(Weeks!$D:$D,MATCH($C2769,Weeks!$A:$A,0)),Tasks!$I:$I,"&lt;&gt;")/COUNTIFS(Tasks!$A:$A,$A2769,Tasks!$B:$B,$B2769,Tasks!$C:$C,$G2769)*100,0),"")</f>
        <v/>
      </c>
    </row>
    <row r="2770" spans="1:8" ht="15" hidden="1" customHeight="1">
      <c r="A2770" t="s">
        <v>107</v>
      </c>
      <c r="B2770" t="s">
        <v>110</v>
      </c>
      <c r="C2770">
        <v>13</v>
      </c>
      <c r="D2770">
        <v>3</v>
      </c>
      <c r="E2770">
        <v>4</v>
      </c>
      <c r="F2770">
        <v>4</v>
      </c>
      <c r="G2770" t="s">
        <v>123</v>
      </c>
      <c r="H2770" t="str">
        <f>IFERROR(ROUND(COUNTIFS(Tasks!$A:$A,$A2770,Tasks!$B:$B,$B2770,Tasks!$C:$C,$G2770,Tasks!$I:$I,"&lt;="&amp;INDEX(Weeks!$D:$D,MATCH($C2770,Weeks!$A:$A,0)),Tasks!$I:$I,"&lt;&gt;")/COUNTIFS(Tasks!$A:$A,$A2770,Tasks!$B:$B,$B2770,Tasks!$C:$C,$G2770)*100,0),"")</f>
        <v/>
      </c>
    </row>
    <row r="2771" spans="1:8" ht="15" hidden="1" customHeight="1">
      <c r="A2771" t="s">
        <v>107</v>
      </c>
      <c r="B2771" t="s">
        <v>110</v>
      </c>
      <c r="C2771">
        <v>14</v>
      </c>
      <c r="D2771">
        <v>4</v>
      </c>
      <c r="E2771">
        <v>1</v>
      </c>
      <c r="F2771">
        <v>4</v>
      </c>
      <c r="G2771" t="s">
        <v>123</v>
      </c>
      <c r="H2771" t="str">
        <f>IFERROR(ROUND(COUNTIFS(Tasks!$A:$A,$A2771,Tasks!$B:$B,$B2771,Tasks!$C:$C,$G2771,Tasks!$I:$I,"&lt;="&amp;INDEX(Weeks!$D:$D,MATCH($C2771,Weeks!$A:$A,0)),Tasks!$I:$I,"&lt;&gt;")/COUNTIFS(Tasks!$A:$A,$A2771,Tasks!$B:$B,$B2771,Tasks!$C:$C,$G2771)*100,0),"")</f>
        <v/>
      </c>
    </row>
    <row r="2772" spans="1:8" ht="15" hidden="1" customHeight="1">
      <c r="A2772" t="s">
        <v>107</v>
      </c>
      <c r="B2772" t="s">
        <v>110</v>
      </c>
      <c r="C2772">
        <v>15</v>
      </c>
      <c r="D2772">
        <v>4</v>
      </c>
      <c r="E2772">
        <v>2</v>
      </c>
      <c r="F2772">
        <v>4</v>
      </c>
      <c r="G2772" t="s">
        <v>123</v>
      </c>
      <c r="H2772" t="str">
        <f>IFERROR(ROUND(COUNTIFS(Tasks!$A:$A,$A2772,Tasks!$B:$B,$B2772,Tasks!$C:$C,$G2772,Tasks!$I:$I,"&lt;="&amp;INDEX(Weeks!$D:$D,MATCH($C2772,Weeks!$A:$A,0)),Tasks!$I:$I,"&lt;&gt;")/COUNTIFS(Tasks!$A:$A,$A2772,Tasks!$B:$B,$B2772,Tasks!$C:$C,$G2772)*100,0),"")</f>
        <v/>
      </c>
    </row>
    <row r="2773" spans="1:8" ht="15" hidden="1" customHeight="1">
      <c r="A2773" t="s">
        <v>107</v>
      </c>
      <c r="B2773" t="s">
        <v>110</v>
      </c>
      <c r="C2773">
        <v>16</v>
      </c>
      <c r="D2773">
        <v>4</v>
      </c>
      <c r="E2773">
        <v>3</v>
      </c>
      <c r="F2773">
        <v>4</v>
      </c>
      <c r="G2773" t="s">
        <v>123</v>
      </c>
      <c r="H2773" t="str">
        <f>IFERROR(ROUND(COUNTIFS(Tasks!$A:$A,$A2773,Tasks!$B:$B,$B2773,Tasks!$C:$C,$G2773,Tasks!$I:$I,"&lt;="&amp;INDEX(Weeks!$D:$D,MATCH($C2773,Weeks!$A:$A,0)),Tasks!$I:$I,"&lt;&gt;")/COUNTIFS(Tasks!$A:$A,$A2773,Tasks!$B:$B,$B2773,Tasks!$C:$C,$G2773)*100,0),"")</f>
        <v/>
      </c>
    </row>
    <row r="2774" spans="1:8" ht="15" hidden="1" customHeight="1">
      <c r="A2774" t="s">
        <v>107</v>
      </c>
      <c r="B2774" t="s">
        <v>110</v>
      </c>
      <c r="C2774">
        <v>17</v>
      </c>
      <c r="D2774">
        <v>4</v>
      </c>
      <c r="E2774">
        <v>4</v>
      </c>
      <c r="F2774">
        <v>4</v>
      </c>
      <c r="G2774" t="s">
        <v>123</v>
      </c>
      <c r="H2774" t="str">
        <f>IFERROR(ROUND(COUNTIFS(Tasks!$A:$A,$A2774,Tasks!$B:$B,$B2774,Tasks!$C:$C,$G2774,Tasks!$I:$I,"&lt;="&amp;INDEX(Weeks!$D:$D,MATCH($C2774,Weeks!$A:$A,0)),Tasks!$I:$I,"&lt;&gt;")/COUNTIFS(Tasks!$A:$A,$A2774,Tasks!$B:$B,$B2774,Tasks!$C:$C,$G2774)*100,0),"")</f>
        <v/>
      </c>
    </row>
    <row r="2775" spans="1:8" ht="15" hidden="1" customHeight="1">
      <c r="A2775" t="s">
        <v>107</v>
      </c>
      <c r="B2775" t="s">
        <v>110</v>
      </c>
      <c r="C2775">
        <v>18</v>
      </c>
      <c r="D2775">
        <v>5</v>
      </c>
      <c r="E2775">
        <v>1</v>
      </c>
      <c r="F2775">
        <v>4</v>
      </c>
      <c r="G2775" t="s">
        <v>123</v>
      </c>
      <c r="H2775" t="str">
        <f>IFERROR(ROUND(COUNTIFS(Tasks!$A:$A,$A2775,Tasks!$B:$B,$B2775,Tasks!$C:$C,$G2775,Tasks!$I:$I,"&lt;="&amp;INDEX(Weeks!$D:$D,MATCH($C2775,Weeks!$A:$A,0)),Tasks!$I:$I,"&lt;&gt;")/COUNTIFS(Tasks!$A:$A,$A2775,Tasks!$B:$B,$B2775,Tasks!$C:$C,$G2775)*100,0),"")</f>
        <v/>
      </c>
    </row>
    <row r="2776" spans="1:8" ht="15" hidden="1" customHeight="1">
      <c r="A2776" t="s">
        <v>107</v>
      </c>
      <c r="B2776" t="s">
        <v>110</v>
      </c>
      <c r="C2776">
        <v>19</v>
      </c>
      <c r="D2776">
        <v>5</v>
      </c>
      <c r="E2776">
        <v>2</v>
      </c>
      <c r="F2776">
        <v>4</v>
      </c>
      <c r="G2776" t="s">
        <v>123</v>
      </c>
      <c r="H2776" t="str">
        <f>IFERROR(ROUND(COUNTIFS(Tasks!$A:$A,$A2776,Tasks!$B:$B,$B2776,Tasks!$C:$C,$G2776,Tasks!$I:$I,"&lt;="&amp;INDEX(Weeks!$D:$D,MATCH($C2776,Weeks!$A:$A,0)),Tasks!$I:$I,"&lt;&gt;")/COUNTIFS(Tasks!$A:$A,$A2776,Tasks!$B:$B,$B2776,Tasks!$C:$C,$G2776)*100,0),"")</f>
        <v/>
      </c>
    </row>
    <row r="2777" spans="1:8" ht="15" hidden="1" customHeight="1">
      <c r="A2777" t="s">
        <v>107</v>
      </c>
      <c r="B2777" t="s">
        <v>110</v>
      </c>
      <c r="C2777">
        <v>20</v>
      </c>
      <c r="D2777">
        <v>5</v>
      </c>
      <c r="E2777">
        <v>3</v>
      </c>
      <c r="F2777">
        <v>4</v>
      </c>
      <c r="G2777" t="s">
        <v>123</v>
      </c>
      <c r="H2777" t="str">
        <f>IFERROR(ROUND(COUNTIFS(Tasks!$A:$A,$A2777,Tasks!$B:$B,$B2777,Tasks!$C:$C,$G2777,Tasks!$I:$I,"&lt;="&amp;INDEX(Weeks!$D:$D,MATCH($C2777,Weeks!$A:$A,0)),Tasks!$I:$I,"&lt;&gt;")/COUNTIFS(Tasks!$A:$A,$A2777,Tasks!$B:$B,$B2777,Tasks!$C:$C,$G2777)*100,0),"")</f>
        <v/>
      </c>
    </row>
    <row r="2778" spans="1:8" ht="15" hidden="1" customHeight="1">
      <c r="A2778" t="s">
        <v>107</v>
      </c>
      <c r="B2778" t="s">
        <v>110</v>
      </c>
      <c r="C2778">
        <v>21</v>
      </c>
      <c r="D2778">
        <v>5</v>
      </c>
      <c r="E2778">
        <v>4</v>
      </c>
      <c r="F2778">
        <v>4</v>
      </c>
      <c r="G2778" t="s">
        <v>123</v>
      </c>
      <c r="H2778" t="str">
        <f>IFERROR(ROUND(COUNTIFS(Tasks!$A:$A,$A2778,Tasks!$B:$B,$B2778,Tasks!$C:$C,$G2778,Tasks!$I:$I,"&lt;="&amp;INDEX(Weeks!$D:$D,MATCH($C2778,Weeks!$A:$A,0)),Tasks!$I:$I,"&lt;&gt;")/COUNTIFS(Tasks!$A:$A,$A2778,Tasks!$B:$B,$B2778,Tasks!$C:$C,$G2778)*100,0),"")</f>
        <v/>
      </c>
    </row>
    <row r="2779" spans="1:8" ht="15" hidden="1" customHeight="1">
      <c r="A2779" t="s">
        <v>107</v>
      </c>
      <c r="B2779" t="s">
        <v>110</v>
      </c>
      <c r="C2779">
        <v>22</v>
      </c>
      <c r="D2779">
        <v>5</v>
      </c>
      <c r="E2779">
        <v>5</v>
      </c>
      <c r="F2779">
        <v>4</v>
      </c>
      <c r="G2779" t="s">
        <v>123</v>
      </c>
      <c r="H2779" t="str">
        <f>IFERROR(ROUND(COUNTIFS(Tasks!$A:$A,$A2779,Tasks!$B:$B,$B2779,Tasks!$C:$C,$G2779,Tasks!$I:$I,"&lt;="&amp;INDEX(Weeks!$D:$D,MATCH($C2779,Weeks!$A:$A,0)),Tasks!$I:$I,"&lt;&gt;")/COUNTIFS(Tasks!$A:$A,$A2779,Tasks!$B:$B,$B2779,Tasks!$C:$C,$G2779)*100,0),"")</f>
        <v/>
      </c>
    </row>
    <row r="2780" spans="1:8" ht="15" hidden="1" customHeight="1">
      <c r="A2780" t="s">
        <v>107</v>
      </c>
      <c r="B2780" t="s">
        <v>110</v>
      </c>
      <c r="C2780">
        <v>23</v>
      </c>
      <c r="D2780">
        <v>6</v>
      </c>
      <c r="E2780">
        <v>1</v>
      </c>
      <c r="F2780">
        <v>4</v>
      </c>
      <c r="G2780" t="s">
        <v>123</v>
      </c>
      <c r="H2780" t="str">
        <f>IFERROR(ROUND(COUNTIFS(Tasks!$A:$A,$A2780,Tasks!$B:$B,$B2780,Tasks!$C:$C,$G2780,Tasks!$I:$I,"&lt;="&amp;INDEX(Weeks!$D:$D,MATCH($C2780,Weeks!$A:$A,0)),Tasks!$I:$I,"&lt;&gt;")/COUNTIFS(Tasks!$A:$A,$A2780,Tasks!$B:$B,$B2780,Tasks!$C:$C,$G2780)*100,0),"")</f>
        <v/>
      </c>
    </row>
    <row r="2781" spans="1:8" ht="15" hidden="1" customHeight="1">
      <c r="A2781" t="s">
        <v>107</v>
      </c>
      <c r="B2781" t="s">
        <v>110</v>
      </c>
      <c r="C2781">
        <v>24</v>
      </c>
      <c r="D2781">
        <v>6</v>
      </c>
      <c r="E2781">
        <v>2</v>
      </c>
      <c r="F2781">
        <v>4</v>
      </c>
      <c r="G2781" t="s">
        <v>123</v>
      </c>
      <c r="H2781" t="str">
        <f>IFERROR(ROUND(COUNTIFS(Tasks!$A:$A,$A2781,Tasks!$B:$B,$B2781,Tasks!$C:$C,$G2781,Tasks!$I:$I,"&lt;="&amp;INDEX(Weeks!$D:$D,MATCH($C2781,Weeks!$A:$A,0)),Tasks!$I:$I,"&lt;&gt;")/COUNTIFS(Tasks!$A:$A,$A2781,Tasks!$B:$B,$B2781,Tasks!$C:$C,$G2781)*100,0),"")</f>
        <v/>
      </c>
    </row>
    <row r="2782" spans="1:8" ht="15" hidden="1" customHeight="1">
      <c r="A2782" t="s">
        <v>107</v>
      </c>
      <c r="B2782" t="s">
        <v>110</v>
      </c>
      <c r="C2782">
        <v>25</v>
      </c>
      <c r="D2782">
        <v>6</v>
      </c>
      <c r="E2782">
        <v>3</v>
      </c>
      <c r="F2782">
        <v>4</v>
      </c>
      <c r="G2782" t="s">
        <v>123</v>
      </c>
      <c r="H2782" t="str">
        <f>IFERROR(ROUND(COUNTIFS(Tasks!$A:$A,$A2782,Tasks!$B:$B,$B2782,Tasks!$C:$C,$G2782,Tasks!$I:$I,"&lt;="&amp;INDEX(Weeks!$D:$D,MATCH($C2782,Weeks!$A:$A,0)),Tasks!$I:$I,"&lt;&gt;")/COUNTIFS(Tasks!$A:$A,$A2782,Tasks!$B:$B,$B2782,Tasks!$C:$C,$G2782)*100,0),"")</f>
        <v/>
      </c>
    </row>
    <row r="2783" spans="1:8" ht="15" hidden="1" customHeight="1">
      <c r="A2783" t="s">
        <v>107</v>
      </c>
      <c r="B2783" t="s">
        <v>110</v>
      </c>
      <c r="C2783">
        <v>26</v>
      </c>
      <c r="D2783">
        <v>6</v>
      </c>
      <c r="E2783">
        <v>4</v>
      </c>
      <c r="F2783">
        <v>4</v>
      </c>
      <c r="G2783" t="s">
        <v>123</v>
      </c>
      <c r="H2783" t="str">
        <f>IFERROR(ROUND(COUNTIFS(Tasks!$A:$A,$A2783,Tasks!$B:$B,$B2783,Tasks!$C:$C,$G2783,Tasks!$I:$I,"&lt;="&amp;INDEX(Weeks!$D:$D,MATCH($C2783,Weeks!$A:$A,0)),Tasks!$I:$I,"&lt;&gt;")/COUNTIFS(Tasks!$A:$A,$A2783,Tasks!$B:$B,$B2783,Tasks!$C:$C,$G2783)*100,0),"")</f>
        <v/>
      </c>
    </row>
    <row r="2784" spans="1:8" ht="15" hidden="1" customHeight="1">
      <c r="A2784" t="s">
        <v>107</v>
      </c>
      <c r="B2784" t="s">
        <v>110</v>
      </c>
      <c r="C2784">
        <v>27</v>
      </c>
      <c r="D2784">
        <v>7</v>
      </c>
      <c r="E2784">
        <v>1</v>
      </c>
      <c r="F2784">
        <v>4</v>
      </c>
      <c r="G2784" t="s">
        <v>123</v>
      </c>
      <c r="H2784" t="str">
        <f>IFERROR(ROUND(COUNTIFS(Tasks!$A:$A,$A2784,Tasks!$B:$B,$B2784,Tasks!$C:$C,$G2784,Tasks!$I:$I,"&lt;="&amp;INDEX(Weeks!$D:$D,MATCH($C2784,Weeks!$A:$A,0)),Tasks!$I:$I,"&lt;&gt;")/COUNTIFS(Tasks!$A:$A,$A2784,Tasks!$B:$B,$B2784,Tasks!$C:$C,$G2784)*100,0),"")</f>
        <v/>
      </c>
    </row>
    <row r="2785" spans="1:8" ht="15" hidden="1" customHeight="1">
      <c r="A2785" t="s">
        <v>107</v>
      </c>
      <c r="B2785" t="s">
        <v>110</v>
      </c>
      <c r="C2785">
        <v>28</v>
      </c>
      <c r="D2785">
        <v>7</v>
      </c>
      <c r="E2785">
        <v>2</v>
      </c>
      <c r="F2785">
        <v>4</v>
      </c>
      <c r="G2785" t="s">
        <v>123</v>
      </c>
      <c r="H2785" t="str">
        <f>IFERROR(ROUND(COUNTIFS(Tasks!$A:$A,$A2785,Tasks!$B:$B,$B2785,Tasks!$C:$C,$G2785,Tasks!$I:$I,"&lt;="&amp;INDEX(Weeks!$D:$D,MATCH($C2785,Weeks!$A:$A,0)),Tasks!$I:$I,"&lt;&gt;")/COUNTIFS(Tasks!$A:$A,$A2785,Tasks!$B:$B,$B2785,Tasks!$C:$C,$G2785)*100,0),"")</f>
        <v/>
      </c>
    </row>
    <row r="2786" spans="1:8" ht="15" hidden="1" customHeight="1">
      <c r="A2786" t="s">
        <v>107</v>
      </c>
      <c r="B2786" t="s">
        <v>110</v>
      </c>
      <c r="C2786">
        <v>29</v>
      </c>
      <c r="D2786">
        <v>7</v>
      </c>
      <c r="E2786">
        <v>3</v>
      </c>
      <c r="F2786">
        <v>4</v>
      </c>
      <c r="G2786" t="s">
        <v>123</v>
      </c>
      <c r="H2786" t="str">
        <f>IFERROR(ROUND(COUNTIFS(Tasks!$A:$A,$A2786,Tasks!$B:$B,$B2786,Tasks!$C:$C,$G2786,Tasks!$I:$I,"&lt;="&amp;INDEX(Weeks!$D:$D,MATCH($C2786,Weeks!$A:$A,0)),Tasks!$I:$I,"&lt;&gt;")/COUNTIFS(Tasks!$A:$A,$A2786,Tasks!$B:$B,$B2786,Tasks!$C:$C,$G2786)*100,0),"")</f>
        <v/>
      </c>
    </row>
    <row r="2787" spans="1:8" ht="15" hidden="1" customHeight="1">
      <c r="A2787" t="s">
        <v>107</v>
      </c>
      <c r="B2787" t="s">
        <v>110</v>
      </c>
      <c r="C2787">
        <v>30</v>
      </c>
      <c r="D2787">
        <v>7</v>
      </c>
      <c r="E2787">
        <v>4</v>
      </c>
      <c r="F2787">
        <v>4</v>
      </c>
      <c r="G2787" t="s">
        <v>123</v>
      </c>
      <c r="H2787" t="str">
        <f>IFERROR(ROUND(COUNTIFS(Tasks!$A:$A,$A2787,Tasks!$B:$B,$B2787,Tasks!$C:$C,$G2787,Tasks!$I:$I,"&lt;="&amp;INDEX(Weeks!$D:$D,MATCH($C2787,Weeks!$A:$A,0)),Tasks!$I:$I,"&lt;&gt;")/COUNTIFS(Tasks!$A:$A,$A2787,Tasks!$B:$B,$B2787,Tasks!$C:$C,$G2787)*100,0),"")</f>
        <v/>
      </c>
    </row>
    <row r="2788" spans="1:8" ht="15" hidden="1" customHeight="1">
      <c r="A2788" t="s">
        <v>107</v>
      </c>
      <c r="B2788" t="s">
        <v>110</v>
      </c>
      <c r="C2788">
        <v>31</v>
      </c>
      <c r="D2788">
        <v>8</v>
      </c>
      <c r="E2788">
        <v>1</v>
      </c>
      <c r="F2788">
        <v>4</v>
      </c>
      <c r="G2788" t="s">
        <v>123</v>
      </c>
      <c r="H2788" t="str">
        <f>IFERROR(ROUND(COUNTIFS(Tasks!$A:$A,$A2788,Tasks!$B:$B,$B2788,Tasks!$C:$C,$G2788,Tasks!$I:$I,"&lt;="&amp;INDEX(Weeks!$D:$D,MATCH($C2788,Weeks!$A:$A,0)),Tasks!$I:$I,"&lt;&gt;")/COUNTIFS(Tasks!$A:$A,$A2788,Tasks!$B:$B,$B2788,Tasks!$C:$C,$G2788)*100,0),"")</f>
        <v/>
      </c>
    </row>
    <row r="2789" spans="1:8" ht="15" hidden="1" customHeight="1">
      <c r="A2789" t="s">
        <v>107</v>
      </c>
      <c r="B2789" t="s">
        <v>110</v>
      </c>
      <c r="C2789">
        <v>32</v>
      </c>
      <c r="D2789">
        <v>8</v>
      </c>
      <c r="E2789">
        <v>2</v>
      </c>
      <c r="F2789">
        <v>4</v>
      </c>
      <c r="G2789" t="s">
        <v>123</v>
      </c>
      <c r="H2789" t="str">
        <f>IFERROR(ROUND(COUNTIFS(Tasks!$A:$A,$A2789,Tasks!$B:$B,$B2789,Tasks!$C:$C,$G2789,Tasks!$I:$I,"&lt;="&amp;INDEX(Weeks!$D:$D,MATCH($C2789,Weeks!$A:$A,0)),Tasks!$I:$I,"&lt;&gt;")/COUNTIFS(Tasks!$A:$A,$A2789,Tasks!$B:$B,$B2789,Tasks!$C:$C,$G2789)*100,0),"")</f>
        <v/>
      </c>
    </row>
    <row r="2790" spans="1:8" ht="15" hidden="1" customHeight="1">
      <c r="A2790" t="s">
        <v>107</v>
      </c>
      <c r="B2790" t="s">
        <v>110</v>
      </c>
      <c r="C2790">
        <v>33</v>
      </c>
      <c r="D2790">
        <v>8</v>
      </c>
      <c r="E2790">
        <v>3</v>
      </c>
      <c r="F2790">
        <v>4</v>
      </c>
      <c r="G2790" t="s">
        <v>123</v>
      </c>
      <c r="H2790" t="str">
        <f>IFERROR(ROUND(COUNTIFS(Tasks!$A:$A,$A2790,Tasks!$B:$B,$B2790,Tasks!$C:$C,$G2790,Tasks!$I:$I,"&lt;="&amp;INDEX(Weeks!$D:$D,MATCH($C2790,Weeks!$A:$A,0)),Tasks!$I:$I,"&lt;&gt;")/COUNTIFS(Tasks!$A:$A,$A2790,Tasks!$B:$B,$B2790,Tasks!$C:$C,$G2790)*100,0),"")</f>
        <v/>
      </c>
    </row>
    <row r="2791" spans="1:8" ht="15" hidden="1" customHeight="1">
      <c r="A2791" t="s">
        <v>107</v>
      </c>
      <c r="B2791" t="s">
        <v>110</v>
      </c>
      <c r="C2791">
        <v>34</v>
      </c>
      <c r="D2791">
        <v>8</v>
      </c>
      <c r="E2791">
        <v>4</v>
      </c>
      <c r="F2791">
        <v>4</v>
      </c>
      <c r="G2791" t="s">
        <v>123</v>
      </c>
      <c r="H2791" t="str">
        <f>IFERROR(ROUND(COUNTIFS(Tasks!$A:$A,$A2791,Tasks!$B:$B,$B2791,Tasks!$C:$C,$G2791,Tasks!$I:$I,"&lt;="&amp;INDEX(Weeks!$D:$D,MATCH($C2791,Weeks!$A:$A,0)),Tasks!$I:$I,"&lt;&gt;")/COUNTIFS(Tasks!$A:$A,$A2791,Tasks!$B:$B,$B2791,Tasks!$C:$C,$G2791)*100,0),"")</f>
        <v/>
      </c>
    </row>
    <row r="2792" spans="1:8" ht="15" hidden="1" customHeight="1">
      <c r="A2792" t="s">
        <v>107</v>
      </c>
      <c r="B2792" t="s">
        <v>110</v>
      </c>
      <c r="C2792">
        <v>35</v>
      </c>
      <c r="D2792">
        <v>8</v>
      </c>
      <c r="E2792">
        <v>5</v>
      </c>
      <c r="F2792">
        <v>4</v>
      </c>
      <c r="G2792" t="s">
        <v>123</v>
      </c>
      <c r="H2792" t="str">
        <f>IFERROR(ROUND(COUNTIFS(Tasks!$A:$A,$A2792,Tasks!$B:$B,$B2792,Tasks!$C:$C,$G2792,Tasks!$I:$I,"&lt;="&amp;INDEX(Weeks!$D:$D,MATCH($C2792,Weeks!$A:$A,0)),Tasks!$I:$I,"&lt;&gt;")/COUNTIFS(Tasks!$A:$A,$A2792,Tasks!$B:$B,$B2792,Tasks!$C:$C,$G2792)*100,0),"")</f>
        <v/>
      </c>
    </row>
    <row r="2793" spans="1:8" ht="15" hidden="1" customHeight="1">
      <c r="A2793" t="s">
        <v>107</v>
      </c>
      <c r="B2793" t="s">
        <v>110</v>
      </c>
      <c r="C2793">
        <v>36</v>
      </c>
      <c r="D2793">
        <v>9</v>
      </c>
      <c r="E2793">
        <v>1</v>
      </c>
      <c r="F2793">
        <v>4</v>
      </c>
      <c r="G2793" t="s">
        <v>123</v>
      </c>
      <c r="H2793" t="str">
        <f>IFERROR(ROUND(COUNTIFS(Tasks!$A:$A,$A2793,Tasks!$B:$B,$B2793,Tasks!$C:$C,$G2793,Tasks!$I:$I,"&lt;="&amp;INDEX(Weeks!$D:$D,MATCH($C2793,Weeks!$A:$A,0)),Tasks!$I:$I,"&lt;&gt;")/COUNTIFS(Tasks!$A:$A,$A2793,Tasks!$B:$B,$B2793,Tasks!$C:$C,$G2793)*100,0),"")</f>
        <v/>
      </c>
    </row>
    <row r="2794" spans="1:8" ht="15" hidden="1" customHeight="1">
      <c r="A2794" t="s">
        <v>107</v>
      </c>
      <c r="B2794" t="s">
        <v>110</v>
      </c>
      <c r="C2794">
        <v>37</v>
      </c>
      <c r="D2794">
        <v>9</v>
      </c>
      <c r="E2794">
        <v>2</v>
      </c>
      <c r="F2794">
        <v>4</v>
      </c>
      <c r="G2794" t="s">
        <v>123</v>
      </c>
      <c r="H2794" t="str">
        <f>IFERROR(ROUND(COUNTIFS(Tasks!$A:$A,$A2794,Tasks!$B:$B,$B2794,Tasks!$C:$C,$G2794,Tasks!$I:$I,"&lt;="&amp;INDEX(Weeks!$D:$D,MATCH($C2794,Weeks!$A:$A,0)),Tasks!$I:$I,"&lt;&gt;")/COUNTIFS(Tasks!$A:$A,$A2794,Tasks!$B:$B,$B2794,Tasks!$C:$C,$G2794)*100,0),"")</f>
        <v/>
      </c>
    </row>
    <row r="2795" spans="1:8" ht="15" hidden="1" customHeight="1">
      <c r="A2795" t="s">
        <v>107</v>
      </c>
      <c r="B2795" t="s">
        <v>110</v>
      </c>
      <c r="C2795">
        <v>38</v>
      </c>
      <c r="D2795">
        <v>9</v>
      </c>
      <c r="E2795">
        <v>3</v>
      </c>
      <c r="F2795">
        <v>4</v>
      </c>
      <c r="G2795" t="s">
        <v>123</v>
      </c>
      <c r="H2795" t="str">
        <f>IFERROR(ROUND(COUNTIFS(Tasks!$A:$A,$A2795,Tasks!$B:$B,$B2795,Tasks!$C:$C,$G2795,Tasks!$I:$I,"&lt;="&amp;INDEX(Weeks!$D:$D,MATCH($C2795,Weeks!$A:$A,0)),Tasks!$I:$I,"&lt;&gt;")/COUNTIFS(Tasks!$A:$A,$A2795,Tasks!$B:$B,$B2795,Tasks!$C:$C,$G2795)*100,0),"")</f>
        <v/>
      </c>
    </row>
    <row r="2796" spans="1:8" ht="15" hidden="1" customHeight="1">
      <c r="A2796" t="s">
        <v>107</v>
      </c>
      <c r="B2796" t="s">
        <v>110</v>
      </c>
      <c r="C2796">
        <v>39</v>
      </c>
      <c r="D2796">
        <v>9</v>
      </c>
      <c r="E2796">
        <v>4</v>
      </c>
      <c r="F2796">
        <v>4</v>
      </c>
      <c r="G2796" t="s">
        <v>123</v>
      </c>
      <c r="H2796" t="str">
        <f>IFERROR(ROUND(COUNTIFS(Tasks!$A:$A,$A2796,Tasks!$B:$B,$B2796,Tasks!$C:$C,$G2796,Tasks!$I:$I,"&lt;="&amp;INDEX(Weeks!$D:$D,MATCH($C2796,Weeks!$A:$A,0)),Tasks!$I:$I,"&lt;&gt;")/COUNTIFS(Tasks!$A:$A,$A2796,Tasks!$B:$B,$B2796,Tasks!$C:$C,$G2796)*100,0),"")</f>
        <v/>
      </c>
    </row>
    <row r="2797" spans="1:8" ht="15" hidden="1" customHeight="1">
      <c r="A2797" t="s">
        <v>107</v>
      </c>
      <c r="B2797" t="s">
        <v>110</v>
      </c>
      <c r="C2797">
        <v>40</v>
      </c>
      <c r="D2797">
        <v>10</v>
      </c>
      <c r="E2797">
        <v>1</v>
      </c>
      <c r="F2797">
        <v>4</v>
      </c>
      <c r="G2797" t="s">
        <v>123</v>
      </c>
      <c r="H2797" t="str">
        <f>IFERROR(ROUND(COUNTIFS(Tasks!$A:$A,$A2797,Tasks!$B:$B,$B2797,Tasks!$C:$C,$G2797,Tasks!$I:$I,"&lt;="&amp;INDEX(Weeks!$D:$D,MATCH($C2797,Weeks!$A:$A,0)),Tasks!$I:$I,"&lt;&gt;")/COUNTIFS(Tasks!$A:$A,$A2797,Tasks!$B:$B,$B2797,Tasks!$C:$C,$G2797)*100,0),"")</f>
        <v/>
      </c>
    </row>
    <row r="2798" spans="1:8" ht="15" hidden="1" customHeight="1">
      <c r="A2798" t="s">
        <v>107</v>
      </c>
      <c r="B2798" t="s">
        <v>110</v>
      </c>
      <c r="C2798">
        <v>41</v>
      </c>
      <c r="D2798">
        <v>10</v>
      </c>
      <c r="E2798">
        <v>2</v>
      </c>
      <c r="F2798">
        <v>4</v>
      </c>
      <c r="G2798" t="s">
        <v>123</v>
      </c>
      <c r="H2798" t="str">
        <f>IFERROR(ROUND(COUNTIFS(Tasks!$A:$A,$A2798,Tasks!$B:$B,$B2798,Tasks!$C:$C,$G2798,Tasks!$I:$I,"&lt;="&amp;INDEX(Weeks!$D:$D,MATCH($C2798,Weeks!$A:$A,0)),Tasks!$I:$I,"&lt;&gt;")/COUNTIFS(Tasks!$A:$A,$A2798,Tasks!$B:$B,$B2798,Tasks!$C:$C,$G2798)*100,0),"")</f>
        <v/>
      </c>
    </row>
    <row r="2799" spans="1:8" ht="15" hidden="1" customHeight="1">
      <c r="A2799" t="s">
        <v>107</v>
      </c>
      <c r="B2799" t="s">
        <v>110</v>
      </c>
      <c r="C2799">
        <v>42</v>
      </c>
      <c r="D2799">
        <v>10</v>
      </c>
      <c r="E2799">
        <v>3</v>
      </c>
      <c r="F2799">
        <v>4</v>
      </c>
      <c r="G2799" t="s">
        <v>123</v>
      </c>
      <c r="H2799" t="str">
        <f>IFERROR(ROUND(COUNTIFS(Tasks!$A:$A,$A2799,Tasks!$B:$B,$B2799,Tasks!$C:$C,$G2799,Tasks!$I:$I,"&lt;="&amp;INDEX(Weeks!$D:$D,MATCH($C2799,Weeks!$A:$A,0)),Tasks!$I:$I,"&lt;&gt;")/COUNTIFS(Tasks!$A:$A,$A2799,Tasks!$B:$B,$B2799,Tasks!$C:$C,$G2799)*100,0),"")</f>
        <v/>
      </c>
    </row>
    <row r="2800" spans="1:8" ht="15" hidden="1" customHeight="1">
      <c r="A2800" t="s">
        <v>107</v>
      </c>
      <c r="B2800" t="s">
        <v>110</v>
      </c>
      <c r="C2800">
        <v>43</v>
      </c>
      <c r="D2800">
        <v>10</v>
      </c>
      <c r="E2800">
        <v>4</v>
      </c>
      <c r="F2800">
        <v>4</v>
      </c>
      <c r="G2800" t="s">
        <v>123</v>
      </c>
      <c r="H2800" t="str">
        <f>IFERROR(ROUND(COUNTIFS(Tasks!$A:$A,$A2800,Tasks!$B:$B,$B2800,Tasks!$C:$C,$G2800,Tasks!$I:$I,"&lt;="&amp;INDEX(Weeks!$D:$D,MATCH($C2800,Weeks!$A:$A,0)),Tasks!$I:$I,"&lt;&gt;")/COUNTIFS(Tasks!$A:$A,$A2800,Tasks!$B:$B,$B2800,Tasks!$C:$C,$G2800)*100,0),"")</f>
        <v/>
      </c>
    </row>
    <row r="2801" spans="1:8" ht="15" hidden="1" customHeight="1">
      <c r="A2801" t="s">
        <v>107</v>
      </c>
      <c r="B2801" t="s">
        <v>110</v>
      </c>
      <c r="C2801">
        <v>44</v>
      </c>
      <c r="D2801">
        <v>10</v>
      </c>
      <c r="E2801">
        <v>5</v>
      </c>
      <c r="F2801">
        <v>4</v>
      </c>
      <c r="G2801" t="s">
        <v>123</v>
      </c>
      <c r="H2801" t="str">
        <f>IFERROR(ROUND(COUNTIFS(Tasks!$A:$A,$A2801,Tasks!$B:$B,$B2801,Tasks!$C:$C,$G2801,Tasks!$I:$I,"&lt;="&amp;INDEX(Weeks!$D:$D,MATCH($C2801,Weeks!$A:$A,0)),Tasks!$I:$I,"&lt;&gt;")/COUNTIFS(Tasks!$A:$A,$A2801,Tasks!$B:$B,$B2801,Tasks!$C:$C,$G2801)*100,0),"")</f>
        <v/>
      </c>
    </row>
    <row r="2802" spans="1:8" ht="15" hidden="1" customHeight="1">
      <c r="A2802" t="s">
        <v>107</v>
      </c>
      <c r="B2802" t="s">
        <v>110</v>
      </c>
      <c r="C2802">
        <v>45</v>
      </c>
      <c r="D2802">
        <v>11</v>
      </c>
      <c r="E2802">
        <v>1</v>
      </c>
      <c r="F2802">
        <v>4</v>
      </c>
      <c r="G2802" t="s">
        <v>123</v>
      </c>
      <c r="H2802" t="str">
        <f>IFERROR(ROUND(COUNTIFS(Tasks!$A:$A,$A2802,Tasks!$B:$B,$B2802,Tasks!$C:$C,$G2802,Tasks!$I:$I,"&lt;="&amp;INDEX(Weeks!$D:$D,MATCH($C2802,Weeks!$A:$A,0)),Tasks!$I:$I,"&lt;&gt;")/COUNTIFS(Tasks!$A:$A,$A2802,Tasks!$B:$B,$B2802,Tasks!$C:$C,$G2802)*100,0),"")</f>
        <v/>
      </c>
    </row>
    <row r="2803" spans="1:8" ht="15" hidden="1" customHeight="1">
      <c r="A2803" t="s">
        <v>107</v>
      </c>
      <c r="B2803" t="s">
        <v>110</v>
      </c>
      <c r="C2803">
        <v>46</v>
      </c>
      <c r="D2803">
        <v>11</v>
      </c>
      <c r="E2803">
        <v>2</v>
      </c>
      <c r="F2803">
        <v>4</v>
      </c>
      <c r="G2803" t="s">
        <v>123</v>
      </c>
      <c r="H2803" t="str">
        <f>IFERROR(ROUND(COUNTIFS(Tasks!$A:$A,$A2803,Tasks!$B:$B,$B2803,Tasks!$C:$C,$G2803,Tasks!$I:$I,"&lt;="&amp;INDEX(Weeks!$D:$D,MATCH($C2803,Weeks!$A:$A,0)),Tasks!$I:$I,"&lt;&gt;")/COUNTIFS(Tasks!$A:$A,$A2803,Tasks!$B:$B,$B2803,Tasks!$C:$C,$G2803)*100,0),"")</f>
        <v/>
      </c>
    </row>
    <row r="2804" spans="1:8" ht="15" hidden="1" customHeight="1">
      <c r="A2804" t="s">
        <v>107</v>
      </c>
      <c r="B2804" t="s">
        <v>110</v>
      </c>
      <c r="C2804">
        <v>47</v>
      </c>
      <c r="D2804">
        <v>11</v>
      </c>
      <c r="E2804">
        <v>3</v>
      </c>
      <c r="F2804">
        <v>4</v>
      </c>
      <c r="G2804" t="s">
        <v>123</v>
      </c>
      <c r="H2804" t="str">
        <f>IFERROR(ROUND(COUNTIFS(Tasks!$A:$A,$A2804,Tasks!$B:$B,$B2804,Tasks!$C:$C,$G2804,Tasks!$I:$I,"&lt;="&amp;INDEX(Weeks!$D:$D,MATCH($C2804,Weeks!$A:$A,0)),Tasks!$I:$I,"&lt;&gt;")/COUNTIFS(Tasks!$A:$A,$A2804,Tasks!$B:$B,$B2804,Tasks!$C:$C,$G2804)*100,0),"")</f>
        <v/>
      </c>
    </row>
    <row r="2805" spans="1:8" ht="15" hidden="1" customHeight="1">
      <c r="A2805" t="s">
        <v>107</v>
      </c>
      <c r="B2805" t="s">
        <v>110</v>
      </c>
      <c r="C2805">
        <v>48</v>
      </c>
      <c r="D2805">
        <v>11</v>
      </c>
      <c r="E2805">
        <v>4</v>
      </c>
      <c r="F2805">
        <v>4</v>
      </c>
      <c r="G2805" t="s">
        <v>123</v>
      </c>
      <c r="H2805" t="str">
        <f>IFERROR(ROUND(COUNTIFS(Tasks!$A:$A,$A2805,Tasks!$B:$B,$B2805,Tasks!$C:$C,$G2805,Tasks!$I:$I,"&lt;="&amp;INDEX(Weeks!$D:$D,MATCH($C2805,Weeks!$A:$A,0)),Tasks!$I:$I,"&lt;&gt;")/COUNTIFS(Tasks!$A:$A,$A2805,Tasks!$B:$B,$B2805,Tasks!$C:$C,$G2805)*100,0),"")</f>
        <v/>
      </c>
    </row>
    <row r="2806" spans="1:8" ht="15" hidden="1" customHeight="1">
      <c r="A2806" t="s">
        <v>107</v>
      </c>
      <c r="B2806" t="s">
        <v>110</v>
      </c>
      <c r="C2806">
        <v>49</v>
      </c>
      <c r="D2806">
        <v>12</v>
      </c>
      <c r="E2806">
        <v>1</v>
      </c>
      <c r="F2806">
        <v>4</v>
      </c>
      <c r="G2806" t="s">
        <v>123</v>
      </c>
      <c r="H2806" t="str">
        <f>IFERROR(ROUND(COUNTIFS(Tasks!$A:$A,$A2806,Tasks!$B:$B,$B2806,Tasks!$C:$C,$G2806,Tasks!$I:$I,"&lt;="&amp;INDEX(Weeks!$D:$D,MATCH($C2806,Weeks!$A:$A,0)),Tasks!$I:$I,"&lt;&gt;")/COUNTIFS(Tasks!$A:$A,$A2806,Tasks!$B:$B,$B2806,Tasks!$C:$C,$G2806)*100,0),"")</f>
        <v/>
      </c>
    </row>
    <row r="2807" spans="1:8" ht="15" hidden="1" customHeight="1">
      <c r="A2807" t="s">
        <v>107</v>
      </c>
      <c r="B2807" t="s">
        <v>110</v>
      </c>
      <c r="C2807">
        <v>50</v>
      </c>
      <c r="D2807">
        <v>12</v>
      </c>
      <c r="E2807">
        <v>2</v>
      </c>
      <c r="F2807">
        <v>4</v>
      </c>
      <c r="G2807" t="s">
        <v>123</v>
      </c>
      <c r="H2807" t="str">
        <f>IFERROR(ROUND(COUNTIFS(Tasks!$A:$A,$A2807,Tasks!$B:$B,$B2807,Tasks!$C:$C,$G2807,Tasks!$I:$I,"&lt;="&amp;INDEX(Weeks!$D:$D,MATCH($C2807,Weeks!$A:$A,0)),Tasks!$I:$I,"&lt;&gt;")/COUNTIFS(Tasks!$A:$A,$A2807,Tasks!$B:$B,$B2807,Tasks!$C:$C,$G2807)*100,0),"")</f>
        <v/>
      </c>
    </row>
    <row r="2808" spans="1:8" ht="15" hidden="1" customHeight="1">
      <c r="A2808" t="s">
        <v>107</v>
      </c>
      <c r="B2808" t="s">
        <v>110</v>
      </c>
      <c r="C2808">
        <v>51</v>
      </c>
      <c r="D2808">
        <v>12</v>
      </c>
      <c r="E2808">
        <v>3</v>
      </c>
      <c r="F2808">
        <v>4</v>
      </c>
      <c r="G2808" t="s">
        <v>123</v>
      </c>
      <c r="H2808" t="str">
        <f>IFERROR(ROUND(COUNTIFS(Tasks!$A:$A,$A2808,Tasks!$B:$B,$B2808,Tasks!$C:$C,$G2808,Tasks!$I:$I,"&lt;="&amp;INDEX(Weeks!$D:$D,MATCH($C2808,Weeks!$A:$A,0)),Tasks!$I:$I,"&lt;&gt;")/COUNTIFS(Tasks!$A:$A,$A2808,Tasks!$B:$B,$B2808,Tasks!$C:$C,$G2808)*100,0),"")</f>
        <v/>
      </c>
    </row>
    <row r="2809" spans="1:8" ht="15" hidden="1" customHeight="1">
      <c r="A2809" t="s">
        <v>107</v>
      </c>
      <c r="B2809" t="s">
        <v>110</v>
      </c>
      <c r="C2809">
        <v>52</v>
      </c>
      <c r="D2809">
        <v>12</v>
      </c>
      <c r="E2809">
        <v>4</v>
      </c>
      <c r="F2809">
        <v>4</v>
      </c>
      <c r="G2809" t="s">
        <v>123</v>
      </c>
      <c r="H2809" t="str">
        <f>IFERROR(ROUND(COUNTIFS(Tasks!$A:$A,$A2809,Tasks!$B:$B,$B2809,Tasks!$C:$C,$G2809,Tasks!$I:$I,"&lt;="&amp;INDEX(Weeks!$D:$D,MATCH($C2809,Weeks!$A:$A,0)),Tasks!$I:$I,"&lt;&gt;")/COUNTIFS(Tasks!$A:$A,$A2809,Tasks!$B:$B,$B2809,Tasks!$C:$C,$G2809)*100,0),"")</f>
        <v/>
      </c>
    </row>
    <row r="2810" spans="1:8" ht="15" hidden="1" customHeight="1">
      <c r="A2810" t="s">
        <v>107</v>
      </c>
      <c r="B2810" t="s">
        <v>111</v>
      </c>
      <c r="C2810">
        <v>1</v>
      </c>
      <c r="D2810">
        <v>1</v>
      </c>
      <c r="E2810">
        <v>1</v>
      </c>
      <c r="F2810">
        <v>1</v>
      </c>
      <c r="G2810" t="s">
        <v>120</v>
      </c>
      <c r="H2810" t="str">
        <f>IFERROR(ROUND(COUNTIFS(Tasks!$A:$A,$A2810,Tasks!$B:$B,$B2810,Tasks!$C:$C,$G2810,Tasks!$I:$I,"&lt;="&amp;INDEX(Weeks!$D:$D,MATCH($C2810,Weeks!$A:$A,0)),Tasks!$I:$I,"&lt;&gt;")/COUNTIFS(Tasks!$A:$A,$A2810,Tasks!$B:$B,$B2810,Tasks!$C:$C,$G2810)*100,0),"")</f>
        <v/>
      </c>
    </row>
    <row r="2811" spans="1:8" ht="15" hidden="1" customHeight="1">
      <c r="A2811" t="s">
        <v>107</v>
      </c>
      <c r="B2811" t="s">
        <v>111</v>
      </c>
      <c r="C2811">
        <v>2</v>
      </c>
      <c r="D2811">
        <v>1</v>
      </c>
      <c r="E2811">
        <v>2</v>
      </c>
      <c r="F2811">
        <v>1</v>
      </c>
      <c r="G2811" t="s">
        <v>120</v>
      </c>
      <c r="H2811" t="str">
        <f>IFERROR(ROUND(COUNTIFS(Tasks!$A:$A,$A2811,Tasks!$B:$B,$B2811,Tasks!$C:$C,$G2811,Tasks!$I:$I,"&lt;="&amp;INDEX(Weeks!$D:$D,MATCH($C2811,Weeks!$A:$A,0)),Tasks!$I:$I,"&lt;&gt;")/COUNTIFS(Tasks!$A:$A,$A2811,Tasks!$B:$B,$B2811,Tasks!$C:$C,$G2811)*100,0),"")</f>
        <v/>
      </c>
    </row>
    <row r="2812" spans="1:8" ht="15" hidden="1" customHeight="1">
      <c r="A2812" t="s">
        <v>107</v>
      </c>
      <c r="B2812" t="s">
        <v>111</v>
      </c>
      <c r="C2812">
        <v>3</v>
      </c>
      <c r="D2812">
        <v>1</v>
      </c>
      <c r="E2812">
        <v>3</v>
      </c>
      <c r="F2812">
        <v>1</v>
      </c>
      <c r="G2812" t="s">
        <v>120</v>
      </c>
      <c r="H2812" t="str">
        <f>IFERROR(ROUND(COUNTIFS(Tasks!$A:$A,$A2812,Tasks!$B:$B,$B2812,Tasks!$C:$C,$G2812,Tasks!$I:$I,"&lt;="&amp;INDEX(Weeks!$D:$D,MATCH($C2812,Weeks!$A:$A,0)),Tasks!$I:$I,"&lt;&gt;")/COUNTIFS(Tasks!$A:$A,$A2812,Tasks!$B:$B,$B2812,Tasks!$C:$C,$G2812)*100,0),"")</f>
        <v/>
      </c>
    </row>
    <row r="2813" spans="1:8" ht="15" hidden="1" customHeight="1">
      <c r="A2813" t="s">
        <v>107</v>
      </c>
      <c r="B2813" t="s">
        <v>111</v>
      </c>
      <c r="C2813">
        <v>4</v>
      </c>
      <c r="D2813">
        <v>1</v>
      </c>
      <c r="E2813">
        <v>4</v>
      </c>
      <c r="F2813">
        <v>1</v>
      </c>
      <c r="G2813" t="s">
        <v>120</v>
      </c>
      <c r="H2813" t="str">
        <f>IFERROR(ROUND(COUNTIFS(Tasks!$A:$A,$A2813,Tasks!$B:$B,$B2813,Tasks!$C:$C,$G2813,Tasks!$I:$I,"&lt;="&amp;INDEX(Weeks!$D:$D,MATCH($C2813,Weeks!$A:$A,0)),Tasks!$I:$I,"&lt;&gt;")/COUNTIFS(Tasks!$A:$A,$A2813,Tasks!$B:$B,$B2813,Tasks!$C:$C,$G2813)*100,0),"")</f>
        <v/>
      </c>
    </row>
    <row r="2814" spans="1:8" ht="15" hidden="1" customHeight="1">
      <c r="A2814" t="s">
        <v>107</v>
      </c>
      <c r="B2814" t="s">
        <v>111</v>
      </c>
      <c r="C2814">
        <v>5</v>
      </c>
      <c r="D2814">
        <v>1</v>
      </c>
      <c r="E2814">
        <v>5</v>
      </c>
      <c r="F2814">
        <v>1</v>
      </c>
      <c r="G2814" t="s">
        <v>120</v>
      </c>
      <c r="H2814" t="str">
        <f>IFERROR(ROUND(COUNTIFS(Tasks!$A:$A,$A2814,Tasks!$B:$B,$B2814,Tasks!$C:$C,$G2814,Tasks!$I:$I,"&lt;="&amp;INDEX(Weeks!$D:$D,MATCH($C2814,Weeks!$A:$A,0)),Tasks!$I:$I,"&lt;&gt;")/COUNTIFS(Tasks!$A:$A,$A2814,Tasks!$B:$B,$B2814,Tasks!$C:$C,$G2814)*100,0),"")</f>
        <v/>
      </c>
    </row>
    <row r="2815" spans="1:8" ht="15" hidden="1" customHeight="1">
      <c r="A2815" t="s">
        <v>107</v>
      </c>
      <c r="B2815" t="s">
        <v>111</v>
      </c>
      <c r="C2815">
        <v>6</v>
      </c>
      <c r="D2815">
        <v>2</v>
      </c>
      <c r="E2815">
        <v>1</v>
      </c>
      <c r="F2815">
        <v>1</v>
      </c>
      <c r="G2815" t="s">
        <v>120</v>
      </c>
      <c r="H2815" t="str">
        <f>IFERROR(ROUND(COUNTIFS(Tasks!$A:$A,$A2815,Tasks!$B:$B,$B2815,Tasks!$C:$C,$G2815,Tasks!$I:$I,"&lt;="&amp;INDEX(Weeks!$D:$D,MATCH($C2815,Weeks!$A:$A,0)),Tasks!$I:$I,"&lt;&gt;")/COUNTIFS(Tasks!$A:$A,$A2815,Tasks!$B:$B,$B2815,Tasks!$C:$C,$G2815)*100,0),"")</f>
        <v/>
      </c>
    </row>
    <row r="2816" spans="1:8" ht="15" hidden="1" customHeight="1">
      <c r="A2816" t="s">
        <v>107</v>
      </c>
      <c r="B2816" t="s">
        <v>111</v>
      </c>
      <c r="C2816">
        <v>7</v>
      </c>
      <c r="D2816">
        <v>2</v>
      </c>
      <c r="E2816">
        <v>2</v>
      </c>
      <c r="F2816">
        <v>1</v>
      </c>
      <c r="G2816" t="s">
        <v>120</v>
      </c>
      <c r="H2816" t="str">
        <f>IFERROR(ROUND(COUNTIFS(Tasks!$A:$A,$A2816,Tasks!$B:$B,$B2816,Tasks!$C:$C,$G2816,Tasks!$I:$I,"&lt;="&amp;INDEX(Weeks!$D:$D,MATCH($C2816,Weeks!$A:$A,0)),Tasks!$I:$I,"&lt;&gt;")/COUNTIFS(Tasks!$A:$A,$A2816,Tasks!$B:$B,$B2816,Tasks!$C:$C,$G2816)*100,0),"")</f>
        <v/>
      </c>
    </row>
    <row r="2817" spans="1:8" ht="15" hidden="1" customHeight="1">
      <c r="A2817" t="s">
        <v>107</v>
      </c>
      <c r="B2817" t="s">
        <v>111</v>
      </c>
      <c r="C2817">
        <v>8</v>
      </c>
      <c r="D2817">
        <v>2</v>
      </c>
      <c r="E2817">
        <v>3</v>
      </c>
      <c r="F2817">
        <v>1</v>
      </c>
      <c r="G2817" t="s">
        <v>120</v>
      </c>
      <c r="H2817" t="str">
        <f>IFERROR(ROUND(COUNTIFS(Tasks!$A:$A,$A2817,Tasks!$B:$B,$B2817,Tasks!$C:$C,$G2817,Tasks!$I:$I,"&lt;="&amp;INDEX(Weeks!$D:$D,MATCH($C2817,Weeks!$A:$A,0)),Tasks!$I:$I,"&lt;&gt;")/COUNTIFS(Tasks!$A:$A,$A2817,Tasks!$B:$B,$B2817,Tasks!$C:$C,$G2817)*100,0),"")</f>
        <v/>
      </c>
    </row>
    <row r="2818" spans="1:8" ht="15" hidden="1" customHeight="1">
      <c r="A2818" t="s">
        <v>107</v>
      </c>
      <c r="B2818" t="s">
        <v>111</v>
      </c>
      <c r="C2818">
        <v>9</v>
      </c>
      <c r="D2818">
        <v>2</v>
      </c>
      <c r="E2818">
        <v>4</v>
      </c>
      <c r="F2818">
        <v>1</v>
      </c>
      <c r="G2818" t="s">
        <v>120</v>
      </c>
      <c r="H2818" t="str">
        <f>IFERROR(ROUND(COUNTIFS(Tasks!$A:$A,$A2818,Tasks!$B:$B,$B2818,Tasks!$C:$C,$G2818,Tasks!$I:$I,"&lt;="&amp;INDEX(Weeks!$D:$D,MATCH($C2818,Weeks!$A:$A,0)),Tasks!$I:$I,"&lt;&gt;")/COUNTIFS(Tasks!$A:$A,$A2818,Tasks!$B:$B,$B2818,Tasks!$C:$C,$G2818)*100,0),"")</f>
        <v/>
      </c>
    </row>
    <row r="2819" spans="1:8" ht="15" hidden="1" customHeight="1">
      <c r="A2819" t="s">
        <v>107</v>
      </c>
      <c r="B2819" t="s">
        <v>111</v>
      </c>
      <c r="C2819">
        <v>10</v>
      </c>
      <c r="D2819">
        <v>3</v>
      </c>
      <c r="E2819">
        <v>1</v>
      </c>
      <c r="F2819">
        <v>1</v>
      </c>
      <c r="G2819" t="s">
        <v>120</v>
      </c>
      <c r="H2819" t="str">
        <f>IFERROR(ROUND(COUNTIFS(Tasks!$A:$A,$A2819,Tasks!$B:$B,$B2819,Tasks!$C:$C,$G2819,Tasks!$I:$I,"&lt;="&amp;INDEX(Weeks!$D:$D,MATCH($C2819,Weeks!$A:$A,0)),Tasks!$I:$I,"&lt;&gt;")/COUNTIFS(Tasks!$A:$A,$A2819,Tasks!$B:$B,$B2819,Tasks!$C:$C,$G2819)*100,0),"")</f>
        <v/>
      </c>
    </row>
    <row r="2820" spans="1:8" ht="15" hidden="1" customHeight="1">
      <c r="A2820" t="s">
        <v>107</v>
      </c>
      <c r="B2820" t="s">
        <v>111</v>
      </c>
      <c r="C2820">
        <v>11</v>
      </c>
      <c r="D2820">
        <v>3</v>
      </c>
      <c r="E2820">
        <v>2</v>
      </c>
      <c r="F2820">
        <v>1</v>
      </c>
      <c r="G2820" t="s">
        <v>120</v>
      </c>
      <c r="H2820" t="str">
        <f>IFERROR(ROUND(COUNTIFS(Tasks!$A:$A,$A2820,Tasks!$B:$B,$B2820,Tasks!$C:$C,$G2820,Tasks!$I:$I,"&lt;="&amp;INDEX(Weeks!$D:$D,MATCH($C2820,Weeks!$A:$A,0)),Tasks!$I:$I,"&lt;&gt;")/COUNTIFS(Tasks!$A:$A,$A2820,Tasks!$B:$B,$B2820,Tasks!$C:$C,$G2820)*100,0),"")</f>
        <v/>
      </c>
    </row>
    <row r="2821" spans="1:8" ht="15" hidden="1" customHeight="1">
      <c r="A2821" t="s">
        <v>107</v>
      </c>
      <c r="B2821" t="s">
        <v>111</v>
      </c>
      <c r="C2821">
        <v>12</v>
      </c>
      <c r="D2821">
        <v>3</v>
      </c>
      <c r="E2821">
        <v>3</v>
      </c>
      <c r="F2821">
        <v>1</v>
      </c>
      <c r="G2821" t="s">
        <v>120</v>
      </c>
      <c r="H2821" t="str">
        <f>IFERROR(ROUND(COUNTIFS(Tasks!$A:$A,$A2821,Tasks!$B:$B,$B2821,Tasks!$C:$C,$G2821,Tasks!$I:$I,"&lt;="&amp;INDEX(Weeks!$D:$D,MATCH($C2821,Weeks!$A:$A,0)),Tasks!$I:$I,"&lt;&gt;")/COUNTIFS(Tasks!$A:$A,$A2821,Tasks!$B:$B,$B2821,Tasks!$C:$C,$G2821)*100,0),"")</f>
        <v/>
      </c>
    </row>
    <row r="2822" spans="1:8" ht="15" hidden="1" customHeight="1">
      <c r="A2822" t="s">
        <v>107</v>
      </c>
      <c r="B2822" t="s">
        <v>111</v>
      </c>
      <c r="C2822">
        <v>13</v>
      </c>
      <c r="D2822">
        <v>3</v>
      </c>
      <c r="E2822">
        <v>4</v>
      </c>
      <c r="F2822">
        <v>1</v>
      </c>
      <c r="G2822" t="s">
        <v>120</v>
      </c>
      <c r="H2822" t="str">
        <f>IFERROR(ROUND(COUNTIFS(Tasks!$A:$A,$A2822,Tasks!$B:$B,$B2822,Tasks!$C:$C,$G2822,Tasks!$I:$I,"&lt;="&amp;INDEX(Weeks!$D:$D,MATCH($C2822,Weeks!$A:$A,0)),Tasks!$I:$I,"&lt;&gt;")/COUNTIFS(Tasks!$A:$A,$A2822,Tasks!$B:$B,$B2822,Tasks!$C:$C,$G2822)*100,0),"")</f>
        <v/>
      </c>
    </row>
    <row r="2823" spans="1:8" ht="15" hidden="1" customHeight="1">
      <c r="A2823" t="s">
        <v>107</v>
      </c>
      <c r="B2823" t="s">
        <v>111</v>
      </c>
      <c r="C2823">
        <v>14</v>
      </c>
      <c r="D2823">
        <v>4</v>
      </c>
      <c r="E2823">
        <v>1</v>
      </c>
      <c r="F2823">
        <v>1</v>
      </c>
      <c r="G2823" t="s">
        <v>120</v>
      </c>
      <c r="H2823" t="str">
        <f>IFERROR(ROUND(COUNTIFS(Tasks!$A:$A,$A2823,Tasks!$B:$B,$B2823,Tasks!$C:$C,$G2823,Tasks!$I:$I,"&lt;="&amp;INDEX(Weeks!$D:$D,MATCH($C2823,Weeks!$A:$A,0)),Tasks!$I:$I,"&lt;&gt;")/COUNTIFS(Tasks!$A:$A,$A2823,Tasks!$B:$B,$B2823,Tasks!$C:$C,$G2823)*100,0),"")</f>
        <v/>
      </c>
    </row>
    <row r="2824" spans="1:8" ht="15" hidden="1" customHeight="1">
      <c r="A2824" t="s">
        <v>107</v>
      </c>
      <c r="B2824" t="s">
        <v>111</v>
      </c>
      <c r="C2824">
        <v>15</v>
      </c>
      <c r="D2824">
        <v>4</v>
      </c>
      <c r="E2824">
        <v>2</v>
      </c>
      <c r="F2824">
        <v>1</v>
      </c>
      <c r="G2824" t="s">
        <v>120</v>
      </c>
      <c r="H2824" t="str">
        <f>IFERROR(ROUND(COUNTIFS(Tasks!$A:$A,$A2824,Tasks!$B:$B,$B2824,Tasks!$C:$C,$G2824,Tasks!$I:$I,"&lt;="&amp;INDEX(Weeks!$D:$D,MATCH($C2824,Weeks!$A:$A,0)),Tasks!$I:$I,"&lt;&gt;")/COUNTIFS(Tasks!$A:$A,$A2824,Tasks!$B:$B,$B2824,Tasks!$C:$C,$G2824)*100,0),"")</f>
        <v/>
      </c>
    </row>
    <row r="2825" spans="1:8" ht="15" hidden="1" customHeight="1">
      <c r="A2825" t="s">
        <v>107</v>
      </c>
      <c r="B2825" t="s">
        <v>111</v>
      </c>
      <c r="C2825">
        <v>16</v>
      </c>
      <c r="D2825">
        <v>4</v>
      </c>
      <c r="E2825">
        <v>3</v>
      </c>
      <c r="F2825">
        <v>1</v>
      </c>
      <c r="G2825" t="s">
        <v>120</v>
      </c>
      <c r="H2825" t="str">
        <f>IFERROR(ROUND(COUNTIFS(Tasks!$A:$A,$A2825,Tasks!$B:$B,$B2825,Tasks!$C:$C,$G2825,Tasks!$I:$I,"&lt;="&amp;INDEX(Weeks!$D:$D,MATCH($C2825,Weeks!$A:$A,0)),Tasks!$I:$I,"&lt;&gt;")/COUNTIFS(Tasks!$A:$A,$A2825,Tasks!$B:$B,$B2825,Tasks!$C:$C,$G2825)*100,0),"")</f>
        <v/>
      </c>
    </row>
    <row r="2826" spans="1:8" ht="15" hidden="1" customHeight="1">
      <c r="A2826" t="s">
        <v>107</v>
      </c>
      <c r="B2826" t="s">
        <v>111</v>
      </c>
      <c r="C2826">
        <v>17</v>
      </c>
      <c r="D2826">
        <v>4</v>
      </c>
      <c r="E2826">
        <v>4</v>
      </c>
      <c r="F2826">
        <v>1</v>
      </c>
      <c r="G2826" t="s">
        <v>120</v>
      </c>
      <c r="H2826" t="str">
        <f>IFERROR(ROUND(COUNTIFS(Tasks!$A:$A,$A2826,Tasks!$B:$B,$B2826,Tasks!$C:$C,$G2826,Tasks!$I:$I,"&lt;="&amp;INDEX(Weeks!$D:$D,MATCH($C2826,Weeks!$A:$A,0)),Tasks!$I:$I,"&lt;&gt;")/COUNTIFS(Tasks!$A:$A,$A2826,Tasks!$B:$B,$B2826,Tasks!$C:$C,$G2826)*100,0),"")</f>
        <v/>
      </c>
    </row>
    <row r="2827" spans="1:8" ht="15" hidden="1" customHeight="1">
      <c r="A2827" t="s">
        <v>107</v>
      </c>
      <c r="B2827" t="s">
        <v>111</v>
      </c>
      <c r="C2827">
        <v>18</v>
      </c>
      <c r="D2827">
        <v>5</v>
      </c>
      <c r="E2827">
        <v>1</v>
      </c>
      <c r="F2827">
        <v>1</v>
      </c>
      <c r="G2827" t="s">
        <v>120</v>
      </c>
      <c r="H2827" t="str">
        <f>IFERROR(ROUND(COUNTIFS(Tasks!$A:$A,$A2827,Tasks!$B:$B,$B2827,Tasks!$C:$C,$G2827,Tasks!$I:$I,"&lt;="&amp;INDEX(Weeks!$D:$D,MATCH($C2827,Weeks!$A:$A,0)),Tasks!$I:$I,"&lt;&gt;")/COUNTIFS(Tasks!$A:$A,$A2827,Tasks!$B:$B,$B2827,Tasks!$C:$C,$G2827)*100,0),"")</f>
        <v/>
      </c>
    </row>
    <row r="2828" spans="1:8" ht="15" hidden="1" customHeight="1">
      <c r="A2828" t="s">
        <v>107</v>
      </c>
      <c r="B2828" t="s">
        <v>111</v>
      </c>
      <c r="C2828">
        <v>19</v>
      </c>
      <c r="D2828">
        <v>5</v>
      </c>
      <c r="E2828">
        <v>2</v>
      </c>
      <c r="F2828">
        <v>1</v>
      </c>
      <c r="G2828" t="s">
        <v>120</v>
      </c>
      <c r="H2828" t="str">
        <f>IFERROR(ROUND(COUNTIFS(Tasks!$A:$A,$A2828,Tasks!$B:$B,$B2828,Tasks!$C:$C,$G2828,Tasks!$I:$I,"&lt;="&amp;INDEX(Weeks!$D:$D,MATCH($C2828,Weeks!$A:$A,0)),Tasks!$I:$I,"&lt;&gt;")/COUNTIFS(Tasks!$A:$A,$A2828,Tasks!$B:$B,$B2828,Tasks!$C:$C,$G2828)*100,0),"")</f>
        <v/>
      </c>
    </row>
    <row r="2829" spans="1:8" ht="15" hidden="1" customHeight="1">
      <c r="A2829" t="s">
        <v>107</v>
      </c>
      <c r="B2829" t="s">
        <v>111</v>
      </c>
      <c r="C2829">
        <v>20</v>
      </c>
      <c r="D2829">
        <v>5</v>
      </c>
      <c r="E2829">
        <v>3</v>
      </c>
      <c r="F2829">
        <v>1</v>
      </c>
      <c r="G2829" t="s">
        <v>120</v>
      </c>
      <c r="H2829" t="str">
        <f>IFERROR(ROUND(COUNTIFS(Tasks!$A:$A,$A2829,Tasks!$B:$B,$B2829,Tasks!$C:$C,$G2829,Tasks!$I:$I,"&lt;="&amp;INDEX(Weeks!$D:$D,MATCH($C2829,Weeks!$A:$A,0)),Tasks!$I:$I,"&lt;&gt;")/COUNTIFS(Tasks!$A:$A,$A2829,Tasks!$B:$B,$B2829,Tasks!$C:$C,$G2829)*100,0),"")</f>
        <v/>
      </c>
    </row>
    <row r="2830" spans="1:8" ht="15" hidden="1" customHeight="1">
      <c r="A2830" t="s">
        <v>107</v>
      </c>
      <c r="B2830" t="s">
        <v>111</v>
      </c>
      <c r="C2830">
        <v>21</v>
      </c>
      <c r="D2830">
        <v>5</v>
      </c>
      <c r="E2830">
        <v>4</v>
      </c>
      <c r="F2830">
        <v>1</v>
      </c>
      <c r="G2830" t="s">
        <v>120</v>
      </c>
      <c r="H2830" t="str">
        <f>IFERROR(ROUND(COUNTIFS(Tasks!$A:$A,$A2830,Tasks!$B:$B,$B2830,Tasks!$C:$C,$G2830,Tasks!$I:$I,"&lt;="&amp;INDEX(Weeks!$D:$D,MATCH($C2830,Weeks!$A:$A,0)),Tasks!$I:$I,"&lt;&gt;")/COUNTIFS(Tasks!$A:$A,$A2830,Tasks!$B:$B,$B2830,Tasks!$C:$C,$G2830)*100,0),"")</f>
        <v/>
      </c>
    </row>
    <row r="2831" spans="1:8" ht="15" hidden="1" customHeight="1">
      <c r="A2831" t="s">
        <v>107</v>
      </c>
      <c r="B2831" t="s">
        <v>111</v>
      </c>
      <c r="C2831">
        <v>22</v>
      </c>
      <c r="D2831">
        <v>5</v>
      </c>
      <c r="E2831">
        <v>5</v>
      </c>
      <c r="F2831">
        <v>1</v>
      </c>
      <c r="G2831" t="s">
        <v>120</v>
      </c>
      <c r="H2831" t="str">
        <f>IFERROR(ROUND(COUNTIFS(Tasks!$A:$A,$A2831,Tasks!$B:$B,$B2831,Tasks!$C:$C,$G2831,Tasks!$I:$I,"&lt;="&amp;INDEX(Weeks!$D:$D,MATCH($C2831,Weeks!$A:$A,0)),Tasks!$I:$I,"&lt;&gt;")/COUNTIFS(Tasks!$A:$A,$A2831,Tasks!$B:$B,$B2831,Tasks!$C:$C,$G2831)*100,0),"")</f>
        <v/>
      </c>
    </row>
    <row r="2832" spans="1:8" ht="15" hidden="1" customHeight="1">
      <c r="A2832" t="s">
        <v>107</v>
      </c>
      <c r="B2832" t="s">
        <v>111</v>
      </c>
      <c r="C2832">
        <v>23</v>
      </c>
      <c r="D2832">
        <v>6</v>
      </c>
      <c r="E2832">
        <v>1</v>
      </c>
      <c r="F2832">
        <v>1</v>
      </c>
      <c r="G2832" t="s">
        <v>120</v>
      </c>
      <c r="H2832" t="str">
        <f>IFERROR(ROUND(COUNTIFS(Tasks!$A:$A,$A2832,Tasks!$B:$B,$B2832,Tasks!$C:$C,$G2832,Tasks!$I:$I,"&lt;="&amp;INDEX(Weeks!$D:$D,MATCH($C2832,Weeks!$A:$A,0)),Tasks!$I:$I,"&lt;&gt;")/COUNTIFS(Tasks!$A:$A,$A2832,Tasks!$B:$B,$B2832,Tasks!$C:$C,$G2832)*100,0),"")</f>
        <v/>
      </c>
    </row>
    <row r="2833" spans="1:8" ht="15" hidden="1" customHeight="1">
      <c r="A2833" t="s">
        <v>107</v>
      </c>
      <c r="B2833" t="s">
        <v>111</v>
      </c>
      <c r="C2833">
        <v>24</v>
      </c>
      <c r="D2833">
        <v>6</v>
      </c>
      <c r="E2833">
        <v>2</v>
      </c>
      <c r="F2833">
        <v>1</v>
      </c>
      <c r="G2833" t="s">
        <v>120</v>
      </c>
      <c r="H2833" t="str">
        <f>IFERROR(ROUND(COUNTIFS(Tasks!$A:$A,$A2833,Tasks!$B:$B,$B2833,Tasks!$C:$C,$G2833,Tasks!$I:$I,"&lt;="&amp;INDEX(Weeks!$D:$D,MATCH($C2833,Weeks!$A:$A,0)),Tasks!$I:$I,"&lt;&gt;")/COUNTIFS(Tasks!$A:$A,$A2833,Tasks!$B:$B,$B2833,Tasks!$C:$C,$G2833)*100,0),"")</f>
        <v/>
      </c>
    </row>
    <row r="2834" spans="1:8" ht="15" hidden="1" customHeight="1">
      <c r="A2834" t="s">
        <v>107</v>
      </c>
      <c r="B2834" t="s">
        <v>111</v>
      </c>
      <c r="C2834">
        <v>25</v>
      </c>
      <c r="D2834">
        <v>6</v>
      </c>
      <c r="E2834">
        <v>3</v>
      </c>
      <c r="F2834">
        <v>1</v>
      </c>
      <c r="G2834" t="s">
        <v>120</v>
      </c>
      <c r="H2834" t="str">
        <f>IFERROR(ROUND(COUNTIFS(Tasks!$A:$A,$A2834,Tasks!$B:$B,$B2834,Tasks!$C:$C,$G2834,Tasks!$I:$I,"&lt;="&amp;INDEX(Weeks!$D:$D,MATCH($C2834,Weeks!$A:$A,0)),Tasks!$I:$I,"&lt;&gt;")/COUNTIFS(Tasks!$A:$A,$A2834,Tasks!$B:$B,$B2834,Tasks!$C:$C,$G2834)*100,0),"")</f>
        <v/>
      </c>
    </row>
    <row r="2835" spans="1:8" ht="15" hidden="1" customHeight="1">
      <c r="A2835" t="s">
        <v>107</v>
      </c>
      <c r="B2835" t="s">
        <v>111</v>
      </c>
      <c r="C2835">
        <v>26</v>
      </c>
      <c r="D2835">
        <v>6</v>
      </c>
      <c r="E2835">
        <v>4</v>
      </c>
      <c r="F2835">
        <v>1</v>
      </c>
      <c r="G2835" t="s">
        <v>120</v>
      </c>
      <c r="H2835" t="str">
        <f>IFERROR(ROUND(COUNTIFS(Tasks!$A:$A,$A2835,Tasks!$B:$B,$B2835,Tasks!$C:$C,$G2835,Tasks!$I:$I,"&lt;="&amp;INDEX(Weeks!$D:$D,MATCH($C2835,Weeks!$A:$A,0)),Tasks!$I:$I,"&lt;&gt;")/COUNTIFS(Tasks!$A:$A,$A2835,Tasks!$B:$B,$B2835,Tasks!$C:$C,$G2835)*100,0),"")</f>
        <v/>
      </c>
    </row>
    <row r="2836" spans="1:8" ht="15" hidden="1" customHeight="1">
      <c r="A2836" t="s">
        <v>107</v>
      </c>
      <c r="B2836" t="s">
        <v>111</v>
      </c>
      <c r="C2836">
        <v>27</v>
      </c>
      <c r="D2836">
        <v>7</v>
      </c>
      <c r="E2836">
        <v>1</v>
      </c>
      <c r="F2836">
        <v>1</v>
      </c>
      <c r="G2836" t="s">
        <v>120</v>
      </c>
      <c r="H2836" t="str">
        <f>IFERROR(ROUND(COUNTIFS(Tasks!$A:$A,$A2836,Tasks!$B:$B,$B2836,Tasks!$C:$C,$G2836,Tasks!$I:$I,"&lt;="&amp;INDEX(Weeks!$D:$D,MATCH($C2836,Weeks!$A:$A,0)),Tasks!$I:$I,"&lt;&gt;")/COUNTIFS(Tasks!$A:$A,$A2836,Tasks!$B:$B,$B2836,Tasks!$C:$C,$G2836)*100,0),"")</f>
        <v/>
      </c>
    </row>
    <row r="2837" spans="1:8" ht="15" hidden="1" customHeight="1">
      <c r="A2837" t="s">
        <v>107</v>
      </c>
      <c r="B2837" t="s">
        <v>111</v>
      </c>
      <c r="C2837">
        <v>28</v>
      </c>
      <c r="D2837">
        <v>7</v>
      </c>
      <c r="E2837">
        <v>2</v>
      </c>
      <c r="F2837">
        <v>1</v>
      </c>
      <c r="G2837" t="s">
        <v>120</v>
      </c>
      <c r="H2837" t="str">
        <f>IFERROR(ROUND(COUNTIFS(Tasks!$A:$A,$A2837,Tasks!$B:$B,$B2837,Tasks!$C:$C,$G2837,Tasks!$I:$I,"&lt;="&amp;INDEX(Weeks!$D:$D,MATCH($C2837,Weeks!$A:$A,0)),Tasks!$I:$I,"&lt;&gt;")/COUNTIFS(Tasks!$A:$A,$A2837,Tasks!$B:$B,$B2837,Tasks!$C:$C,$G2837)*100,0),"")</f>
        <v/>
      </c>
    </row>
    <row r="2838" spans="1:8" ht="15" hidden="1" customHeight="1">
      <c r="A2838" t="s">
        <v>107</v>
      </c>
      <c r="B2838" t="s">
        <v>111</v>
      </c>
      <c r="C2838">
        <v>29</v>
      </c>
      <c r="D2838">
        <v>7</v>
      </c>
      <c r="E2838">
        <v>3</v>
      </c>
      <c r="F2838">
        <v>1</v>
      </c>
      <c r="G2838" t="s">
        <v>120</v>
      </c>
      <c r="H2838" t="str">
        <f>IFERROR(ROUND(COUNTIFS(Tasks!$A:$A,$A2838,Tasks!$B:$B,$B2838,Tasks!$C:$C,$G2838,Tasks!$I:$I,"&lt;="&amp;INDEX(Weeks!$D:$D,MATCH($C2838,Weeks!$A:$A,0)),Tasks!$I:$I,"&lt;&gt;")/COUNTIFS(Tasks!$A:$A,$A2838,Tasks!$B:$B,$B2838,Tasks!$C:$C,$G2838)*100,0),"")</f>
        <v/>
      </c>
    </row>
    <row r="2839" spans="1:8" ht="15" hidden="1" customHeight="1">
      <c r="A2839" t="s">
        <v>107</v>
      </c>
      <c r="B2839" t="s">
        <v>111</v>
      </c>
      <c r="C2839">
        <v>30</v>
      </c>
      <c r="D2839">
        <v>7</v>
      </c>
      <c r="E2839">
        <v>4</v>
      </c>
      <c r="F2839">
        <v>1</v>
      </c>
      <c r="G2839" t="s">
        <v>120</v>
      </c>
      <c r="H2839" t="str">
        <f>IFERROR(ROUND(COUNTIFS(Tasks!$A:$A,$A2839,Tasks!$B:$B,$B2839,Tasks!$C:$C,$G2839,Tasks!$I:$I,"&lt;="&amp;INDEX(Weeks!$D:$D,MATCH($C2839,Weeks!$A:$A,0)),Tasks!$I:$I,"&lt;&gt;")/COUNTIFS(Tasks!$A:$A,$A2839,Tasks!$B:$B,$B2839,Tasks!$C:$C,$G2839)*100,0),"")</f>
        <v/>
      </c>
    </row>
    <row r="2840" spans="1:8" ht="15" hidden="1" customHeight="1">
      <c r="A2840" t="s">
        <v>107</v>
      </c>
      <c r="B2840" t="s">
        <v>111</v>
      </c>
      <c r="C2840">
        <v>31</v>
      </c>
      <c r="D2840">
        <v>8</v>
      </c>
      <c r="E2840">
        <v>1</v>
      </c>
      <c r="F2840">
        <v>1</v>
      </c>
      <c r="G2840" t="s">
        <v>120</v>
      </c>
      <c r="H2840" t="str">
        <f>IFERROR(ROUND(COUNTIFS(Tasks!$A:$A,$A2840,Tasks!$B:$B,$B2840,Tasks!$C:$C,$G2840,Tasks!$I:$I,"&lt;="&amp;INDEX(Weeks!$D:$D,MATCH($C2840,Weeks!$A:$A,0)),Tasks!$I:$I,"&lt;&gt;")/COUNTIFS(Tasks!$A:$A,$A2840,Tasks!$B:$B,$B2840,Tasks!$C:$C,$G2840)*100,0),"")</f>
        <v/>
      </c>
    </row>
    <row r="2841" spans="1:8" ht="15" hidden="1" customHeight="1">
      <c r="A2841" t="s">
        <v>107</v>
      </c>
      <c r="B2841" t="s">
        <v>111</v>
      </c>
      <c r="C2841">
        <v>32</v>
      </c>
      <c r="D2841">
        <v>8</v>
      </c>
      <c r="E2841">
        <v>2</v>
      </c>
      <c r="F2841">
        <v>1</v>
      </c>
      <c r="G2841" t="s">
        <v>120</v>
      </c>
      <c r="H2841" t="str">
        <f>IFERROR(ROUND(COUNTIFS(Tasks!$A:$A,$A2841,Tasks!$B:$B,$B2841,Tasks!$C:$C,$G2841,Tasks!$I:$I,"&lt;="&amp;INDEX(Weeks!$D:$D,MATCH($C2841,Weeks!$A:$A,0)),Tasks!$I:$I,"&lt;&gt;")/COUNTIFS(Tasks!$A:$A,$A2841,Tasks!$B:$B,$B2841,Tasks!$C:$C,$G2841)*100,0),"")</f>
        <v/>
      </c>
    </row>
    <row r="2842" spans="1:8" ht="15" hidden="1" customHeight="1">
      <c r="A2842" t="s">
        <v>107</v>
      </c>
      <c r="B2842" t="s">
        <v>111</v>
      </c>
      <c r="C2842">
        <v>33</v>
      </c>
      <c r="D2842">
        <v>8</v>
      </c>
      <c r="E2842">
        <v>3</v>
      </c>
      <c r="F2842">
        <v>1</v>
      </c>
      <c r="G2842" t="s">
        <v>120</v>
      </c>
      <c r="H2842" t="str">
        <f>IFERROR(ROUND(COUNTIFS(Tasks!$A:$A,$A2842,Tasks!$B:$B,$B2842,Tasks!$C:$C,$G2842,Tasks!$I:$I,"&lt;="&amp;INDEX(Weeks!$D:$D,MATCH($C2842,Weeks!$A:$A,0)),Tasks!$I:$I,"&lt;&gt;")/COUNTIFS(Tasks!$A:$A,$A2842,Tasks!$B:$B,$B2842,Tasks!$C:$C,$G2842)*100,0),"")</f>
        <v/>
      </c>
    </row>
    <row r="2843" spans="1:8" ht="15" hidden="1" customHeight="1">
      <c r="A2843" t="s">
        <v>107</v>
      </c>
      <c r="B2843" t="s">
        <v>111</v>
      </c>
      <c r="C2843">
        <v>34</v>
      </c>
      <c r="D2843">
        <v>8</v>
      </c>
      <c r="E2843">
        <v>4</v>
      </c>
      <c r="F2843">
        <v>1</v>
      </c>
      <c r="G2843" t="s">
        <v>120</v>
      </c>
      <c r="H2843" t="str">
        <f>IFERROR(ROUND(COUNTIFS(Tasks!$A:$A,$A2843,Tasks!$B:$B,$B2843,Tasks!$C:$C,$G2843,Tasks!$I:$I,"&lt;="&amp;INDEX(Weeks!$D:$D,MATCH($C2843,Weeks!$A:$A,0)),Tasks!$I:$I,"&lt;&gt;")/COUNTIFS(Tasks!$A:$A,$A2843,Tasks!$B:$B,$B2843,Tasks!$C:$C,$G2843)*100,0),"")</f>
        <v/>
      </c>
    </row>
    <row r="2844" spans="1:8" ht="15" hidden="1" customHeight="1">
      <c r="A2844" t="s">
        <v>107</v>
      </c>
      <c r="B2844" t="s">
        <v>111</v>
      </c>
      <c r="C2844">
        <v>35</v>
      </c>
      <c r="D2844">
        <v>8</v>
      </c>
      <c r="E2844">
        <v>5</v>
      </c>
      <c r="F2844">
        <v>1</v>
      </c>
      <c r="G2844" t="s">
        <v>120</v>
      </c>
      <c r="H2844" t="str">
        <f>IFERROR(ROUND(COUNTIFS(Tasks!$A:$A,$A2844,Tasks!$B:$B,$B2844,Tasks!$C:$C,$G2844,Tasks!$I:$I,"&lt;="&amp;INDEX(Weeks!$D:$D,MATCH($C2844,Weeks!$A:$A,0)),Tasks!$I:$I,"&lt;&gt;")/COUNTIFS(Tasks!$A:$A,$A2844,Tasks!$B:$B,$B2844,Tasks!$C:$C,$G2844)*100,0),"")</f>
        <v/>
      </c>
    </row>
    <row r="2845" spans="1:8" ht="15" hidden="1" customHeight="1">
      <c r="A2845" t="s">
        <v>107</v>
      </c>
      <c r="B2845" t="s">
        <v>111</v>
      </c>
      <c r="C2845">
        <v>36</v>
      </c>
      <c r="D2845">
        <v>9</v>
      </c>
      <c r="E2845">
        <v>1</v>
      </c>
      <c r="F2845">
        <v>1</v>
      </c>
      <c r="G2845" t="s">
        <v>120</v>
      </c>
      <c r="H2845" t="str">
        <f>IFERROR(ROUND(COUNTIFS(Tasks!$A:$A,$A2845,Tasks!$B:$B,$B2845,Tasks!$C:$C,$G2845,Tasks!$I:$I,"&lt;="&amp;INDEX(Weeks!$D:$D,MATCH($C2845,Weeks!$A:$A,0)),Tasks!$I:$I,"&lt;&gt;")/COUNTIFS(Tasks!$A:$A,$A2845,Tasks!$B:$B,$B2845,Tasks!$C:$C,$G2845)*100,0),"")</f>
        <v/>
      </c>
    </row>
    <row r="2846" spans="1:8" ht="15" hidden="1" customHeight="1">
      <c r="A2846" t="s">
        <v>107</v>
      </c>
      <c r="B2846" t="s">
        <v>111</v>
      </c>
      <c r="C2846">
        <v>37</v>
      </c>
      <c r="D2846">
        <v>9</v>
      </c>
      <c r="E2846">
        <v>2</v>
      </c>
      <c r="F2846">
        <v>1</v>
      </c>
      <c r="G2846" t="s">
        <v>120</v>
      </c>
      <c r="H2846" t="str">
        <f>IFERROR(ROUND(COUNTIFS(Tasks!$A:$A,$A2846,Tasks!$B:$B,$B2846,Tasks!$C:$C,$G2846,Tasks!$I:$I,"&lt;="&amp;INDEX(Weeks!$D:$D,MATCH($C2846,Weeks!$A:$A,0)),Tasks!$I:$I,"&lt;&gt;")/COUNTIFS(Tasks!$A:$A,$A2846,Tasks!$B:$B,$B2846,Tasks!$C:$C,$G2846)*100,0),"")</f>
        <v/>
      </c>
    </row>
    <row r="2847" spans="1:8" ht="15" hidden="1" customHeight="1">
      <c r="A2847" t="s">
        <v>107</v>
      </c>
      <c r="B2847" t="s">
        <v>111</v>
      </c>
      <c r="C2847">
        <v>38</v>
      </c>
      <c r="D2847">
        <v>9</v>
      </c>
      <c r="E2847">
        <v>3</v>
      </c>
      <c r="F2847">
        <v>1</v>
      </c>
      <c r="G2847" t="s">
        <v>120</v>
      </c>
      <c r="H2847" t="str">
        <f>IFERROR(ROUND(COUNTIFS(Tasks!$A:$A,$A2847,Tasks!$B:$B,$B2847,Tasks!$C:$C,$G2847,Tasks!$I:$I,"&lt;="&amp;INDEX(Weeks!$D:$D,MATCH($C2847,Weeks!$A:$A,0)),Tasks!$I:$I,"&lt;&gt;")/COUNTIFS(Tasks!$A:$A,$A2847,Tasks!$B:$B,$B2847,Tasks!$C:$C,$G2847)*100,0),"")</f>
        <v/>
      </c>
    </row>
    <row r="2848" spans="1:8" ht="15" hidden="1" customHeight="1">
      <c r="A2848" t="s">
        <v>107</v>
      </c>
      <c r="B2848" t="s">
        <v>111</v>
      </c>
      <c r="C2848">
        <v>39</v>
      </c>
      <c r="D2848">
        <v>9</v>
      </c>
      <c r="E2848">
        <v>4</v>
      </c>
      <c r="F2848">
        <v>1</v>
      </c>
      <c r="G2848" t="s">
        <v>120</v>
      </c>
      <c r="H2848" t="str">
        <f>IFERROR(ROUND(COUNTIFS(Tasks!$A:$A,$A2848,Tasks!$B:$B,$B2848,Tasks!$C:$C,$G2848,Tasks!$I:$I,"&lt;="&amp;INDEX(Weeks!$D:$D,MATCH($C2848,Weeks!$A:$A,0)),Tasks!$I:$I,"&lt;&gt;")/COUNTIFS(Tasks!$A:$A,$A2848,Tasks!$B:$B,$B2848,Tasks!$C:$C,$G2848)*100,0),"")</f>
        <v/>
      </c>
    </row>
    <row r="2849" spans="1:8" ht="15" hidden="1" customHeight="1">
      <c r="A2849" t="s">
        <v>107</v>
      </c>
      <c r="B2849" t="s">
        <v>111</v>
      </c>
      <c r="C2849">
        <v>40</v>
      </c>
      <c r="D2849">
        <v>10</v>
      </c>
      <c r="E2849">
        <v>1</v>
      </c>
      <c r="F2849">
        <v>1</v>
      </c>
      <c r="G2849" t="s">
        <v>120</v>
      </c>
      <c r="H2849" t="str">
        <f>IFERROR(ROUND(COUNTIFS(Tasks!$A:$A,$A2849,Tasks!$B:$B,$B2849,Tasks!$C:$C,$G2849,Tasks!$I:$I,"&lt;="&amp;INDEX(Weeks!$D:$D,MATCH($C2849,Weeks!$A:$A,0)),Tasks!$I:$I,"&lt;&gt;")/COUNTIFS(Tasks!$A:$A,$A2849,Tasks!$B:$B,$B2849,Tasks!$C:$C,$G2849)*100,0),"")</f>
        <v/>
      </c>
    </row>
    <row r="2850" spans="1:8" ht="15" hidden="1" customHeight="1">
      <c r="A2850" t="s">
        <v>107</v>
      </c>
      <c r="B2850" t="s">
        <v>111</v>
      </c>
      <c r="C2850">
        <v>41</v>
      </c>
      <c r="D2850">
        <v>10</v>
      </c>
      <c r="E2850">
        <v>2</v>
      </c>
      <c r="F2850">
        <v>1</v>
      </c>
      <c r="G2850" t="s">
        <v>120</v>
      </c>
      <c r="H2850" t="str">
        <f>IFERROR(ROUND(COUNTIFS(Tasks!$A:$A,$A2850,Tasks!$B:$B,$B2850,Tasks!$C:$C,$G2850,Tasks!$I:$I,"&lt;="&amp;INDEX(Weeks!$D:$D,MATCH($C2850,Weeks!$A:$A,0)),Tasks!$I:$I,"&lt;&gt;")/COUNTIFS(Tasks!$A:$A,$A2850,Tasks!$B:$B,$B2850,Tasks!$C:$C,$G2850)*100,0),"")</f>
        <v/>
      </c>
    </row>
    <row r="2851" spans="1:8" ht="15" hidden="1" customHeight="1">
      <c r="A2851" t="s">
        <v>107</v>
      </c>
      <c r="B2851" t="s">
        <v>111</v>
      </c>
      <c r="C2851">
        <v>42</v>
      </c>
      <c r="D2851">
        <v>10</v>
      </c>
      <c r="E2851">
        <v>3</v>
      </c>
      <c r="F2851">
        <v>1</v>
      </c>
      <c r="G2851" t="s">
        <v>120</v>
      </c>
      <c r="H2851" t="str">
        <f>IFERROR(ROUND(COUNTIFS(Tasks!$A:$A,$A2851,Tasks!$B:$B,$B2851,Tasks!$C:$C,$G2851,Tasks!$I:$I,"&lt;="&amp;INDEX(Weeks!$D:$D,MATCH($C2851,Weeks!$A:$A,0)),Tasks!$I:$I,"&lt;&gt;")/COUNTIFS(Tasks!$A:$A,$A2851,Tasks!$B:$B,$B2851,Tasks!$C:$C,$G2851)*100,0),"")</f>
        <v/>
      </c>
    </row>
    <row r="2852" spans="1:8" ht="15" hidden="1" customHeight="1">
      <c r="A2852" t="s">
        <v>107</v>
      </c>
      <c r="B2852" t="s">
        <v>111</v>
      </c>
      <c r="C2852">
        <v>43</v>
      </c>
      <c r="D2852">
        <v>10</v>
      </c>
      <c r="E2852">
        <v>4</v>
      </c>
      <c r="F2852">
        <v>1</v>
      </c>
      <c r="G2852" t="s">
        <v>120</v>
      </c>
      <c r="H2852" t="str">
        <f>IFERROR(ROUND(COUNTIFS(Tasks!$A:$A,$A2852,Tasks!$B:$B,$B2852,Tasks!$C:$C,$G2852,Tasks!$I:$I,"&lt;="&amp;INDEX(Weeks!$D:$D,MATCH($C2852,Weeks!$A:$A,0)),Tasks!$I:$I,"&lt;&gt;")/COUNTIFS(Tasks!$A:$A,$A2852,Tasks!$B:$B,$B2852,Tasks!$C:$C,$G2852)*100,0),"")</f>
        <v/>
      </c>
    </row>
    <row r="2853" spans="1:8" ht="15" hidden="1" customHeight="1">
      <c r="A2853" t="s">
        <v>107</v>
      </c>
      <c r="B2853" t="s">
        <v>111</v>
      </c>
      <c r="C2853">
        <v>44</v>
      </c>
      <c r="D2853">
        <v>10</v>
      </c>
      <c r="E2853">
        <v>5</v>
      </c>
      <c r="F2853">
        <v>1</v>
      </c>
      <c r="G2853" t="s">
        <v>120</v>
      </c>
      <c r="H2853" t="str">
        <f>IFERROR(ROUND(COUNTIFS(Tasks!$A:$A,$A2853,Tasks!$B:$B,$B2853,Tasks!$C:$C,$G2853,Tasks!$I:$I,"&lt;="&amp;INDEX(Weeks!$D:$D,MATCH($C2853,Weeks!$A:$A,0)),Tasks!$I:$I,"&lt;&gt;")/COUNTIFS(Tasks!$A:$A,$A2853,Tasks!$B:$B,$B2853,Tasks!$C:$C,$G2853)*100,0),"")</f>
        <v/>
      </c>
    </row>
    <row r="2854" spans="1:8" ht="15" hidden="1" customHeight="1">
      <c r="A2854" t="s">
        <v>107</v>
      </c>
      <c r="B2854" t="s">
        <v>111</v>
      </c>
      <c r="C2854">
        <v>45</v>
      </c>
      <c r="D2854">
        <v>11</v>
      </c>
      <c r="E2854">
        <v>1</v>
      </c>
      <c r="F2854">
        <v>1</v>
      </c>
      <c r="G2854" t="s">
        <v>120</v>
      </c>
      <c r="H2854" t="str">
        <f>IFERROR(ROUND(COUNTIFS(Tasks!$A:$A,$A2854,Tasks!$B:$B,$B2854,Tasks!$C:$C,$G2854,Tasks!$I:$I,"&lt;="&amp;INDEX(Weeks!$D:$D,MATCH($C2854,Weeks!$A:$A,0)),Tasks!$I:$I,"&lt;&gt;")/COUNTIFS(Tasks!$A:$A,$A2854,Tasks!$B:$B,$B2854,Tasks!$C:$C,$G2854)*100,0),"")</f>
        <v/>
      </c>
    </row>
    <row r="2855" spans="1:8" ht="15" hidden="1" customHeight="1">
      <c r="A2855" t="s">
        <v>107</v>
      </c>
      <c r="B2855" t="s">
        <v>111</v>
      </c>
      <c r="C2855">
        <v>46</v>
      </c>
      <c r="D2855">
        <v>11</v>
      </c>
      <c r="E2855">
        <v>2</v>
      </c>
      <c r="F2855">
        <v>1</v>
      </c>
      <c r="G2855" t="s">
        <v>120</v>
      </c>
      <c r="H2855" t="str">
        <f>IFERROR(ROUND(COUNTIFS(Tasks!$A:$A,$A2855,Tasks!$B:$B,$B2855,Tasks!$C:$C,$G2855,Tasks!$I:$I,"&lt;="&amp;INDEX(Weeks!$D:$D,MATCH($C2855,Weeks!$A:$A,0)),Tasks!$I:$I,"&lt;&gt;")/COUNTIFS(Tasks!$A:$A,$A2855,Tasks!$B:$B,$B2855,Tasks!$C:$C,$G2855)*100,0),"")</f>
        <v/>
      </c>
    </row>
    <row r="2856" spans="1:8" ht="15" hidden="1" customHeight="1">
      <c r="A2856" t="s">
        <v>107</v>
      </c>
      <c r="B2856" t="s">
        <v>111</v>
      </c>
      <c r="C2856">
        <v>47</v>
      </c>
      <c r="D2856">
        <v>11</v>
      </c>
      <c r="E2856">
        <v>3</v>
      </c>
      <c r="F2856">
        <v>1</v>
      </c>
      <c r="G2856" t="s">
        <v>120</v>
      </c>
      <c r="H2856" t="str">
        <f>IFERROR(ROUND(COUNTIFS(Tasks!$A:$A,$A2856,Tasks!$B:$B,$B2856,Tasks!$C:$C,$G2856,Tasks!$I:$I,"&lt;="&amp;INDEX(Weeks!$D:$D,MATCH($C2856,Weeks!$A:$A,0)),Tasks!$I:$I,"&lt;&gt;")/COUNTIFS(Tasks!$A:$A,$A2856,Tasks!$B:$B,$B2856,Tasks!$C:$C,$G2856)*100,0),"")</f>
        <v/>
      </c>
    </row>
    <row r="2857" spans="1:8" ht="15" hidden="1" customHeight="1">
      <c r="A2857" t="s">
        <v>107</v>
      </c>
      <c r="B2857" t="s">
        <v>111</v>
      </c>
      <c r="C2857">
        <v>48</v>
      </c>
      <c r="D2857">
        <v>11</v>
      </c>
      <c r="E2857">
        <v>4</v>
      </c>
      <c r="F2857">
        <v>1</v>
      </c>
      <c r="G2857" t="s">
        <v>120</v>
      </c>
      <c r="H2857" t="str">
        <f>IFERROR(ROUND(COUNTIFS(Tasks!$A:$A,$A2857,Tasks!$B:$B,$B2857,Tasks!$C:$C,$G2857,Tasks!$I:$I,"&lt;="&amp;INDEX(Weeks!$D:$D,MATCH($C2857,Weeks!$A:$A,0)),Tasks!$I:$I,"&lt;&gt;")/COUNTIFS(Tasks!$A:$A,$A2857,Tasks!$B:$B,$B2857,Tasks!$C:$C,$G2857)*100,0),"")</f>
        <v/>
      </c>
    </row>
    <row r="2858" spans="1:8" ht="15" hidden="1" customHeight="1">
      <c r="A2858" t="s">
        <v>107</v>
      </c>
      <c r="B2858" t="s">
        <v>111</v>
      </c>
      <c r="C2858">
        <v>49</v>
      </c>
      <c r="D2858">
        <v>12</v>
      </c>
      <c r="E2858">
        <v>1</v>
      </c>
      <c r="F2858">
        <v>1</v>
      </c>
      <c r="G2858" t="s">
        <v>120</v>
      </c>
      <c r="H2858" t="str">
        <f>IFERROR(ROUND(COUNTIFS(Tasks!$A:$A,$A2858,Tasks!$B:$B,$B2858,Tasks!$C:$C,$G2858,Tasks!$I:$I,"&lt;="&amp;INDEX(Weeks!$D:$D,MATCH($C2858,Weeks!$A:$A,0)),Tasks!$I:$I,"&lt;&gt;")/COUNTIFS(Tasks!$A:$A,$A2858,Tasks!$B:$B,$B2858,Tasks!$C:$C,$G2858)*100,0),"")</f>
        <v/>
      </c>
    </row>
    <row r="2859" spans="1:8" ht="15" hidden="1" customHeight="1">
      <c r="A2859" t="s">
        <v>107</v>
      </c>
      <c r="B2859" t="s">
        <v>111</v>
      </c>
      <c r="C2859">
        <v>50</v>
      </c>
      <c r="D2859">
        <v>12</v>
      </c>
      <c r="E2859">
        <v>2</v>
      </c>
      <c r="F2859">
        <v>1</v>
      </c>
      <c r="G2859" t="s">
        <v>120</v>
      </c>
      <c r="H2859" t="str">
        <f>IFERROR(ROUND(COUNTIFS(Tasks!$A:$A,$A2859,Tasks!$B:$B,$B2859,Tasks!$C:$C,$G2859,Tasks!$I:$I,"&lt;="&amp;INDEX(Weeks!$D:$D,MATCH($C2859,Weeks!$A:$A,0)),Tasks!$I:$I,"&lt;&gt;")/COUNTIFS(Tasks!$A:$A,$A2859,Tasks!$B:$B,$B2859,Tasks!$C:$C,$G2859)*100,0),"")</f>
        <v/>
      </c>
    </row>
    <row r="2860" spans="1:8" ht="15" hidden="1" customHeight="1">
      <c r="A2860" t="s">
        <v>107</v>
      </c>
      <c r="B2860" t="s">
        <v>111</v>
      </c>
      <c r="C2860">
        <v>51</v>
      </c>
      <c r="D2860">
        <v>12</v>
      </c>
      <c r="E2860">
        <v>3</v>
      </c>
      <c r="F2860">
        <v>1</v>
      </c>
      <c r="G2860" t="s">
        <v>120</v>
      </c>
      <c r="H2860" t="str">
        <f>IFERROR(ROUND(COUNTIFS(Tasks!$A:$A,$A2860,Tasks!$B:$B,$B2860,Tasks!$C:$C,$G2860,Tasks!$I:$I,"&lt;="&amp;INDEX(Weeks!$D:$D,MATCH($C2860,Weeks!$A:$A,0)),Tasks!$I:$I,"&lt;&gt;")/COUNTIFS(Tasks!$A:$A,$A2860,Tasks!$B:$B,$B2860,Tasks!$C:$C,$G2860)*100,0),"")</f>
        <v/>
      </c>
    </row>
    <row r="2861" spans="1:8" ht="15" hidden="1" customHeight="1">
      <c r="A2861" t="s">
        <v>107</v>
      </c>
      <c r="B2861" t="s">
        <v>111</v>
      </c>
      <c r="C2861">
        <v>52</v>
      </c>
      <c r="D2861">
        <v>12</v>
      </c>
      <c r="E2861">
        <v>4</v>
      </c>
      <c r="F2861">
        <v>1</v>
      </c>
      <c r="G2861" t="s">
        <v>120</v>
      </c>
      <c r="H2861" t="str">
        <f>IFERROR(ROUND(COUNTIFS(Tasks!$A:$A,$A2861,Tasks!$B:$B,$B2861,Tasks!$C:$C,$G2861,Tasks!$I:$I,"&lt;="&amp;INDEX(Weeks!$D:$D,MATCH($C2861,Weeks!$A:$A,0)),Tasks!$I:$I,"&lt;&gt;")/COUNTIFS(Tasks!$A:$A,$A2861,Tasks!$B:$B,$B2861,Tasks!$C:$C,$G2861)*100,0),"")</f>
        <v/>
      </c>
    </row>
    <row r="2862" spans="1:8" ht="15" hidden="1" customHeight="1">
      <c r="A2862" t="s">
        <v>107</v>
      </c>
      <c r="B2862" t="s">
        <v>111</v>
      </c>
      <c r="C2862">
        <v>1</v>
      </c>
      <c r="D2862">
        <v>1</v>
      </c>
      <c r="E2862">
        <v>1</v>
      </c>
      <c r="F2862">
        <v>2</v>
      </c>
      <c r="G2862" t="s">
        <v>121</v>
      </c>
      <c r="H2862" t="str">
        <f>IFERROR(ROUND(COUNTIFS(Tasks!$A:$A,$A2862,Tasks!$B:$B,$B2862,Tasks!$C:$C,$G2862,Tasks!$I:$I,"&lt;="&amp;INDEX(Weeks!$D:$D,MATCH($C2862,Weeks!$A:$A,0)),Tasks!$I:$I,"&lt;&gt;")/COUNTIFS(Tasks!$A:$A,$A2862,Tasks!$B:$B,$B2862,Tasks!$C:$C,$G2862)*100,0),"")</f>
        <v/>
      </c>
    </row>
    <row r="2863" spans="1:8" ht="15" hidden="1" customHeight="1">
      <c r="A2863" t="s">
        <v>107</v>
      </c>
      <c r="B2863" t="s">
        <v>111</v>
      </c>
      <c r="C2863">
        <v>2</v>
      </c>
      <c r="D2863">
        <v>1</v>
      </c>
      <c r="E2863">
        <v>2</v>
      </c>
      <c r="F2863">
        <v>2</v>
      </c>
      <c r="G2863" t="s">
        <v>121</v>
      </c>
      <c r="H2863" t="str">
        <f>IFERROR(ROUND(COUNTIFS(Tasks!$A:$A,$A2863,Tasks!$B:$B,$B2863,Tasks!$C:$C,$G2863,Tasks!$I:$I,"&lt;="&amp;INDEX(Weeks!$D:$D,MATCH($C2863,Weeks!$A:$A,0)),Tasks!$I:$I,"&lt;&gt;")/COUNTIFS(Tasks!$A:$A,$A2863,Tasks!$B:$B,$B2863,Tasks!$C:$C,$G2863)*100,0),"")</f>
        <v/>
      </c>
    </row>
    <row r="2864" spans="1:8" ht="15" hidden="1" customHeight="1">
      <c r="A2864" t="s">
        <v>107</v>
      </c>
      <c r="B2864" t="s">
        <v>111</v>
      </c>
      <c r="C2864">
        <v>3</v>
      </c>
      <c r="D2864">
        <v>1</v>
      </c>
      <c r="E2864">
        <v>3</v>
      </c>
      <c r="F2864">
        <v>2</v>
      </c>
      <c r="G2864" t="s">
        <v>121</v>
      </c>
      <c r="H2864" t="str">
        <f>IFERROR(ROUND(COUNTIFS(Tasks!$A:$A,$A2864,Tasks!$B:$B,$B2864,Tasks!$C:$C,$G2864,Tasks!$I:$I,"&lt;="&amp;INDEX(Weeks!$D:$D,MATCH($C2864,Weeks!$A:$A,0)),Tasks!$I:$I,"&lt;&gt;")/COUNTIFS(Tasks!$A:$A,$A2864,Tasks!$B:$B,$B2864,Tasks!$C:$C,$G2864)*100,0),"")</f>
        <v/>
      </c>
    </row>
    <row r="2865" spans="1:8" ht="15" hidden="1" customHeight="1">
      <c r="A2865" t="s">
        <v>107</v>
      </c>
      <c r="B2865" t="s">
        <v>111</v>
      </c>
      <c r="C2865">
        <v>4</v>
      </c>
      <c r="D2865">
        <v>1</v>
      </c>
      <c r="E2865">
        <v>4</v>
      </c>
      <c r="F2865">
        <v>2</v>
      </c>
      <c r="G2865" t="s">
        <v>121</v>
      </c>
      <c r="H2865" t="str">
        <f>IFERROR(ROUND(COUNTIFS(Tasks!$A:$A,$A2865,Tasks!$B:$B,$B2865,Tasks!$C:$C,$G2865,Tasks!$I:$I,"&lt;="&amp;INDEX(Weeks!$D:$D,MATCH($C2865,Weeks!$A:$A,0)),Tasks!$I:$I,"&lt;&gt;")/COUNTIFS(Tasks!$A:$A,$A2865,Tasks!$B:$B,$B2865,Tasks!$C:$C,$G2865)*100,0),"")</f>
        <v/>
      </c>
    </row>
    <row r="2866" spans="1:8" ht="15" hidden="1" customHeight="1">
      <c r="A2866" t="s">
        <v>107</v>
      </c>
      <c r="B2866" t="s">
        <v>111</v>
      </c>
      <c r="C2866">
        <v>5</v>
      </c>
      <c r="D2866">
        <v>1</v>
      </c>
      <c r="E2866">
        <v>5</v>
      </c>
      <c r="F2866">
        <v>2</v>
      </c>
      <c r="G2866" t="s">
        <v>121</v>
      </c>
      <c r="H2866" t="str">
        <f>IFERROR(ROUND(COUNTIFS(Tasks!$A:$A,$A2866,Tasks!$B:$B,$B2866,Tasks!$C:$C,$G2866,Tasks!$I:$I,"&lt;="&amp;INDEX(Weeks!$D:$D,MATCH($C2866,Weeks!$A:$A,0)),Tasks!$I:$I,"&lt;&gt;")/COUNTIFS(Tasks!$A:$A,$A2866,Tasks!$B:$B,$B2866,Tasks!$C:$C,$G2866)*100,0),"")</f>
        <v/>
      </c>
    </row>
    <row r="2867" spans="1:8" ht="15" hidden="1" customHeight="1">
      <c r="A2867" t="s">
        <v>107</v>
      </c>
      <c r="B2867" t="s">
        <v>111</v>
      </c>
      <c r="C2867">
        <v>6</v>
      </c>
      <c r="D2867">
        <v>2</v>
      </c>
      <c r="E2867">
        <v>1</v>
      </c>
      <c r="F2867">
        <v>2</v>
      </c>
      <c r="G2867" t="s">
        <v>121</v>
      </c>
      <c r="H2867" t="str">
        <f>IFERROR(ROUND(COUNTIFS(Tasks!$A:$A,$A2867,Tasks!$B:$B,$B2867,Tasks!$C:$C,$G2867,Tasks!$I:$I,"&lt;="&amp;INDEX(Weeks!$D:$D,MATCH($C2867,Weeks!$A:$A,0)),Tasks!$I:$I,"&lt;&gt;")/COUNTIFS(Tasks!$A:$A,$A2867,Tasks!$B:$B,$B2867,Tasks!$C:$C,$G2867)*100,0),"")</f>
        <v/>
      </c>
    </row>
    <row r="2868" spans="1:8" ht="15" hidden="1" customHeight="1">
      <c r="A2868" t="s">
        <v>107</v>
      </c>
      <c r="B2868" t="s">
        <v>111</v>
      </c>
      <c r="C2868">
        <v>7</v>
      </c>
      <c r="D2868">
        <v>2</v>
      </c>
      <c r="E2868">
        <v>2</v>
      </c>
      <c r="F2868">
        <v>2</v>
      </c>
      <c r="G2868" t="s">
        <v>121</v>
      </c>
      <c r="H2868" t="str">
        <f>IFERROR(ROUND(COUNTIFS(Tasks!$A:$A,$A2868,Tasks!$B:$B,$B2868,Tasks!$C:$C,$G2868,Tasks!$I:$I,"&lt;="&amp;INDEX(Weeks!$D:$D,MATCH($C2868,Weeks!$A:$A,0)),Tasks!$I:$I,"&lt;&gt;")/COUNTIFS(Tasks!$A:$A,$A2868,Tasks!$B:$B,$B2868,Tasks!$C:$C,$G2868)*100,0),"")</f>
        <v/>
      </c>
    </row>
    <row r="2869" spans="1:8" ht="15" hidden="1" customHeight="1">
      <c r="A2869" t="s">
        <v>107</v>
      </c>
      <c r="B2869" t="s">
        <v>111</v>
      </c>
      <c r="C2869">
        <v>8</v>
      </c>
      <c r="D2869">
        <v>2</v>
      </c>
      <c r="E2869">
        <v>3</v>
      </c>
      <c r="F2869">
        <v>2</v>
      </c>
      <c r="G2869" t="s">
        <v>121</v>
      </c>
      <c r="H2869" t="str">
        <f>IFERROR(ROUND(COUNTIFS(Tasks!$A:$A,$A2869,Tasks!$B:$B,$B2869,Tasks!$C:$C,$G2869,Tasks!$I:$I,"&lt;="&amp;INDEX(Weeks!$D:$D,MATCH($C2869,Weeks!$A:$A,0)),Tasks!$I:$I,"&lt;&gt;")/COUNTIFS(Tasks!$A:$A,$A2869,Tasks!$B:$B,$B2869,Tasks!$C:$C,$G2869)*100,0),"")</f>
        <v/>
      </c>
    </row>
    <row r="2870" spans="1:8" ht="15" hidden="1" customHeight="1">
      <c r="A2870" t="s">
        <v>107</v>
      </c>
      <c r="B2870" t="s">
        <v>111</v>
      </c>
      <c r="C2870">
        <v>9</v>
      </c>
      <c r="D2870">
        <v>2</v>
      </c>
      <c r="E2870">
        <v>4</v>
      </c>
      <c r="F2870">
        <v>2</v>
      </c>
      <c r="G2870" t="s">
        <v>121</v>
      </c>
      <c r="H2870" t="str">
        <f>IFERROR(ROUND(COUNTIFS(Tasks!$A:$A,$A2870,Tasks!$B:$B,$B2870,Tasks!$C:$C,$G2870,Tasks!$I:$I,"&lt;="&amp;INDEX(Weeks!$D:$D,MATCH($C2870,Weeks!$A:$A,0)),Tasks!$I:$I,"&lt;&gt;")/COUNTIFS(Tasks!$A:$A,$A2870,Tasks!$B:$B,$B2870,Tasks!$C:$C,$G2870)*100,0),"")</f>
        <v/>
      </c>
    </row>
    <row r="2871" spans="1:8" ht="15" hidden="1" customHeight="1">
      <c r="A2871" t="s">
        <v>107</v>
      </c>
      <c r="B2871" t="s">
        <v>111</v>
      </c>
      <c r="C2871">
        <v>10</v>
      </c>
      <c r="D2871">
        <v>3</v>
      </c>
      <c r="E2871">
        <v>1</v>
      </c>
      <c r="F2871">
        <v>2</v>
      </c>
      <c r="G2871" t="s">
        <v>121</v>
      </c>
      <c r="H2871" t="str">
        <f>IFERROR(ROUND(COUNTIFS(Tasks!$A:$A,$A2871,Tasks!$B:$B,$B2871,Tasks!$C:$C,$G2871,Tasks!$I:$I,"&lt;="&amp;INDEX(Weeks!$D:$D,MATCH($C2871,Weeks!$A:$A,0)),Tasks!$I:$I,"&lt;&gt;")/COUNTIFS(Tasks!$A:$A,$A2871,Tasks!$B:$B,$B2871,Tasks!$C:$C,$G2871)*100,0),"")</f>
        <v/>
      </c>
    </row>
    <row r="2872" spans="1:8" ht="15" hidden="1" customHeight="1">
      <c r="A2872" t="s">
        <v>107</v>
      </c>
      <c r="B2872" t="s">
        <v>111</v>
      </c>
      <c r="C2872">
        <v>11</v>
      </c>
      <c r="D2872">
        <v>3</v>
      </c>
      <c r="E2872">
        <v>2</v>
      </c>
      <c r="F2872">
        <v>2</v>
      </c>
      <c r="G2872" t="s">
        <v>121</v>
      </c>
      <c r="H2872" t="str">
        <f>IFERROR(ROUND(COUNTIFS(Tasks!$A:$A,$A2872,Tasks!$B:$B,$B2872,Tasks!$C:$C,$G2872,Tasks!$I:$I,"&lt;="&amp;INDEX(Weeks!$D:$D,MATCH($C2872,Weeks!$A:$A,0)),Tasks!$I:$I,"&lt;&gt;")/COUNTIFS(Tasks!$A:$A,$A2872,Tasks!$B:$B,$B2872,Tasks!$C:$C,$G2872)*100,0),"")</f>
        <v/>
      </c>
    </row>
    <row r="2873" spans="1:8" ht="15" hidden="1" customHeight="1">
      <c r="A2873" t="s">
        <v>107</v>
      </c>
      <c r="B2873" t="s">
        <v>111</v>
      </c>
      <c r="C2873">
        <v>12</v>
      </c>
      <c r="D2873">
        <v>3</v>
      </c>
      <c r="E2873">
        <v>3</v>
      </c>
      <c r="F2873">
        <v>2</v>
      </c>
      <c r="G2873" t="s">
        <v>121</v>
      </c>
      <c r="H2873" t="str">
        <f>IFERROR(ROUND(COUNTIFS(Tasks!$A:$A,$A2873,Tasks!$B:$B,$B2873,Tasks!$C:$C,$G2873,Tasks!$I:$I,"&lt;="&amp;INDEX(Weeks!$D:$D,MATCH($C2873,Weeks!$A:$A,0)),Tasks!$I:$I,"&lt;&gt;")/COUNTIFS(Tasks!$A:$A,$A2873,Tasks!$B:$B,$B2873,Tasks!$C:$C,$G2873)*100,0),"")</f>
        <v/>
      </c>
    </row>
    <row r="2874" spans="1:8" ht="15" hidden="1" customHeight="1">
      <c r="A2874" t="s">
        <v>107</v>
      </c>
      <c r="B2874" t="s">
        <v>111</v>
      </c>
      <c r="C2874">
        <v>13</v>
      </c>
      <c r="D2874">
        <v>3</v>
      </c>
      <c r="E2874">
        <v>4</v>
      </c>
      <c r="F2874">
        <v>2</v>
      </c>
      <c r="G2874" t="s">
        <v>121</v>
      </c>
      <c r="H2874" t="str">
        <f>IFERROR(ROUND(COUNTIFS(Tasks!$A:$A,$A2874,Tasks!$B:$B,$B2874,Tasks!$C:$C,$G2874,Tasks!$I:$I,"&lt;="&amp;INDEX(Weeks!$D:$D,MATCH($C2874,Weeks!$A:$A,0)),Tasks!$I:$I,"&lt;&gt;")/COUNTIFS(Tasks!$A:$A,$A2874,Tasks!$B:$B,$B2874,Tasks!$C:$C,$G2874)*100,0),"")</f>
        <v/>
      </c>
    </row>
    <row r="2875" spans="1:8" ht="15" hidden="1" customHeight="1">
      <c r="A2875" t="s">
        <v>107</v>
      </c>
      <c r="B2875" t="s">
        <v>111</v>
      </c>
      <c r="C2875">
        <v>14</v>
      </c>
      <c r="D2875">
        <v>4</v>
      </c>
      <c r="E2875">
        <v>1</v>
      </c>
      <c r="F2875">
        <v>2</v>
      </c>
      <c r="G2875" t="s">
        <v>121</v>
      </c>
      <c r="H2875" t="str">
        <f>IFERROR(ROUND(COUNTIFS(Tasks!$A:$A,$A2875,Tasks!$B:$B,$B2875,Tasks!$C:$C,$G2875,Tasks!$I:$I,"&lt;="&amp;INDEX(Weeks!$D:$D,MATCH($C2875,Weeks!$A:$A,0)),Tasks!$I:$I,"&lt;&gt;")/COUNTIFS(Tasks!$A:$A,$A2875,Tasks!$B:$B,$B2875,Tasks!$C:$C,$G2875)*100,0),"")</f>
        <v/>
      </c>
    </row>
    <row r="2876" spans="1:8" ht="15" hidden="1" customHeight="1">
      <c r="A2876" t="s">
        <v>107</v>
      </c>
      <c r="B2876" t="s">
        <v>111</v>
      </c>
      <c r="C2876">
        <v>15</v>
      </c>
      <c r="D2876">
        <v>4</v>
      </c>
      <c r="E2876">
        <v>2</v>
      </c>
      <c r="F2876">
        <v>2</v>
      </c>
      <c r="G2876" t="s">
        <v>121</v>
      </c>
      <c r="H2876" t="str">
        <f>IFERROR(ROUND(COUNTIFS(Tasks!$A:$A,$A2876,Tasks!$B:$B,$B2876,Tasks!$C:$C,$G2876,Tasks!$I:$I,"&lt;="&amp;INDEX(Weeks!$D:$D,MATCH($C2876,Weeks!$A:$A,0)),Tasks!$I:$I,"&lt;&gt;")/COUNTIFS(Tasks!$A:$A,$A2876,Tasks!$B:$B,$B2876,Tasks!$C:$C,$G2876)*100,0),"")</f>
        <v/>
      </c>
    </row>
    <row r="2877" spans="1:8" ht="15" hidden="1" customHeight="1">
      <c r="A2877" t="s">
        <v>107</v>
      </c>
      <c r="B2877" t="s">
        <v>111</v>
      </c>
      <c r="C2877">
        <v>16</v>
      </c>
      <c r="D2877">
        <v>4</v>
      </c>
      <c r="E2877">
        <v>3</v>
      </c>
      <c r="F2877">
        <v>2</v>
      </c>
      <c r="G2877" t="s">
        <v>121</v>
      </c>
      <c r="H2877" t="str">
        <f>IFERROR(ROUND(COUNTIFS(Tasks!$A:$A,$A2877,Tasks!$B:$B,$B2877,Tasks!$C:$C,$G2877,Tasks!$I:$I,"&lt;="&amp;INDEX(Weeks!$D:$D,MATCH($C2877,Weeks!$A:$A,0)),Tasks!$I:$I,"&lt;&gt;")/COUNTIFS(Tasks!$A:$A,$A2877,Tasks!$B:$B,$B2877,Tasks!$C:$C,$G2877)*100,0),"")</f>
        <v/>
      </c>
    </row>
    <row r="2878" spans="1:8" ht="15" hidden="1" customHeight="1">
      <c r="A2878" t="s">
        <v>107</v>
      </c>
      <c r="B2878" t="s">
        <v>111</v>
      </c>
      <c r="C2878">
        <v>17</v>
      </c>
      <c r="D2878">
        <v>4</v>
      </c>
      <c r="E2878">
        <v>4</v>
      </c>
      <c r="F2878">
        <v>2</v>
      </c>
      <c r="G2878" t="s">
        <v>121</v>
      </c>
      <c r="H2878" t="str">
        <f>IFERROR(ROUND(COUNTIFS(Tasks!$A:$A,$A2878,Tasks!$B:$B,$B2878,Tasks!$C:$C,$G2878,Tasks!$I:$I,"&lt;="&amp;INDEX(Weeks!$D:$D,MATCH($C2878,Weeks!$A:$A,0)),Tasks!$I:$I,"&lt;&gt;")/COUNTIFS(Tasks!$A:$A,$A2878,Tasks!$B:$B,$B2878,Tasks!$C:$C,$G2878)*100,0),"")</f>
        <v/>
      </c>
    </row>
    <row r="2879" spans="1:8" ht="15" hidden="1" customHeight="1">
      <c r="A2879" t="s">
        <v>107</v>
      </c>
      <c r="B2879" t="s">
        <v>111</v>
      </c>
      <c r="C2879">
        <v>18</v>
      </c>
      <c r="D2879">
        <v>5</v>
      </c>
      <c r="E2879">
        <v>1</v>
      </c>
      <c r="F2879">
        <v>2</v>
      </c>
      <c r="G2879" t="s">
        <v>121</v>
      </c>
      <c r="H2879" t="str">
        <f>IFERROR(ROUND(COUNTIFS(Tasks!$A:$A,$A2879,Tasks!$B:$B,$B2879,Tasks!$C:$C,$G2879,Tasks!$I:$I,"&lt;="&amp;INDEX(Weeks!$D:$D,MATCH($C2879,Weeks!$A:$A,0)),Tasks!$I:$I,"&lt;&gt;")/COUNTIFS(Tasks!$A:$A,$A2879,Tasks!$B:$B,$B2879,Tasks!$C:$C,$G2879)*100,0),"")</f>
        <v/>
      </c>
    </row>
    <row r="2880" spans="1:8" ht="15" hidden="1" customHeight="1">
      <c r="A2880" t="s">
        <v>107</v>
      </c>
      <c r="B2880" t="s">
        <v>111</v>
      </c>
      <c r="C2880">
        <v>19</v>
      </c>
      <c r="D2880">
        <v>5</v>
      </c>
      <c r="E2880">
        <v>2</v>
      </c>
      <c r="F2880">
        <v>2</v>
      </c>
      <c r="G2880" t="s">
        <v>121</v>
      </c>
      <c r="H2880" t="str">
        <f>IFERROR(ROUND(COUNTIFS(Tasks!$A:$A,$A2880,Tasks!$B:$B,$B2880,Tasks!$C:$C,$G2880,Tasks!$I:$I,"&lt;="&amp;INDEX(Weeks!$D:$D,MATCH($C2880,Weeks!$A:$A,0)),Tasks!$I:$I,"&lt;&gt;")/COUNTIFS(Tasks!$A:$A,$A2880,Tasks!$B:$B,$B2880,Tasks!$C:$C,$G2880)*100,0),"")</f>
        <v/>
      </c>
    </row>
    <row r="2881" spans="1:8" ht="15" hidden="1" customHeight="1">
      <c r="A2881" t="s">
        <v>107</v>
      </c>
      <c r="B2881" t="s">
        <v>111</v>
      </c>
      <c r="C2881">
        <v>20</v>
      </c>
      <c r="D2881">
        <v>5</v>
      </c>
      <c r="E2881">
        <v>3</v>
      </c>
      <c r="F2881">
        <v>2</v>
      </c>
      <c r="G2881" t="s">
        <v>121</v>
      </c>
      <c r="H2881" t="str">
        <f>IFERROR(ROUND(COUNTIFS(Tasks!$A:$A,$A2881,Tasks!$B:$B,$B2881,Tasks!$C:$C,$G2881,Tasks!$I:$I,"&lt;="&amp;INDEX(Weeks!$D:$D,MATCH($C2881,Weeks!$A:$A,0)),Tasks!$I:$I,"&lt;&gt;")/COUNTIFS(Tasks!$A:$A,$A2881,Tasks!$B:$B,$B2881,Tasks!$C:$C,$G2881)*100,0),"")</f>
        <v/>
      </c>
    </row>
    <row r="2882" spans="1:8" ht="15" hidden="1" customHeight="1">
      <c r="A2882" t="s">
        <v>107</v>
      </c>
      <c r="B2882" t="s">
        <v>111</v>
      </c>
      <c r="C2882">
        <v>21</v>
      </c>
      <c r="D2882">
        <v>5</v>
      </c>
      <c r="E2882">
        <v>4</v>
      </c>
      <c r="F2882">
        <v>2</v>
      </c>
      <c r="G2882" t="s">
        <v>121</v>
      </c>
      <c r="H2882" t="str">
        <f>IFERROR(ROUND(COUNTIFS(Tasks!$A:$A,$A2882,Tasks!$B:$B,$B2882,Tasks!$C:$C,$G2882,Tasks!$I:$I,"&lt;="&amp;INDEX(Weeks!$D:$D,MATCH($C2882,Weeks!$A:$A,0)),Tasks!$I:$I,"&lt;&gt;")/COUNTIFS(Tasks!$A:$A,$A2882,Tasks!$B:$B,$B2882,Tasks!$C:$C,$G2882)*100,0),"")</f>
        <v/>
      </c>
    </row>
    <row r="2883" spans="1:8" ht="15" hidden="1" customHeight="1">
      <c r="A2883" t="s">
        <v>107</v>
      </c>
      <c r="B2883" t="s">
        <v>111</v>
      </c>
      <c r="C2883">
        <v>22</v>
      </c>
      <c r="D2883">
        <v>5</v>
      </c>
      <c r="E2883">
        <v>5</v>
      </c>
      <c r="F2883">
        <v>2</v>
      </c>
      <c r="G2883" t="s">
        <v>121</v>
      </c>
      <c r="H2883" t="str">
        <f>IFERROR(ROUND(COUNTIFS(Tasks!$A:$A,$A2883,Tasks!$B:$B,$B2883,Tasks!$C:$C,$G2883,Tasks!$I:$I,"&lt;="&amp;INDEX(Weeks!$D:$D,MATCH($C2883,Weeks!$A:$A,0)),Tasks!$I:$I,"&lt;&gt;")/COUNTIFS(Tasks!$A:$A,$A2883,Tasks!$B:$B,$B2883,Tasks!$C:$C,$G2883)*100,0),"")</f>
        <v/>
      </c>
    </row>
    <row r="2884" spans="1:8" ht="15" hidden="1" customHeight="1">
      <c r="A2884" t="s">
        <v>107</v>
      </c>
      <c r="B2884" t="s">
        <v>111</v>
      </c>
      <c r="C2884">
        <v>23</v>
      </c>
      <c r="D2884">
        <v>6</v>
      </c>
      <c r="E2884">
        <v>1</v>
      </c>
      <c r="F2884">
        <v>2</v>
      </c>
      <c r="G2884" t="s">
        <v>121</v>
      </c>
      <c r="H2884" t="str">
        <f>IFERROR(ROUND(COUNTIFS(Tasks!$A:$A,$A2884,Tasks!$B:$B,$B2884,Tasks!$C:$C,$G2884,Tasks!$I:$I,"&lt;="&amp;INDEX(Weeks!$D:$D,MATCH($C2884,Weeks!$A:$A,0)),Tasks!$I:$I,"&lt;&gt;")/COUNTIFS(Tasks!$A:$A,$A2884,Tasks!$B:$B,$B2884,Tasks!$C:$C,$G2884)*100,0),"")</f>
        <v/>
      </c>
    </row>
    <row r="2885" spans="1:8" ht="15" hidden="1" customHeight="1">
      <c r="A2885" t="s">
        <v>107</v>
      </c>
      <c r="B2885" t="s">
        <v>111</v>
      </c>
      <c r="C2885">
        <v>24</v>
      </c>
      <c r="D2885">
        <v>6</v>
      </c>
      <c r="E2885">
        <v>2</v>
      </c>
      <c r="F2885">
        <v>2</v>
      </c>
      <c r="G2885" t="s">
        <v>121</v>
      </c>
      <c r="H2885" t="str">
        <f>IFERROR(ROUND(COUNTIFS(Tasks!$A:$A,$A2885,Tasks!$B:$B,$B2885,Tasks!$C:$C,$G2885,Tasks!$I:$I,"&lt;="&amp;INDEX(Weeks!$D:$D,MATCH($C2885,Weeks!$A:$A,0)),Tasks!$I:$I,"&lt;&gt;")/COUNTIFS(Tasks!$A:$A,$A2885,Tasks!$B:$B,$B2885,Tasks!$C:$C,$G2885)*100,0),"")</f>
        <v/>
      </c>
    </row>
    <row r="2886" spans="1:8" ht="15" hidden="1" customHeight="1">
      <c r="A2886" t="s">
        <v>107</v>
      </c>
      <c r="B2886" t="s">
        <v>111</v>
      </c>
      <c r="C2886">
        <v>25</v>
      </c>
      <c r="D2886">
        <v>6</v>
      </c>
      <c r="E2886">
        <v>3</v>
      </c>
      <c r="F2886">
        <v>2</v>
      </c>
      <c r="G2886" t="s">
        <v>121</v>
      </c>
      <c r="H2886" t="str">
        <f>IFERROR(ROUND(COUNTIFS(Tasks!$A:$A,$A2886,Tasks!$B:$B,$B2886,Tasks!$C:$C,$G2886,Tasks!$I:$I,"&lt;="&amp;INDEX(Weeks!$D:$D,MATCH($C2886,Weeks!$A:$A,0)),Tasks!$I:$I,"&lt;&gt;")/COUNTIFS(Tasks!$A:$A,$A2886,Tasks!$B:$B,$B2886,Tasks!$C:$C,$G2886)*100,0),"")</f>
        <v/>
      </c>
    </row>
    <row r="2887" spans="1:8" ht="15" hidden="1" customHeight="1">
      <c r="A2887" t="s">
        <v>107</v>
      </c>
      <c r="B2887" t="s">
        <v>111</v>
      </c>
      <c r="C2887">
        <v>26</v>
      </c>
      <c r="D2887">
        <v>6</v>
      </c>
      <c r="E2887">
        <v>4</v>
      </c>
      <c r="F2887">
        <v>2</v>
      </c>
      <c r="G2887" t="s">
        <v>121</v>
      </c>
      <c r="H2887" t="str">
        <f>IFERROR(ROUND(COUNTIFS(Tasks!$A:$A,$A2887,Tasks!$B:$B,$B2887,Tasks!$C:$C,$G2887,Tasks!$I:$I,"&lt;="&amp;INDEX(Weeks!$D:$D,MATCH($C2887,Weeks!$A:$A,0)),Tasks!$I:$I,"&lt;&gt;")/COUNTIFS(Tasks!$A:$A,$A2887,Tasks!$B:$B,$B2887,Tasks!$C:$C,$G2887)*100,0),"")</f>
        <v/>
      </c>
    </row>
    <row r="2888" spans="1:8" ht="15" hidden="1" customHeight="1">
      <c r="A2888" t="s">
        <v>107</v>
      </c>
      <c r="B2888" t="s">
        <v>111</v>
      </c>
      <c r="C2888">
        <v>27</v>
      </c>
      <c r="D2888">
        <v>7</v>
      </c>
      <c r="E2888">
        <v>1</v>
      </c>
      <c r="F2888">
        <v>2</v>
      </c>
      <c r="G2888" t="s">
        <v>121</v>
      </c>
      <c r="H2888" t="str">
        <f>IFERROR(ROUND(COUNTIFS(Tasks!$A:$A,$A2888,Tasks!$B:$B,$B2888,Tasks!$C:$C,$G2888,Tasks!$I:$I,"&lt;="&amp;INDEX(Weeks!$D:$D,MATCH($C2888,Weeks!$A:$A,0)),Tasks!$I:$I,"&lt;&gt;")/COUNTIFS(Tasks!$A:$A,$A2888,Tasks!$B:$B,$B2888,Tasks!$C:$C,$G2888)*100,0),"")</f>
        <v/>
      </c>
    </row>
    <row r="2889" spans="1:8" ht="15" hidden="1" customHeight="1">
      <c r="A2889" t="s">
        <v>107</v>
      </c>
      <c r="B2889" t="s">
        <v>111</v>
      </c>
      <c r="C2889">
        <v>28</v>
      </c>
      <c r="D2889">
        <v>7</v>
      </c>
      <c r="E2889">
        <v>2</v>
      </c>
      <c r="F2889">
        <v>2</v>
      </c>
      <c r="G2889" t="s">
        <v>121</v>
      </c>
      <c r="H2889" t="str">
        <f>IFERROR(ROUND(COUNTIFS(Tasks!$A:$A,$A2889,Tasks!$B:$B,$B2889,Tasks!$C:$C,$G2889,Tasks!$I:$I,"&lt;="&amp;INDEX(Weeks!$D:$D,MATCH($C2889,Weeks!$A:$A,0)),Tasks!$I:$I,"&lt;&gt;")/COUNTIFS(Tasks!$A:$A,$A2889,Tasks!$B:$B,$B2889,Tasks!$C:$C,$G2889)*100,0),"")</f>
        <v/>
      </c>
    </row>
    <row r="2890" spans="1:8" ht="15" hidden="1" customHeight="1">
      <c r="A2890" t="s">
        <v>107</v>
      </c>
      <c r="B2890" t="s">
        <v>111</v>
      </c>
      <c r="C2890">
        <v>29</v>
      </c>
      <c r="D2890">
        <v>7</v>
      </c>
      <c r="E2890">
        <v>3</v>
      </c>
      <c r="F2890">
        <v>2</v>
      </c>
      <c r="G2890" t="s">
        <v>121</v>
      </c>
      <c r="H2890" t="str">
        <f>IFERROR(ROUND(COUNTIFS(Tasks!$A:$A,$A2890,Tasks!$B:$B,$B2890,Tasks!$C:$C,$G2890,Tasks!$I:$I,"&lt;="&amp;INDEX(Weeks!$D:$D,MATCH($C2890,Weeks!$A:$A,0)),Tasks!$I:$I,"&lt;&gt;")/COUNTIFS(Tasks!$A:$A,$A2890,Tasks!$B:$B,$B2890,Tasks!$C:$C,$G2890)*100,0),"")</f>
        <v/>
      </c>
    </row>
    <row r="2891" spans="1:8" ht="15" hidden="1" customHeight="1">
      <c r="A2891" t="s">
        <v>107</v>
      </c>
      <c r="B2891" t="s">
        <v>111</v>
      </c>
      <c r="C2891">
        <v>30</v>
      </c>
      <c r="D2891">
        <v>7</v>
      </c>
      <c r="E2891">
        <v>4</v>
      </c>
      <c r="F2891">
        <v>2</v>
      </c>
      <c r="G2891" t="s">
        <v>121</v>
      </c>
      <c r="H2891" t="str">
        <f>IFERROR(ROUND(COUNTIFS(Tasks!$A:$A,$A2891,Tasks!$B:$B,$B2891,Tasks!$C:$C,$G2891,Tasks!$I:$I,"&lt;="&amp;INDEX(Weeks!$D:$D,MATCH($C2891,Weeks!$A:$A,0)),Tasks!$I:$I,"&lt;&gt;")/COUNTIFS(Tasks!$A:$A,$A2891,Tasks!$B:$B,$B2891,Tasks!$C:$C,$G2891)*100,0),"")</f>
        <v/>
      </c>
    </row>
    <row r="2892" spans="1:8" ht="15" hidden="1" customHeight="1">
      <c r="A2892" t="s">
        <v>107</v>
      </c>
      <c r="B2892" t="s">
        <v>111</v>
      </c>
      <c r="C2892">
        <v>31</v>
      </c>
      <c r="D2892">
        <v>8</v>
      </c>
      <c r="E2892">
        <v>1</v>
      </c>
      <c r="F2892">
        <v>2</v>
      </c>
      <c r="G2892" t="s">
        <v>121</v>
      </c>
      <c r="H2892" t="str">
        <f>IFERROR(ROUND(COUNTIFS(Tasks!$A:$A,$A2892,Tasks!$B:$B,$B2892,Tasks!$C:$C,$G2892,Tasks!$I:$I,"&lt;="&amp;INDEX(Weeks!$D:$D,MATCH($C2892,Weeks!$A:$A,0)),Tasks!$I:$I,"&lt;&gt;")/COUNTIFS(Tasks!$A:$A,$A2892,Tasks!$B:$B,$B2892,Tasks!$C:$C,$G2892)*100,0),"")</f>
        <v/>
      </c>
    </row>
    <row r="2893" spans="1:8" ht="15" hidden="1" customHeight="1">
      <c r="A2893" t="s">
        <v>107</v>
      </c>
      <c r="B2893" t="s">
        <v>111</v>
      </c>
      <c r="C2893">
        <v>32</v>
      </c>
      <c r="D2893">
        <v>8</v>
      </c>
      <c r="E2893">
        <v>2</v>
      </c>
      <c r="F2893">
        <v>2</v>
      </c>
      <c r="G2893" t="s">
        <v>121</v>
      </c>
      <c r="H2893" t="str">
        <f>IFERROR(ROUND(COUNTIFS(Tasks!$A:$A,$A2893,Tasks!$B:$B,$B2893,Tasks!$C:$C,$G2893,Tasks!$I:$I,"&lt;="&amp;INDEX(Weeks!$D:$D,MATCH($C2893,Weeks!$A:$A,0)),Tasks!$I:$I,"&lt;&gt;")/COUNTIFS(Tasks!$A:$A,$A2893,Tasks!$B:$B,$B2893,Tasks!$C:$C,$G2893)*100,0),"")</f>
        <v/>
      </c>
    </row>
    <row r="2894" spans="1:8" ht="15" hidden="1" customHeight="1">
      <c r="A2894" t="s">
        <v>107</v>
      </c>
      <c r="B2894" t="s">
        <v>111</v>
      </c>
      <c r="C2894">
        <v>33</v>
      </c>
      <c r="D2894">
        <v>8</v>
      </c>
      <c r="E2894">
        <v>3</v>
      </c>
      <c r="F2894">
        <v>2</v>
      </c>
      <c r="G2894" t="s">
        <v>121</v>
      </c>
      <c r="H2894" t="str">
        <f>IFERROR(ROUND(COUNTIFS(Tasks!$A:$A,$A2894,Tasks!$B:$B,$B2894,Tasks!$C:$C,$G2894,Tasks!$I:$I,"&lt;="&amp;INDEX(Weeks!$D:$D,MATCH($C2894,Weeks!$A:$A,0)),Tasks!$I:$I,"&lt;&gt;")/COUNTIFS(Tasks!$A:$A,$A2894,Tasks!$B:$B,$B2894,Tasks!$C:$C,$G2894)*100,0),"")</f>
        <v/>
      </c>
    </row>
    <row r="2895" spans="1:8" ht="15" hidden="1" customHeight="1">
      <c r="A2895" t="s">
        <v>107</v>
      </c>
      <c r="B2895" t="s">
        <v>111</v>
      </c>
      <c r="C2895">
        <v>34</v>
      </c>
      <c r="D2895">
        <v>8</v>
      </c>
      <c r="E2895">
        <v>4</v>
      </c>
      <c r="F2895">
        <v>2</v>
      </c>
      <c r="G2895" t="s">
        <v>121</v>
      </c>
      <c r="H2895" t="str">
        <f>IFERROR(ROUND(COUNTIFS(Tasks!$A:$A,$A2895,Tasks!$B:$B,$B2895,Tasks!$C:$C,$G2895,Tasks!$I:$I,"&lt;="&amp;INDEX(Weeks!$D:$D,MATCH($C2895,Weeks!$A:$A,0)),Tasks!$I:$I,"&lt;&gt;")/COUNTIFS(Tasks!$A:$A,$A2895,Tasks!$B:$B,$B2895,Tasks!$C:$C,$G2895)*100,0),"")</f>
        <v/>
      </c>
    </row>
    <row r="2896" spans="1:8" ht="15" hidden="1" customHeight="1">
      <c r="A2896" t="s">
        <v>107</v>
      </c>
      <c r="B2896" t="s">
        <v>111</v>
      </c>
      <c r="C2896">
        <v>35</v>
      </c>
      <c r="D2896">
        <v>8</v>
      </c>
      <c r="E2896">
        <v>5</v>
      </c>
      <c r="F2896">
        <v>2</v>
      </c>
      <c r="G2896" t="s">
        <v>121</v>
      </c>
      <c r="H2896" t="str">
        <f>IFERROR(ROUND(COUNTIFS(Tasks!$A:$A,$A2896,Tasks!$B:$B,$B2896,Tasks!$C:$C,$G2896,Tasks!$I:$I,"&lt;="&amp;INDEX(Weeks!$D:$D,MATCH($C2896,Weeks!$A:$A,0)),Tasks!$I:$I,"&lt;&gt;")/COUNTIFS(Tasks!$A:$A,$A2896,Tasks!$B:$B,$B2896,Tasks!$C:$C,$G2896)*100,0),"")</f>
        <v/>
      </c>
    </row>
    <row r="2897" spans="1:8" ht="15" hidden="1" customHeight="1">
      <c r="A2897" t="s">
        <v>107</v>
      </c>
      <c r="B2897" t="s">
        <v>111</v>
      </c>
      <c r="C2897">
        <v>36</v>
      </c>
      <c r="D2897">
        <v>9</v>
      </c>
      <c r="E2897">
        <v>1</v>
      </c>
      <c r="F2897">
        <v>2</v>
      </c>
      <c r="G2897" t="s">
        <v>121</v>
      </c>
      <c r="H2897" t="str">
        <f>IFERROR(ROUND(COUNTIFS(Tasks!$A:$A,$A2897,Tasks!$B:$B,$B2897,Tasks!$C:$C,$G2897,Tasks!$I:$I,"&lt;="&amp;INDEX(Weeks!$D:$D,MATCH($C2897,Weeks!$A:$A,0)),Tasks!$I:$I,"&lt;&gt;")/COUNTIFS(Tasks!$A:$A,$A2897,Tasks!$B:$B,$B2897,Tasks!$C:$C,$G2897)*100,0),"")</f>
        <v/>
      </c>
    </row>
    <row r="2898" spans="1:8" ht="15" hidden="1" customHeight="1">
      <c r="A2898" t="s">
        <v>107</v>
      </c>
      <c r="B2898" t="s">
        <v>111</v>
      </c>
      <c r="C2898">
        <v>37</v>
      </c>
      <c r="D2898">
        <v>9</v>
      </c>
      <c r="E2898">
        <v>2</v>
      </c>
      <c r="F2898">
        <v>2</v>
      </c>
      <c r="G2898" t="s">
        <v>121</v>
      </c>
      <c r="H2898" t="str">
        <f>IFERROR(ROUND(COUNTIFS(Tasks!$A:$A,$A2898,Tasks!$B:$B,$B2898,Tasks!$C:$C,$G2898,Tasks!$I:$I,"&lt;="&amp;INDEX(Weeks!$D:$D,MATCH($C2898,Weeks!$A:$A,0)),Tasks!$I:$I,"&lt;&gt;")/COUNTIFS(Tasks!$A:$A,$A2898,Tasks!$B:$B,$B2898,Tasks!$C:$C,$G2898)*100,0),"")</f>
        <v/>
      </c>
    </row>
    <row r="2899" spans="1:8" ht="15" hidden="1" customHeight="1">
      <c r="A2899" t="s">
        <v>107</v>
      </c>
      <c r="B2899" t="s">
        <v>111</v>
      </c>
      <c r="C2899">
        <v>38</v>
      </c>
      <c r="D2899">
        <v>9</v>
      </c>
      <c r="E2899">
        <v>3</v>
      </c>
      <c r="F2899">
        <v>2</v>
      </c>
      <c r="G2899" t="s">
        <v>121</v>
      </c>
      <c r="H2899" t="str">
        <f>IFERROR(ROUND(COUNTIFS(Tasks!$A:$A,$A2899,Tasks!$B:$B,$B2899,Tasks!$C:$C,$G2899,Tasks!$I:$I,"&lt;="&amp;INDEX(Weeks!$D:$D,MATCH($C2899,Weeks!$A:$A,0)),Tasks!$I:$I,"&lt;&gt;")/COUNTIFS(Tasks!$A:$A,$A2899,Tasks!$B:$B,$B2899,Tasks!$C:$C,$G2899)*100,0),"")</f>
        <v/>
      </c>
    </row>
    <row r="2900" spans="1:8" ht="15" hidden="1" customHeight="1">
      <c r="A2900" t="s">
        <v>107</v>
      </c>
      <c r="B2900" t="s">
        <v>111</v>
      </c>
      <c r="C2900">
        <v>39</v>
      </c>
      <c r="D2900">
        <v>9</v>
      </c>
      <c r="E2900">
        <v>4</v>
      </c>
      <c r="F2900">
        <v>2</v>
      </c>
      <c r="G2900" t="s">
        <v>121</v>
      </c>
      <c r="H2900" t="str">
        <f>IFERROR(ROUND(COUNTIFS(Tasks!$A:$A,$A2900,Tasks!$B:$B,$B2900,Tasks!$C:$C,$G2900,Tasks!$I:$I,"&lt;="&amp;INDEX(Weeks!$D:$D,MATCH($C2900,Weeks!$A:$A,0)),Tasks!$I:$I,"&lt;&gt;")/COUNTIFS(Tasks!$A:$A,$A2900,Tasks!$B:$B,$B2900,Tasks!$C:$C,$G2900)*100,0),"")</f>
        <v/>
      </c>
    </row>
    <row r="2901" spans="1:8" ht="15" hidden="1" customHeight="1">
      <c r="A2901" t="s">
        <v>107</v>
      </c>
      <c r="B2901" t="s">
        <v>111</v>
      </c>
      <c r="C2901">
        <v>40</v>
      </c>
      <c r="D2901">
        <v>10</v>
      </c>
      <c r="E2901">
        <v>1</v>
      </c>
      <c r="F2901">
        <v>2</v>
      </c>
      <c r="G2901" t="s">
        <v>121</v>
      </c>
      <c r="H2901" t="str">
        <f>IFERROR(ROUND(COUNTIFS(Tasks!$A:$A,$A2901,Tasks!$B:$B,$B2901,Tasks!$C:$C,$G2901,Tasks!$I:$I,"&lt;="&amp;INDEX(Weeks!$D:$D,MATCH($C2901,Weeks!$A:$A,0)),Tasks!$I:$I,"&lt;&gt;")/COUNTIFS(Tasks!$A:$A,$A2901,Tasks!$B:$B,$B2901,Tasks!$C:$C,$G2901)*100,0),"")</f>
        <v/>
      </c>
    </row>
    <row r="2902" spans="1:8" ht="15" hidden="1" customHeight="1">
      <c r="A2902" t="s">
        <v>107</v>
      </c>
      <c r="B2902" t="s">
        <v>111</v>
      </c>
      <c r="C2902">
        <v>41</v>
      </c>
      <c r="D2902">
        <v>10</v>
      </c>
      <c r="E2902">
        <v>2</v>
      </c>
      <c r="F2902">
        <v>2</v>
      </c>
      <c r="G2902" t="s">
        <v>121</v>
      </c>
      <c r="H2902" t="str">
        <f>IFERROR(ROUND(COUNTIFS(Tasks!$A:$A,$A2902,Tasks!$B:$B,$B2902,Tasks!$C:$C,$G2902,Tasks!$I:$I,"&lt;="&amp;INDEX(Weeks!$D:$D,MATCH($C2902,Weeks!$A:$A,0)),Tasks!$I:$I,"&lt;&gt;")/COUNTIFS(Tasks!$A:$A,$A2902,Tasks!$B:$B,$B2902,Tasks!$C:$C,$G2902)*100,0),"")</f>
        <v/>
      </c>
    </row>
    <row r="2903" spans="1:8" ht="15" hidden="1" customHeight="1">
      <c r="A2903" t="s">
        <v>107</v>
      </c>
      <c r="B2903" t="s">
        <v>111</v>
      </c>
      <c r="C2903">
        <v>42</v>
      </c>
      <c r="D2903">
        <v>10</v>
      </c>
      <c r="E2903">
        <v>3</v>
      </c>
      <c r="F2903">
        <v>2</v>
      </c>
      <c r="G2903" t="s">
        <v>121</v>
      </c>
      <c r="H2903" t="str">
        <f>IFERROR(ROUND(COUNTIFS(Tasks!$A:$A,$A2903,Tasks!$B:$B,$B2903,Tasks!$C:$C,$G2903,Tasks!$I:$I,"&lt;="&amp;INDEX(Weeks!$D:$D,MATCH($C2903,Weeks!$A:$A,0)),Tasks!$I:$I,"&lt;&gt;")/COUNTIFS(Tasks!$A:$A,$A2903,Tasks!$B:$B,$B2903,Tasks!$C:$C,$G2903)*100,0),"")</f>
        <v/>
      </c>
    </row>
    <row r="2904" spans="1:8" ht="15" hidden="1" customHeight="1">
      <c r="A2904" t="s">
        <v>107</v>
      </c>
      <c r="B2904" t="s">
        <v>111</v>
      </c>
      <c r="C2904">
        <v>43</v>
      </c>
      <c r="D2904">
        <v>10</v>
      </c>
      <c r="E2904">
        <v>4</v>
      </c>
      <c r="F2904">
        <v>2</v>
      </c>
      <c r="G2904" t="s">
        <v>121</v>
      </c>
      <c r="H2904" t="str">
        <f>IFERROR(ROUND(COUNTIFS(Tasks!$A:$A,$A2904,Tasks!$B:$B,$B2904,Tasks!$C:$C,$G2904,Tasks!$I:$I,"&lt;="&amp;INDEX(Weeks!$D:$D,MATCH($C2904,Weeks!$A:$A,0)),Tasks!$I:$I,"&lt;&gt;")/COUNTIFS(Tasks!$A:$A,$A2904,Tasks!$B:$B,$B2904,Tasks!$C:$C,$G2904)*100,0),"")</f>
        <v/>
      </c>
    </row>
    <row r="2905" spans="1:8" ht="15" hidden="1" customHeight="1">
      <c r="A2905" t="s">
        <v>107</v>
      </c>
      <c r="B2905" t="s">
        <v>111</v>
      </c>
      <c r="C2905">
        <v>44</v>
      </c>
      <c r="D2905">
        <v>10</v>
      </c>
      <c r="E2905">
        <v>5</v>
      </c>
      <c r="F2905">
        <v>2</v>
      </c>
      <c r="G2905" t="s">
        <v>121</v>
      </c>
      <c r="H2905" t="str">
        <f>IFERROR(ROUND(COUNTIFS(Tasks!$A:$A,$A2905,Tasks!$B:$B,$B2905,Tasks!$C:$C,$G2905,Tasks!$I:$I,"&lt;="&amp;INDEX(Weeks!$D:$D,MATCH($C2905,Weeks!$A:$A,0)),Tasks!$I:$I,"&lt;&gt;")/COUNTIFS(Tasks!$A:$A,$A2905,Tasks!$B:$B,$B2905,Tasks!$C:$C,$G2905)*100,0),"")</f>
        <v/>
      </c>
    </row>
    <row r="2906" spans="1:8" ht="15" hidden="1" customHeight="1">
      <c r="A2906" t="s">
        <v>107</v>
      </c>
      <c r="B2906" t="s">
        <v>111</v>
      </c>
      <c r="C2906">
        <v>45</v>
      </c>
      <c r="D2906">
        <v>11</v>
      </c>
      <c r="E2906">
        <v>1</v>
      </c>
      <c r="F2906">
        <v>2</v>
      </c>
      <c r="G2906" t="s">
        <v>121</v>
      </c>
      <c r="H2906" t="str">
        <f>IFERROR(ROUND(COUNTIFS(Tasks!$A:$A,$A2906,Tasks!$B:$B,$B2906,Tasks!$C:$C,$G2906,Tasks!$I:$I,"&lt;="&amp;INDEX(Weeks!$D:$D,MATCH($C2906,Weeks!$A:$A,0)),Tasks!$I:$I,"&lt;&gt;")/COUNTIFS(Tasks!$A:$A,$A2906,Tasks!$B:$B,$B2906,Tasks!$C:$C,$G2906)*100,0),"")</f>
        <v/>
      </c>
    </row>
    <row r="2907" spans="1:8" ht="15" hidden="1" customHeight="1">
      <c r="A2907" t="s">
        <v>107</v>
      </c>
      <c r="B2907" t="s">
        <v>111</v>
      </c>
      <c r="C2907">
        <v>46</v>
      </c>
      <c r="D2907">
        <v>11</v>
      </c>
      <c r="E2907">
        <v>2</v>
      </c>
      <c r="F2907">
        <v>2</v>
      </c>
      <c r="G2907" t="s">
        <v>121</v>
      </c>
      <c r="H2907" t="str">
        <f>IFERROR(ROUND(COUNTIFS(Tasks!$A:$A,$A2907,Tasks!$B:$B,$B2907,Tasks!$C:$C,$G2907,Tasks!$I:$I,"&lt;="&amp;INDEX(Weeks!$D:$D,MATCH($C2907,Weeks!$A:$A,0)),Tasks!$I:$I,"&lt;&gt;")/COUNTIFS(Tasks!$A:$A,$A2907,Tasks!$B:$B,$B2907,Tasks!$C:$C,$G2907)*100,0),"")</f>
        <v/>
      </c>
    </row>
    <row r="2908" spans="1:8" ht="15" hidden="1" customHeight="1">
      <c r="A2908" t="s">
        <v>107</v>
      </c>
      <c r="B2908" t="s">
        <v>111</v>
      </c>
      <c r="C2908">
        <v>47</v>
      </c>
      <c r="D2908">
        <v>11</v>
      </c>
      <c r="E2908">
        <v>3</v>
      </c>
      <c r="F2908">
        <v>2</v>
      </c>
      <c r="G2908" t="s">
        <v>121</v>
      </c>
      <c r="H2908" t="str">
        <f>IFERROR(ROUND(COUNTIFS(Tasks!$A:$A,$A2908,Tasks!$B:$B,$B2908,Tasks!$C:$C,$G2908,Tasks!$I:$I,"&lt;="&amp;INDEX(Weeks!$D:$D,MATCH($C2908,Weeks!$A:$A,0)),Tasks!$I:$I,"&lt;&gt;")/COUNTIFS(Tasks!$A:$A,$A2908,Tasks!$B:$B,$B2908,Tasks!$C:$C,$G2908)*100,0),"")</f>
        <v/>
      </c>
    </row>
    <row r="2909" spans="1:8" ht="15" hidden="1" customHeight="1">
      <c r="A2909" t="s">
        <v>107</v>
      </c>
      <c r="B2909" t="s">
        <v>111</v>
      </c>
      <c r="C2909">
        <v>48</v>
      </c>
      <c r="D2909">
        <v>11</v>
      </c>
      <c r="E2909">
        <v>4</v>
      </c>
      <c r="F2909">
        <v>2</v>
      </c>
      <c r="G2909" t="s">
        <v>121</v>
      </c>
      <c r="H2909" t="str">
        <f>IFERROR(ROUND(COUNTIFS(Tasks!$A:$A,$A2909,Tasks!$B:$B,$B2909,Tasks!$C:$C,$G2909,Tasks!$I:$I,"&lt;="&amp;INDEX(Weeks!$D:$D,MATCH($C2909,Weeks!$A:$A,0)),Tasks!$I:$I,"&lt;&gt;")/COUNTIFS(Tasks!$A:$A,$A2909,Tasks!$B:$B,$B2909,Tasks!$C:$C,$G2909)*100,0),"")</f>
        <v/>
      </c>
    </row>
    <row r="2910" spans="1:8" ht="15" hidden="1" customHeight="1">
      <c r="A2910" t="s">
        <v>107</v>
      </c>
      <c r="B2910" t="s">
        <v>111</v>
      </c>
      <c r="C2910">
        <v>49</v>
      </c>
      <c r="D2910">
        <v>12</v>
      </c>
      <c r="E2910">
        <v>1</v>
      </c>
      <c r="F2910">
        <v>2</v>
      </c>
      <c r="G2910" t="s">
        <v>121</v>
      </c>
      <c r="H2910" t="str">
        <f>IFERROR(ROUND(COUNTIFS(Tasks!$A:$A,$A2910,Tasks!$B:$B,$B2910,Tasks!$C:$C,$G2910,Tasks!$I:$I,"&lt;="&amp;INDEX(Weeks!$D:$D,MATCH($C2910,Weeks!$A:$A,0)),Tasks!$I:$I,"&lt;&gt;")/COUNTIFS(Tasks!$A:$A,$A2910,Tasks!$B:$B,$B2910,Tasks!$C:$C,$G2910)*100,0),"")</f>
        <v/>
      </c>
    </row>
    <row r="2911" spans="1:8" ht="15" hidden="1" customHeight="1">
      <c r="A2911" t="s">
        <v>107</v>
      </c>
      <c r="B2911" t="s">
        <v>111</v>
      </c>
      <c r="C2911">
        <v>50</v>
      </c>
      <c r="D2911">
        <v>12</v>
      </c>
      <c r="E2911">
        <v>2</v>
      </c>
      <c r="F2911">
        <v>2</v>
      </c>
      <c r="G2911" t="s">
        <v>121</v>
      </c>
      <c r="H2911" t="str">
        <f>IFERROR(ROUND(COUNTIFS(Tasks!$A:$A,$A2911,Tasks!$B:$B,$B2911,Tasks!$C:$C,$G2911,Tasks!$I:$I,"&lt;="&amp;INDEX(Weeks!$D:$D,MATCH($C2911,Weeks!$A:$A,0)),Tasks!$I:$I,"&lt;&gt;")/COUNTIFS(Tasks!$A:$A,$A2911,Tasks!$B:$B,$B2911,Tasks!$C:$C,$G2911)*100,0),"")</f>
        <v/>
      </c>
    </row>
    <row r="2912" spans="1:8" ht="15" hidden="1" customHeight="1">
      <c r="A2912" t="s">
        <v>107</v>
      </c>
      <c r="B2912" t="s">
        <v>111</v>
      </c>
      <c r="C2912">
        <v>51</v>
      </c>
      <c r="D2912">
        <v>12</v>
      </c>
      <c r="E2912">
        <v>3</v>
      </c>
      <c r="F2912">
        <v>2</v>
      </c>
      <c r="G2912" t="s">
        <v>121</v>
      </c>
      <c r="H2912" t="str">
        <f>IFERROR(ROUND(COUNTIFS(Tasks!$A:$A,$A2912,Tasks!$B:$B,$B2912,Tasks!$C:$C,$G2912,Tasks!$I:$I,"&lt;="&amp;INDEX(Weeks!$D:$D,MATCH($C2912,Weeks!$A:$A,0)),Tasks!$I:$I,"&lt;&gt;")/COUNTIFS(Tasks!$A:$A,$A2912,Tasks!$B:$B,$B2912,Tasks!$C:$C,$G2912)*100,0),"")</f>
        <v/>
      </c>
    </row>
    <row r="2913" spans="1:8" ht="15" hidden="1" customHeight="1">
      <c r="A2913" t="s">
        <v>107</v>
      </c>
      <c r="B2913" t="s">
        <v>111</v>
      </c>
      <c r="C2913">
        <v>52</v>
      </c>
      <c r="D2913">
        <v>12</v>
      </c>
      <c r="E2913">
        <v>4</v>
      </c>
      <c r="F2913">
        <v>2</v>
      </c>
      <c r="G2913" t="s">
        <v>121</v>
      </c>
      <c r="H2913" t="str">
        <f>IFERROR(ROUND(COUNTIFS(Tasks!$A:$A,$A2913,Tasks!$B:$B,$B2913,Tasks!$C:$C,$G2913,Tasks!$I:$I,"&lt;="&amp;INDEX(Weeks!$D:$D,MATCH($C2913,Weeks!$A:$A,0)),Tasks!$I:$I,"&lt;&gt;")/COUNTIFS(Tasks!$A:$A,$A2913,Tasks!$B:$B,$B2913,Tasks!$C:$C,$G2913)*100,0),"")</f>
        <v/>
      </c>
    </row>
    <row r="2914" spans="1:8" ht="15" hidden="1" customHeight="1">
      <c r="A2914" t="s">
        <v>107</v>
      </c>
      <c r="B2914" t="s">
        <v>111</v>
      </c>
      <c r="C2914">
        <v>1</v>
      </c>
      <c r="D2914">
        <v>1</v>
      </c>
      <c r="E2914">
        <v>1</v>
      </c>
      <c r="F2914">
        <v>3</v>
      </c>
      <c r="G2914" t="s">
        <v>122</v>
      </c>
      <c r="H2914" t="str">
        <f>IFERROR(ROUND(COUNTIFS(Tasks!$A:$A,$A2914,Tasks!$B:$B,$B2914,Tasks!$C:$C,$G2914,Tasks!$I:$I,"&lt;="&amp;INDEX(Weeks!$D:$D,MATCH($C2914,Weeks!$A:$A,0)),Tasks!$I:$I,"&lt;&gt;")/COUNTIFS(Tasks!$A:$A,$A2914,Tasks!$B:$B,$B2914,Tasks!$C:$C,$G2914)*100,0),"")</f>
        <v/>
      </c>
    </row>
    <row r="2915" spans="1:8" ht="15" hidden="1" customHeight="1">
      <c r="A2915" t="s">
        <v>107</v>
      </c>
      <c r="B2915" t="s">
        <v>111</v>
      </c>
      <c r="C2915">
        <v>2</v>
      </c>
      <c r="D2915">
        <v>1</v>
      </c>
      <c r="E2915">
        <v>2</v>
      </c>
      <c r="F2915">
        <v>3</v>
      </c>
      <c r="G2915" t="s">
        <v>122</v>
      </c>
      <c r="H2915" t="str">
        <f>IFERROR(ROUND(COUNTIFS(Tasks!$A:$A,$A2915,Tasks!$B:$B,$B2915,Tasks!$C:$C,$G2915,Tasks!$I:$I,"&lt;="&amp;INDEX(Weeks!$D:$D,MATCH($C2915,Weeks!$A:$A,0)),Tasks!$I:$I,"&lt;&gt;")/COUNTIFS(Tasks!$A:$A,$A2915,Tasks!$B:$B,$B2915,Tasks!$C:$C,$G2915)*100,0),"")</f>
        <v/>
      </c>
    </row>
    <row r="2916" spans="1:8" ht="15" hidden="1" customHeight="1">
      <c r="A2916" t="s">
        <v>107</v>
      </c>
      <c r="B2916" t="s">
        <v>111</v>
      </c>
      <c r="C2916">
        <v>3</v>
      </c>
      <c r="D2916">
        <v>1</v>
      </c>
      <c r="E2916">
        <v>3</v>
      </c>
      <c r="F2916">
        <v>3</v>
      </c>
      <c r="G2916" t="s">
        <v>122</v>
      </c>
      <c r="H2916" t="str">
        <f>IFERROR(ROUND(COUNTIFS(Tasks!$A:$A,$A2916,Tasks!$B:$B,$B2916,Tasks!$C:$C,$G2916,Tasks!$I:$I,"&lt;="&amp;INDEX(Weeks!$D:$D,MATCH($C2916,Weeks!$A:$A,0)),Tasks!$I:$I,"&lt;&gt;")/COUNTIFS(Tasks!$A:$A,$A2916,Tasks!$B:$B,$B2916,Tasks!$C:$C,$G2916)*100,0),"")</f>
        <v/>
      </c>
    </row>
    <row r="2917" spans="1:8" ht="15" hidden="1" customHeight="1">
      <c r="A2917" t="s">
        <v>107</v>
      </c>
      <c r="B2917" t="s">
        <v>111</v>
      </c>
      <c r="C2917">
        <v>4</v>
      </c>
      <c r="D2917">
        <v>1</v>
      </c>
      <c r="E2917">
        <v>4</v>
      </c>
      <c r="F2917">
        <v>3</v>
      </c>
      <c r="G2917" t="s">
        <v>122</v>
      </c>
      <c r="H2917" t="str">
        <f>IFERROR(ROUND(COUNTIFS(Tasks!$A:$A,$A2917,Tasks!$B:$B,$B2917,Tasks!$C:$C,$G2917,Tasks!$I:$I,"&lt;="&amp;INDEX(Weeks!$D:$D,MATCH($C2917,Weeks!$A:$A,0)),Tasks!$I:$I,"&lt;&gt;")/COUNTIFS(Tasks!$A:$A,$A2917,Tasks!$B:$B,$B2917,Tasks!$C:$C,$G2917)*100,0),"")</f>
        <v/>
      </c>
    </row>
    <row r="2918" spans="1:8" ht="15" hidden="1" customHeight="1">
      <c r="A2918" t="s">
        <v>107</v>
      </c>
      <c r="B2918" t="s">
        <v>111</v>
      </c>
      <c r="C2918">
        <v>5</v>
      </c>
      <c r="D2918">
        <v>1</v>
      </c>
      <c r="E2918">
        <v>5</v>
      </c>
      <c r="F2918">
        <v>3</v>
      </c>
      <c r="G2918" t="s">
        <v>122</v>
      </c>
      <c r="H2918" t="str">
        <f>IFERROR(ROUND(COUNTIFS(Tasks!$A:$A,$A2918,Tasks!$B:$B,$B2918,Tasks!$C:$C,$G2918,Tasks!$I:$I,"&lt;="&amp;INDEX(Weeks!$D:$D,MATCH($C2918,Weeks!$A:$A,0)),Tasks!$I:$I,"&lt;&gt;")/COUNTIFS(Tasks!$A:$A,$A2918,Tasks!$B:$B,$B2918,Tasks!$C:$C,$G2918)*100,0),"")</f>
        <v/>
      </c>
    </row>
    <row r="2919" spans="1:8" ht="15" hidden="1" customHeight="1">
      <c r="A2919" t="s">
        <v>107</v>
      </c>
      <c r="B2919" t="s">
        <v>111</v>
      </c>
      <c r="C2919">
        <v>6</v>
      </c>
      <c r="D2919">
        <v>2</v>
      </c>
      <c r="E2919">
        <v>1</v>
      </c>
      <c r="F2919">
        <v>3</v>
      </c>
      <c r="G2919" t="s">
        <v>122</v>
      </c>
      <c r="H2919" t="str">
        <f>IFERROR(ROUND(COUNTIFS(Tasks!$A:$A,$A2919,Tasks!$B:$B,$B2919,Tasks!$C:$C,$G2919,Tasks!$I:$I,"&lt;="&amp;INDEX(Weeks!$D:$D,MATCH($C2919,Weeks!$A:$A,0)),Tasks!$I:$I,"&lt;&gt;")/COUNTIFS(Tasks!$A:$A,$A2919,Tasks!$B:$B,$B2919,Tasks!$C:$C,$G2919)*100,0),"")</f>
        <v/>
      </c>
    </row>
    <row r="2920" spans="1:8" ht="15" hidden="1" customHeight="1">
      <c r="A2920" t="s">
        <v>107</v>
      </c>
      <c r="B2920" t="s">
        <v>111</v>
      </c>
      <c r="C2920">
        <v>7</v>
      </c>
      <c r="D2920">
        <v>2</v>
      </c>
      <c r="E2920">
        <v>2</v>
      </c>
      <c r="F2920">
        <v>3</v>
      </c>
      <c r="G2920" t="s">
        <v>122</v>
      </c>
      <c r="H2920" t="str">
        <f>IFERROR(ROUND(COUNTIFS(Tasks!$A:$A,$A2920,Tasks!$B:$B,$B2920,Tasks!$C:$C,$G2920,Tasks!$I:$I,"&lt;="&amp;INDEX(Weeks!$D:$D,MATCH($C2920,Weeks!$A:$A,0)),Tasks!$I:$I,"&lt;&gt;")/COUNTIFS(Tasks!$A:$A,$A2920,Tasks!$B:$B,$B2920,Tasks!$C:$C,$G2920)*100,0),"")</f>
        <v/>
      </c>
    </row>
    <row r="2921" spans="1:8" ht="15" hidden="1" customHeight="1">
      <c r="A2921" t="s">
        <v>107</v>
      </c>
      <c r="B2921" t="s">
        <v>111</v>
      </c>
      <c r="C2921">
        <v>8</v>
      </c>
      <c r="D2921">
        <v>2</v>
      </c>
      <c r="E2921">
        <v>3</v>
      </c>
      <c r="F2921">
        <v>3</v>
      </c>
      <c r="G2921" t="s">
        <v>122</v>
      </c>
      <c r="H2921" t="str">
        <f>IFERROR(ROUND(COUNTIFS(Tasks!$A:$A,$A2921,Tasks!$B:$B,$B2921,Tasks!$C:$C,$G2921,Tasks!$I:$I,"&lt;="&amp;INDEX(Weeks!$D:$D,MATCH($C2921,Weeks!$A:$A,0)),Tasks!$I:$I,"&lt;&gt;")/COUNTIFS(Tasks!$A:$A,$A2921,Tasks!$B:$B,$B2921,Tasks!$C:$C,$G2921)*100,0),"")</f>
        <v/>
      </c>
    </row>
    <row r="2922" spans="1:8" ht="15" hidden="1" customHeight="1">
      <c r="A2922" t="s">
        <v>107</v>
      </c>
      <c r="B2922" t="s">
        <v>111</v>
      </c>
      <c r="C2922">
        <v>9</v>
      </c>
      <c r="D2922">
        <v>2</v>
      </c>
      <c r="E2922">
        <v>4</v>
      </c>
      <c r="F2922">
        <v>3</v>
      </c>
      <c r="G2922" t="s">
        <v>122</v>
      </c>
      <c r="H2922" t="str">
        <f>IFERROR(ROUND(COUNTIFS(Tasks!$A:$A,$A2922,Tasks!$B:$B,$B2922,Tasks!$C:$C,$G2922,Tasks!$I:$I,"&lt;="&amp;INDEX(Weeks!$D:$D,MATCH($C2922,Weeks!$A:$A,0)),Tasks!$I:$I,"&lt;&gt;")/COUNTIFS(Tasks!$A:$A,$A2922,Tasks!$B:$B,$B2922,Tasks!$C:$C,$G2922)*100,0),"")</f>
        <v/>
      </c>
    </row>
    <row r="2923" spans="1:8" ht="15" hidden="1" customHeight="1">
      <c r="A2923" t="s">
        <v>107</v>
      </c>
      <c r="B2923" t="s">
        <v>111</v>
      </c>
      <c r="C2923">
        <v>10</v>
      </c>
      <c r="D2923">
        <v>3</v>
      </c>
      <c r="E2923">
        <v>1</v>
      </c>
      <c r="F2923">
        <v>3</v>
      </c>
      <c r="G2923" t="s">
        <v>122</v>
      </c>
      <c r="H2923" t="str">
        <f>IFERROR(ROUND(COUNTIFS(Tasks!$A:$A,$A2923,Tasks!$B:$B,$B2923,Tasks!$C:$C,$G2923,Tasks!$I:$I,"&lt;="&amp;INDEX(Weeks!$D:$D,MATCH($C2923,Weeks!$A:$A,0)),Tasks!$I:$I,"&lt;&gt;")/COUNTIFS(Tasks!$A:$A,$A2923,Tasks!$B:$B,$B2923,Tasks!$C:$C,$G2923)*100,0),"")</f>
        <v/>
      </c>
    </row>
    <row r="2924" spans="1:8" ht="15" hidden="1" customHeight="1">
      <c r="A2924" t="s">
        <v>107</v>
      </c>
      <c r="B2924" t="s">
        <v>111</v>
      </c>
      <c r="C2924">
        <v>11</v>
      </c>
      <c r="D2924">
        <v>3</v>
      </c>
      <c r="E2924">
        <v>2</v>
      </c>
      <c r="F2924">
        <v>3</v>
      </c>
      <c r="G2924" t="s">
        <v>122</v>
      </c>
      <c r="H2924" t="str">
        <f>IFERROR(ROUND(COUNTIFS(Tasks!$A:$A,$A2924,Tasks!$B:$B,$B2924,Tasks!$C:$C,$G2924,Tasks!$I:$I,"&lt;="&amp;INDEX(Weeks!$D:$D,MATCH($C2924,Weeks!$A:$A,0)),Tasks!$I:$I,"&lt;&gt;")/COUNTIFS(Tasks!$A:$A,$A2924,Tasks!$B:$B,$B2924,Tasks!$C:$C,$G2924)*100,0),"")</f>
        <v/>
      </c>
    </row>
    <row r="2925" spans="1:8" ht="15" hidden="1" customHeight="1">
      <c r="A2925" t="s">
        <v>107</v>
      </c>
      <c r="B2925" t="s">
        <v>111</v>
      </c>
      <c r="C2925">
        <v>12</v>
      </c>
      <c r="D2925">
        <v>3</v>
      </c>
      <c r="E2925">
        <v>3</v>
      </c>
      <c r="F2925">
        <v>3</v>
      </c>
      <c r="G2925" t="s">
        <v>122</v>
      </c>
      <c r="H2925" t="str">
        <f>IFERROR(ROUND(COUNTIFS(Tasks!$A:$A,$A2925,Tasks!$B:$B,$B2925,Tasks!$C:$C,$G2925,Tasks!$I:$I,"&lt;="&amp;INDEX(Weeks!$D:$D,MATCH($C2925,Weeks!$A:$A,0)),Tasks!$I:$I,"&lt;&gt;")/COUNTIFS(Tasks!$A:$A,$A2925,Tasks!$B:$B,$B2925,Tasks!$C:$C,$G2925)*100,0),"")</f>
        <v/>
      </c>
    </row>
    <row r="2926" spans="1:8" ht="15" hidden="1" customHeight="1">
      <c r="A2926" t="s">
        <v>107</v>
      </c>
      <c r="B2926" t="s">
        <v>111</v>
      </c>
      <c r="C2926">
        <v>13</v>
      </c>
      <c r="D2926">
        <v>3</v>
      </c>
      <c r="E2926">
        <v>4</v>
      </c>
      <c r="F2926">
        <v>3</v>
      </c>
      <c r="G2926" t="s">
        <v>122</v>
      </c>
      <c r="H2926" t="str">
        <f>IFERROR(ROUND(COUNTIFS(Tasks!$A:$A,$A2926,Tasks!$B:$B,$B2926,Tasks!$C:$C,$G2926,Tasks!$I:$I,"&lt;="&amp;INDEX(Weeks!$D:$D,MATCH($C2926,Weeks!$A:$A,0)),Tasks!$I:$I,"&lt;&gt;")/COUNTIFS(Tasks!$A:$A,$A2926,Tasks!$B:$B,$B2926,Tasks!$C:$C,$G2926)*100,0),"")</f>
        <v/>
      </c>
    </row>
    <row r="2927" spans="1:8" ht="15" hidden="1" customHeight="1">
      <c r="A2927" t="s">
        <v>107</v>
      </c>
      <c r="B2927" t="s">
        <v>111</v>
      </c>
      <c r="C2927">
        <v>14</v>
      </c>
      <c r="D2927">
        <v>4</v>
      </c>
      <c r="E2927">
        <v>1</v>
      </c>
      <c r="F2927">
        <v>3</v>
      </c>
      <c r="G2927" t="s">
        <v>122</v>
      </c>
      <c r="H2927" t="str">
        <f>IFERROR(ROUND(COUNTIFS(Tasks!$A:$A,$A2927,Tasks!$B:$B,$B2927,Tasks!$C:$C,$G2927,Tasks!$I:$I,"&lt;="&amp;INDEX(Weeks!$D:$D,MATCH($C2927,Weeks!$A:$A,0)),Tasks!$I:$I,"&lt;&gt;")/COUNTIFS(Tasks!$A:$A,$A2927,Tasks!$B:$B,$B2927,Tasks!$C:$C,$G2927)*100,0),"")</f>
        <v/>
      </c>
    </row>
    <row r="2928" spans="1:8" ht="15" hidden="1" customHeight="1">
      <c r="A2928" t="s">
        <v>107</v>
      </c>
      <c r="B2928" t="s">
        <v>111</v>
      </c>
      <c r="C2928">
        <v>15</v>
      </c>
      <c r="D2928">
        <v>4</v>
      </c>
      <c r="E2928">
        <v>2</v>
      </c>
      <c r="F2928">
        <v>3</v>
      </c>
      <c r="G2928" t="s">
        <v>122</v>
      </c>
      <c r="H2928" t="str">
        <f>IFERROR(ROUND(COUNTIFS(Tasks!$A:$A,$A2928,Tasks!$B:$B,$B2928,Tasks!$C:$C,$G2928,Tasks!$I:$I,"&lt;="&amp;INDEX(Weeks!$D:$D,MATCH($C2928,Weeks!$A:$A,0)),Tasks!$I:$I,"&lt;&gt;")/COUNTIFS(Tasks!$A:$A,$A2928,Tasks!$B:$B,$B2928,Tasks!$C:$C,$G2928)*100,0),"")</f>
        <v/>
      </c>
    </row>
    <row r="2929" spans="1:8" ht="15" hidden="1" customHeight="1">
      <c r="A2929" t="s">
        <v>107</v>
      </c>
      <c r="B2929" t="s">
        <v>111</v>
      </c>
      <c r="C2929">
        <v>16</v>
      </c>
      <c r="D2929">
        <v>4</v>
      </c>
      <c r="E2929">
        <v>3</v>
      </c>
      <c r="F2929">
        <v>3</v>
      </c>
      <c r="G2929" t="s">
        <v>122</v>
      </c>
      <c r="H2929" t="str">
        <f>IFERROR(ROUND(COUNTIFS(Tasks!$A:$A,$A2929,Tasks!$B:$B,$B2929,Tasks!$C:$C,$G2929,Tasks!$I:$I,"&lt;="&amp;INDEX(Weeks!$D:$D,MATCH($C2929,Weeks!$A:$A,0)),Tasks!$I:$I,"&lt;&gt;")/COUNTIFS(Tasks!$A:$A,$A2929,Tasks!$B:$B,$B2929,Tasks!$C:$C,$G2929)*100,0),"")</f>
        <v/>
      </c>
    </row>
    <row r="2930" spans="1:8" ht="15" hidden="1" customHeight="1">
      <c r="A2930" t="s">
        <v>107</v>
      </c>
      <c r="B2930" t="s">
        <v>111</v>
      </c>
      <c r="C2930">
        <v>17</v>
      </c>
      <c r="D2930">
        <v>4</v>
      </c>
      <c r="E2930">
        <v>4</v>
      </c>
      <c r="F2930">
        <v>3</v>
      </c>
      <c r="G2930" t="s">
        <v>122</v>
      </c>
      <c r="H2930" t="str">
        <f>IFERROR(ROUND(COUNTIFS(Tasks!$A:$A,$A2930,Tasks!$B:$B,$B2930,Tasks!$C:$C,$G2930,Tasks!$I:$I,"&lt;="&amp;INDEX(Weeks!$D:$D,MATCH($C2930,Weeks!$A:$A,0)),Tasks!$I:$I,"&lt;&gt;")/COUNTIFS(Tasks!$A:$A,$A2930,Tasks!$B:$B,$B2930,Tasks!$C:$C,$G2930)*100,0),"")</f>
        <v/>
      </c>
    </row>
    <row r="2931" spans="1:8" ht="15" hidden="1" customHeight="1">
      <c r="A2931" t="s">
        <v>107</v>
      </c>
      <c r="B2931" t="s">
        <v>111</v>
      </c>
      <c r="C2931">
        <v>18</v>
      </c>
      <c r="D2931">
        <v>5</v>
      </c>
      <c r="E2931">
        <v>1</v>
      </c>
      <c r="F2931">
        <v>3</v>
      </c>
      <c r="G2931" t="s">
        <v>122</v>
      </c>
      <c r="H2931" t="str">
        <f>IFERROR(ROUND(COUNTIFS(Tasks!$A:$A,$A2931,Tasks!$B:$B,$B2931,Tasks!$C:$C,$G2931,Tasks!$I:$I,"&lt;="&amp;INDEX(Weeks!$D:$D,MATCH($C2931,Weeks!$A:$A,0)),Tasks!$I:$I,"&lt;&gt;")/COUNTIFS(Tasks!$A:$A,$A2931,Tasks!$B:$B,$B2931,Tasks!$C:$C,$G2931)*100,0),"")</f>
        <v/>
      </c>
    </row>
    <row r="2932" spans="1:8" ht="15" hidden="1" customHeight="1">
      <c r="A2932" t="s">
        <v>107</v>
      </c>
      <c r="B2932" t="s">
        <v>111</v>
      </c>
      <c r="C2932">
        <v>19</v>
      </c>
      <c r="D2932">
        <v>5</v>
      </c>
      <c r="E2932">
        <v>2</v>
      </c>
      <c r="F2932">
        <v>3</v>
      </c>
      <c r="G2932" t="s">
        <v>122</v>
      </c>
      <c r="H2932" t="str">
        <f>IFERROR(ROUND(COUNTIFS(Tasks!$A:$A,$A2932,Tasks!$B:$B,$B2932,Tasks!$C:$C,$G2932,Tasks!$I:$I,"&lt;="&amp;INDEX(Weeks!$D:$D,MATCH($C2932,Weeks!$A:$A,0)),Tasks!$I:$I,"&lt;&gt;")/COUNTIFS(Tasks!$A:$A,$A2932,Tasks!$B:$B,$B2932,Tasks!$C:$C,$G2932)*100,0),"")</f>
        <v/>
      </c>
    </row>
    <row r="2933" spans="1:8" ht="15" hidden="1" customHeight="1">
      <c r="A2933" t="s">
        <v>107</v>
      </c>
      <c r="B2933" t="s">
        <v>111</v>
      </c>
      <c r="C2933">
        <v>20</v>
      </c>
      <c r="D2933">
        <v>5</v>
      </c>
      <c r="E2933">
        <v>3</v>
      </c>
      <c r="F2933">
        <v>3</v>
      </c>
      <c r="G2933" t="s">
        <v>122</v>
      </c>
      <c r="H2933" t="str">
        <f>IFERROR(ROUND(COUNTIFS(Tasks!$A:$A,$A2933,Tasks!$B:$B,$B2933,Tasks!$C:$C,$G2933,Tasks!$I:$I,"&lt;="&amp;INDEX(Weeks!$D:$D,MATCH($C2933,Weeks!$A:$A,0)),Tasks!$I:$I,"&lt;&gt;")/COUNTIFS(Tasks!$A:$A,$A2933,Tasks!$B:$B,$B2933,Tasks!$C:$C,$G2933)*100,0),"")</f>
        <v/>
      </c>
    </row>
    <row r="2934" spans="1:8" ht="15" hidden="1" customHeight="1">
      <c r="A2934" t="s">
        <v>107</v>
      </c>
      <c r="B2934" t="s">
        <v>111</v>
      </c>
      <c r="C2934">
        <v>21</v>
      </c>
      <c r="D2934">
        <v>5</v>
      </c>
      <c r="E2934">
        <v>4</v>
      </c>
      <c r="F2934">
        <v>3</v>
      </c>
      <c r="G2934" t="s">
        <v>122</v>
      </c>
      <c r="H2934" t="str">
        <f>IFERROR(ROUND(COUNTIFS(Tasks!$A:$A,$A2934,Tasks!$B:$B,$B2934,Tasks!$C:$C,$G2934,Tasks!$I:$I,"&lt;="&amp;INDEX(Weeks!$D:$D,MATCH($C2934,Weeks!$A:$A,0)),Tasks!$I:$I,"&lt;&gt;")/COUNTIFS(Tasks!$A:$A,$A2934,Tasks!$B:$B,$B2934,Tasks!$C:$C,$G2934)*100,0),"")</f>
        <v/>
      </c>
    </row>
    <row r="2935" spans="1:8" ht="15" hidden="1" customHeight="1">
      <c r="A2935" t="s">
        <v>107</v>
      </c>
      <c r="B2935" t="s">
        <v>111</v>
      </c>
      <c r="C2935">
        <v>22</v>
      </c>
      <c r="D2935">
        <v>5</v>
      </c>
      <c r="E2935">
        <v>5</v>
      </c>
      <c r="F2935">
        <v>3</v>
      </c>
      <c r="G2935" t="s">
        <v>122</v>
      </c>
      <c r="H2935" t="str">
        <f>IFERROR(ROUND(COUNTIFS(Tasks!$A:$A,$A2935,Tasks!$B:$B,$B2935,Tasks!$C:$C,$G2935,Tasks!$I:$I,"&lt;="&amp;INDEX(Weeks!$D:$D,MATCH($C2935,Weeks!$A:$A,0)),Tasks!$I:$I,"&lt;&gt;")/COUNTIFS(Tasks!$A:$A,$A2935,Tasks!$B:$B,$B2935,Tasks!$C:$C,$G2935)*100,0),"")</f>
        <v/>
      </c>
    </row>
    <row r="2936" spans="1:8" ht="15" hidden="1" customHeight="1">
      <c r="A2936" t="s">
        <v>107</v>
      </c>
      <c r="B2936" t="s">
        <v>111</v>
      </c>
      <c r="C2936">
        <v>23</v>
      </c>
      <c r="D2936">
        <v>6</v>
      </c>
      <c r="E2936">
        <v>1</v>
      </c>
      <c r="F2936">
        <v>3</v>
      </c>
      <c r="G2936" t="s">
        <v>122</v>
      </c>
      <c r="H2936" t="str">
        <f>IFERROR(ROUND(COUNTIFS(Tasks!$A:$A,$A2936,Tasks!$B:$B,$B2936,Tasks!$C:$C,$G2936,Tasks!$I:$I,"&lt;="&amp;INDEX(Weeks!$D:$D,MATCH($C2936,Weeks!$A:$A,0)),Tasks!$I:$I,"&lt;&gt;")/COUNTIFS(Tasks!$A:$A,$A2936,Tasks!$B:$B,$B2936,Tasks!$C:$C,$G2936)*100,0),"")</f>
        <v/>
      </c>
    </row>
    <row r="2937" spans="1:8" ht="15" hidden="1" customHeight="1">
      <c r="A2937" t="s">
        <v>107</v>
      </c>
      <c r="B2937" t="s">
        <v>111</v>
      </c>
      <c r="C2937">
        <v>24</v>
      </c>
      <c r="D2937">
        <v>6</v>
      </c>
      <c r="E2937">
        <v>2</v>
      </c>
      <c r="F2937">
        <v>3</v>
      </c>
      <c r="G2937" t="s">
        <v>122</v>
      </c>
      <c r="H2937" t="str">
        <f>IFERROR(ROUND(COUNTIFS(Tasks!$A:$A,$A2937,Tasks!$B:$B,$B2937,Tasks!$C:$C,$G2937,Tasks!$I:$I,"&lt;="&amp;INDEX(Weeks!$D:$D,MATCH($C2937,Weeks!$A:$A,0)),Tasks!$I:$I,"&lt;&gt;")/COUNTIFS(Tasks!$A:$A,$A2937,Tasks!$B:$B,$B2937,Tasks!$C:$C,$G2937)*100,0),"")</f>
        <v/>
      </c>
    </row>
    <row r="2938" spans="1:8" ht="15" hidden="1" customHeight="1">
      <c r="A2938" t="s">
        <v>107</v>
      </c>
      <c r="B2938" t="s">
        <v>111</v>
      </c>
      <c r="C2938">
        <v>25</v>
      </c>
      <c r="D2938">
        <v>6</v>
      </c>
      <c r="E2938">
        <v>3</v>
      </c>
      <c r="F2938">
        <v>3</v>
      </c>
      <c r="G2938" t="s">
        <v>122</v>
      </c>
      <c r="H2938" t="str">
        <f>IFERROR(ROUND(COUNTIFS(Tasks!$A:$A,$A2938,Tasks!$B:$B,$B2938,Tasks!$C:$C,$G2938,Tasks!$I:$I,"&lt;="&amp;INDEX(Weeks!$D:$D,MATCH($C2938,Weeks!$A:$A,0)),Tasks!$I:$I,"&lt;&gt;")/COUNTIFS(Tasks!$A:$A,$A2938,Tasks!$B:$B,$B2938,Tasks!$C:$C,$G2938)*100,0),"")</f>
        <v/>
      </c>
    </row>
    <row r="2939" spans="1:8" ht="15" hidden="1" customHeight="1">
      <c r="A2939" t="s">
        <v>107</v>
      </c>
      <c r="B2939" t="s">
        <v>111</v>
      </c>
      <c r="C2939">
        <v>26</v>
      </c>
      <c r="D2939">
        <v>6</v>
      </c>
      <c r="E2939">
        <v>4</v>
      </c>
      <c r="F2939">
        <v>3</v>
      </c>
      <c r="G2939" t="s">
        <v>122</v>
      </c>
      <c r="H2939" t="str">
        <f>IFERROR(ROUND(COUNTIFS(Tasks!$A:$A,$A2939,Tasks!$B:$B,$B2939,Tasks!$C:$C,$G2939,Tasks!$I:$I,"&lt;="&amp;INDEX(Weeks!$D:$D,MATCH($C2939,Weeks!$A:$A,0)),Tasks!$I:$I,"&lt;&gt;")/COUNTIFS(Tasks!$A:$A,$A2939,Tasks!$B:$B,$B2939,Tasks!$C:$C,$G2939)*100,0),"")</f>
        <v/>
      </c>
    </row>
    <row r="2940" spans="1:8" ht="15" hidden="1" customHeight="1">
      <c r="A2940" t="s">
        <v>107</v>
      </c>
      <c r="B2940" t="s">
        <v>111</v>
      </c>
      <c r="C2940">
        <v>27</v>
      </c>
      <c r="D2940">
        <v>7</v>
      </c>
      <c r="E2940">
        <v>1</v>
      </c>
      <c r="F2940">
        <v>3</v>
      </c>
      <c r="G2940" t="s">
        <v>122</v>
      </c>
      <c r="H2940" t="str">
        <f>IFERROR(ROUND(COUNTIFS(Tasks!$A:$A,$A2940,Tasks!$B:$B,$B2940,Tasks!$C:$C,$G2940,Tasks!$I:$I,"&lt;="&amp;INDEX(Weeks!$D:$D,MATCH($C2940,Weeks!$A:$A,0)),Tasks!$I:$I,"&lt;&gt;")/COUNTIFS(Tasks!$A:$A,$A2940,Tasks!$B:$B,$B2940,Tasks!$C:$C,$G2940)*100,0),"")</f>
        <v/>
      </c>
    </row>
    <row r="2941" spans="1:8" ht="15" hidden="1" customHeight="1">
      <c r="A2941" t="s">
        <v>107</v>
      </c>
      <c r="B2941" t="s">
        <v>111</v>
      </c>
      <c r="C2941">
        <v>28</v>
      </c>
      <c r="D2941">
        <v>7</v>
      </c>
      <c r="E2941">
        <v>2</v>
      </c>
      <c r="F2941">
        <v>3</v>
      </c>
      <c r="G2941" t="s">
        <v>122</v>
      </c>
      <c r="H2941" t="str">
        <f>IFERROR(ROUND(COUNTIFS(Tasks!$A:$A,$A2941,Tasks!$B:$B,$B2941,Tasks!$C:$C,$G2941,Tasks!$I:$I,"&lt;="&amp;INDEX(Weeks!$D:$D,MATCH($C2941,Weeks!$A:$A,0)),Tasks!$I:$I,"&lt;&gt;")/COUNTIFS(Tasks!$A:$A,$A2941,Tasks!$B:$B,$B2941,Tasks!$C:$C,$G2941)*100,0),"")</f>
        <v/>
      </c>
    </row>
    <row r="2942" spans="1:8" ht="15" hidden="1" customHeight="1">
      <c r="A2942" t="s">
        <v>107</v>
      </c>
      <c r="B2942" t="s">
        <v>111</v>
      </c>
      <c r="C2942">
        <v>29</v>
      </c>
      <c r="D2942">
        <v>7</v>
      </c>
      <c r="E2942">
        <v>3</v>
      </c>
      <c r="F2942">
        <v>3</v>
      </c>
      <c r="G2942" t="s">
        <v>122</v>
      </c>
      <c r="H2942" t="str">
        <f>IFERROR(ROUND(COUNTIFS(Tasks!$A:$A,$A2942,Tasks!$B:$B,$B2942,Tasks!$C:$C,$G2942,Tasks!$I:$I,"&lt;="&amp;INDEX(Weeks!$D:$D,MATCH($C2942,Weeks!$A:$A,0)),Tasks!$I:$I,"&lt;&gt;")/COUNTIFS(Tasks!$A:$A,$A2942,Tasks!$B:$B,$B2942,Tasks!$C:$C,$G2942)*100,0),"")</f>
        <v/>
      </c>
    </row>
    <row r="2943" spans="1:8" ht="15" hidden="1" customHeight="1">
      <c r="A2943" t="s">
        <v>107</v>
      </c>
      <c r="B2943" t="s">
        <v>111</v>
      </c>
      <c r="C2943">
        <v>30</v>
      </c>
      <c r="D2943">
        <v>7</v>
      </c>
      <c r="E2943">
        <v>4</v>
      </c>
      <c r="F2943">
        <v>3</v>
      </c>
      <c r="G2943" t="s">
        <v>122</v>
      </c>
      <c r="H2943" t="str">
        <f>IFERROR(ROUND(COUNTIFS(Tasks!$A:$A,$A2943,Tasks!$B:$B,$B2943,Tasks!$C:$C,$G2943,Tasks!$I:$I,"&lt;="&amp;INDEX(Weeks!$D:$D,MATCH($C2943,Weeks!$A:$A,0)),Tasks!$I:$I,"&lt;&gt;")/COUNTIFS(Tasks!$A:$A,$A2943,Tasks!$B:$B,$B2943,Tasks!$C:$C,$G2943)*100,0),"")</f>
        <v/>
      </c>
    </row>
    <row r="2944" spans="1:8" ht="15" hidden="1" customHeight="1">
      <c r="A2944" t="s">
        <v>107</v>
      </c>
      <c r="B2944" t="s">
        <v>111</v>
      </c>
      <c r="C2944">
        <v>31</v>
      </c>
      <c r="D2944">
        <v>8</v>
      </c>
      <c r="E2944">
        <v>1</v>
      </c>
      <c r="F2944">
        <v>3</v>
      </c>
      <c r="G2944" t="s">
        <v>122</v>
      </c>
      <c r="H2944" t="str">
        <f>IFERROR(ROUND(COUNTIFS(Tasks!$A:$A,$A2944,Tasks!$B:$B,$B2944,Tasks!$C:$C,$G2944,Tasks!$I:$I,"&lt;="&amp;INDEX(Weeks!$D:$D,MATCH($C2944,Weeks!$A:$A,0)),Tasks!$I:$I,"&lt;&gt;")/COUNTIFS(Tasks!$A:$A,$A2944,Tasks!$B:$B,$B2944,Tasks!$C:$C,$G2944)*100,0),"")</f>
        <v/>
      </c>
    </row>
    <row r="2945" spans="1:8" ht="15" hidden="1" customHeight="1">
      <c r="A2945" t="s">
        <v>107</v>
      </c>
      <c r="B2945" t="s">
        <v>111</v>
      </c>
      <c r="C2945">
        <v>32</v>
      </c>
      <c r="D2945">
        <v>8</v>
      </c>
      <c r="E2945">
        <v>2</v>
      </c>
      <c r="F2945">
        <v>3</v>
      </c>
      <c r="G2945" t="s">
        <v>122</v>
      </c>
      <c r="H2945" t="str">
        <f>IFERROR(ROUND(COUNTIFS(Tasks!$A:$A,$A2945,Tasks!$B:$B,$B2945,Tasks!$C:$C,$G2945,Tasks!$I:$I,"&lt;="&amp;INDEX(Weeks!$D:$D,MATCH($C2945,Weeks!$A:$A,0)),Tasks!$I:$I,"&lt;&gt;")/COUNTIFS(Tasks!$A:$A,$A2945,Tasks!$B:$B,$B2945,Tasks!$C:$C,$G2945)*100,0),"")</f>
        <v/>
      </c>
    </row>
    <row r="2946" spans="1:8" ht="15" hidden="1" customHeight="1">
      <c r="A2946" t="s">
        <v>107</v>
      </c>
      <c r="B2946" t="s">
        <v>111</v>
      </c>
      <c r="C2946">
        <v>33</v>
      </c>
      <c r="D2946">
        <v>8</v>
      </c>
      <c r="E2946">
        <v>3</v>
      </c>
      <c r="F2946">
        <v>3</v>
      </c>
      <c r="G2946" t="s">
        <v>122</v>
      </c>
      <c r="H2946" t="str">
        <f>IFERROR(ROUND(COUNTIFS(Tasks!$A:$A,$A2946,Tasks!$B:$B,$B2946,Tasks!$C:$C,$G2946,Tasks!$I:$I,"&lt;="&amp;INDEX(Weeks!$D:$D,MATCH($C2946,Weeks!$A:$A,0)),Tasks!$I:$I,"&lt;&gt;")/COUNTIFS(Tasks!$A:$A,$A2946,Tasks!$B:$B,$B2946,Tasks!$C:$C,$G2946)*100,0),"")</f>
        <v/>
      </c>
    </row>
    <row r="2947" spans="1:8" ht="15" hidden="1" customHeight="1">
      <c r="A2947" t="s">
        <v>107</v>
      </c>
      <c r="B2947" t="s">
        <v>111</v>
      </c>
      <c r="C2947">
        <v>34</v>
      </c>
      <c r="D2947">
        <v>8</v>
      </c>
      <c r="E2947">
        <v>4</v>
      </c>
      <c r="F2947">
        <v>3</v>
      </c>
      <c r="G2947" t="s">
        <v>122</v>
      </c>
      <c r="H2947" t="str">
        <f>IFERROR(ROUND(COUNTIFS(Tasks!$A:$A,$A2947,Tasks!$B:$B,$B2947,Tasks!$C:$C,$G2947,Tasks!$I:$I,"&lt;="&amp;INDEX(Weeks!$D:$D,MATCH($C2947,Weeks!$A:$A,0)),Tasks!$I:$I,"&lt;&gt;")/COUNTIFS(Tasks!$A:$A,$A2947,Tasks!$B:$B,$B2947,Tasks!$C:$C,$G2947)*100,0),"")</f>
        <v/>
      </c>
    </row>
    <row r="2948" spans="1:8" ht="15" hidden="1" customHeight="1">
      <c r="A2948" t="s">
        <v>107</v>
      </c>
      <c r="B2948" t="s">
        <v>111</v>
      </c>
      <c r="C2948">
        <v>35</v>
      </c>
      <c r="D2948">
        <v>8</v>
      </c>
      <c r="E2948">
        <v>5</v>
      </c>
      <c r="F2948">
        <v>3</v>
      </c>
      <c r="G2948" t="s">
        <v>122</v>
      </c>
      <c r="H2948" t="str">
        <f>IFERROR(ROUND(COUNTIFS(Tasks!$A:$A,$A2948,Tasks!$B:$B,$B2948,Tasks!$C:$C,$G2948,Tasks!$I:$I,"&lt;="&amp;INDEX(Weeks!$D:$D,MATCH($C2948,Weeks!$A:$A,0)),Tasks!$I:$I,"&lt;&gt;")/COUNTIFS(Tasks!$A:$A,$A2948,Tasks!$B:$B,$B2948,Tasks!$C:$C,$G2948)*100,0),"")</f>
        <v/>
      </c>
    </row>
    <row r="2949" spans="1:8" ht="15" hidden="1" customHeight="1">
      <c r="A2949" t="s">
        <v>107</v>
      </c>
      <c r="B2949" t="s">
        <v>111</v>
      </c>
      <c r="C2949">
        <v>36</v>
      </c>
      <c r="D2949">
        <v>9</v>
      </c>
      <c r="E2949">
        <v>1</v>
      </c>
      <c r="F2949">
        <v>3</v>
      </c>
      <c r="G2949" t="s">
        <v>122</v>
      </c>
      <c r="H2949" t="str">
        <f>IFERROR(ROUND(COUNTIFS(Tasks!$A:$A,$A2949,Tasks!$B:$B,$B2949,Tasks!$C:$C,$G2949,Tasks!$I:$I,"&lt;="&amp;INDEX(Weeks!$D:$D,MATCH($C2949,Weeks!$A:$A,0)),Tasks!$I:$I,"&lt;&gt;")/COUNTIFS(Tasks!$A:$A,$A2949,Tasks!$B:$B,$B2949,Tasks!$C:$C,$G2949)*100,0),"")</f>
        <v/>
      </c>
    </row>
    <row r="2950" spans="1:8" ht="15" hidden="1" customHeight="1">
      <c r="A2950" t="s">
        <v>107</v>
      </c>
      <c r="B2950" t="s">
        <v>111</v>
      </c>
      <c r="C2950">
        <v>37</v>
      </c>
      <c r="D2950">
        <v>9</v>
      </c>
      <c r="E2950">
        <v>2</v>
      </c>
      <c r="F2950">
        <v>3</v>
      </c>
      <c r="G2950" t="s">
        <v>122</v>
      </c>
      <c r="H2950" t="str">
        <f>IFERROR(ROUND(COUNTIFS(Tasks!$A:$A,$A2950,Tasks!$B:$B,$B2950,Tasks!$C:$C,$G2950,Tasks!$I:$I,"&lt;="&amp;INDEX(Weeks!$D:$D,MATCH($C2950,Weeks!$A:$A,0)),Tasks!$I:$I,"&lt;&gt;")/COUNTIFS(Tasks!$A:$A,$A2950,Tasks!$B:$B,$B2950,Tasks!$C:$C,$G2950)*100,0),"")</f>
        <v/>
      </c>
    </row>
    <row r="2951" spans="1:8" ht="15" hidden="1" customHeight="1">
      <c r="A2951" t="s">
        <v>107</v>
      </c>
      <c r="B2951" t="s">
        <v>111</v>
      </c>
      <c r="C2951">
        <v>38</v>
      </c>
      <c r="D2951">
        <v>9</v>
      </c>
      <c r="E2951">
        <v>3</v>
      </c>
      <c r="F2951">
        <v>3</v>
      </c>
      <c r="G2951" t="s">
        <v>122</v>
      </c>
      <c r="H2951" t="str">
        <f>IFERROR(ROUND(COUNTIFS(Tasks!$A:$A,$A2951,Tasks!$B:$B,$B2951,Tasks!$C:$C,$G2951,Tasks!$I:$I,"&lt;="&amp;INDEX(Weeks!$D:$D,MATCH($C2951,Weeks!$A:$A,0)),Tasks!$I:$I,"&lt;&gt;")/COUNTIFS(Tasks!$A:$A,$A2951,Tasks!$B:$B,$B2951,Tasks!$C:$C,$G2951)*100,0),"")</f>
        <v/>
      </c>
    </row>
    <row r="2952" spans="1:8" ht="15" hidden="1" customHeight="1">
      <c r="A2952" t="s">
        <v>107</v>
      </c>
      <c r="B2952" t="s">
        <v>111</v>
      </c>
      <c r="C2952">
        <v>39</v>
      </c>
      <c r="D2952">
        <v>9</v>
      </c>
      <c r="E2952">
        <v>4</v>
      </c>
      <c r="F2952">
        <v>3</v>
      </c>
      <c r="G2952" t="s">
        <v>122</v>
      </c>
      <c r="H2952" t="str">
        <f>IFERROR(ROUND(COUNTIFS(Tasks!$A:$A,$A2952,Tasks!$B:$B,$B2952,Tasks!$C:$C,$G2952,Tasks!$I:$I,"&lt;="&amp;INDEX(Weeks!$D:$D,MATCH($C2952,Weeks!$A:$A,0)),Tasks!$I:$I,"&lt;&gt;")/COUNTIFS(Tasks!$A:$A,$A2952,Tasks!$B:$B,$B2952,Tasks!$C:$C,$G2952)*100,0),"")</f>
        <v/>
      </c>
    </row>
    <row r="2953" spans="1:8" ht="15" hidden="1" customHeight="1">
      <c r="A2953" t="s">
        <v>107</v>
      </c>
      <c r="B2953" t="s">
        <v>111</v>
      </c>
      <c r="C2953">
        <v>40</v>
      </c>
      <c r="D2953">
        <v>10</v>
      </c>
      <c r="E2953">
        <v>1</v>
      </c>
      <c r="F2953">
        <v>3</v>
      </c>
      <c r="G2953" t="s">
        <v>122</v>
      </c>
      <c r="H2953" t="str">
        <f>IFERROR(ROUND(COUNTIFS(Tasks!$A:$A,$A2953,Tasks!$B:$B,$B2953,Tasks!$C:$C,$G2953,Tasks!$I:$I,"&lt;="&amp;INDEX(Weeks!$D:$D,MATCH($C2953,Weeks!$A:$A,0)),Tasks!$I:$I,"&lt;&gt;")/COUNTIFS(Tasks!$A:$A,$A2953,Tasks!$B:$B,$B2953,Tasks!$C:$C,$G2953)*100,0),"")</f>
        <v/>
      </c>
    </row>
    <row r="2954" spans="1:8" ht="15" hidden="1" customHeight="1">
      <c r="A2954" t="s">
        <v>107</v>
      </c>
      <c r="B2954" t="s">
        <v>111</v>
      </c>
      <c r="C2954">
        <v>41</v>
      </c>
      <c r="D2954">
        <v>10</v>
      </c>
      <c r="E2954">
        <v>2</v>
      </c>
      <c r="F2954">
        <v>3</v>
      </c>
      <c r="G2954" t="s">
        <v>122</v>
      </c>
      <c r="H2954" t="str">
        <f>IFERROR(ROUND(COUNTIFS(Tasks!$A:$A,$A2954,Tasks!$B:$B,$B2954,Tasks!$C:$C,$G2954,Tasks!$I:$I,"&lt;="&amp;INDEX(Weeks!$D:$D,MATCH($C2954,Weeks!$A:$A,0)),Tasks!$I:$I,"&lt;&gt;")/COUNTIFS(Tasks!$A:$A,$A2954,Tasks!$B:$B,$B2954,Tasks!$C:$C,$G2954)*100,0),"")</f>
        <v/>
      </c>
    </row>
    <row r="2955" spans="1:8" ht="15" hidden="1" customHeight="1">
      <c r="A2955" t="s">
        <v>107</v>
      </c>
      <c r="B2955" t="s">
        <v>111</v>
      </c>
      <c r="C2955">
        <v>42</v>
      </c>
      <c r="D2955">
        <v>10</v>
      </c>
      <c r="E2955">
        <v>3</v>
      </c>
      <c r="F2955">
        <v>3</v>
      </c>
      <c r="G2955" t="s">
        <v>122</v>
      </c>
      <c r="H2955" t="str">
        <f>IFERROR(ROUND(COUNTIFS(Tasks!$A:$A,$A2955,Tasks!$B:$B,$B2955,Tasks!$C:$C,$G2955,Tasks!$I:$I,"&lt;="&amp;INDEX(Weeks!$D:$D,MATCH($C2955,Weeks!$A:$A,0)),Tasks!$I:$I,"&lt;&gt;")/COUNTIFS(Tasks!$A:$A,$A2955,Tasks!$B:$B,$B2955,Tasks!$C:$C,$G2955)*100,0),"")</f>
        <v/>
      </c>
    </row>
    <row r="2956" spans="1:8" ht="15" hidden="1" customHeight="1">
      <c r="A2956" t="s">
        <v>107</v>
      </c>
      <c r="B2956" t="s">
        <v>111</v>
      </c>
      <c r="C2956">
        <v>43</v>
      </c>
      <c r="D2956">
        <v>10</v>
      </c>
      <c r="E2956">
        <v>4</v>
      </c>
      <c r="F2956">
        <v>3</v>
      </c>
      <c r="G2956" t="s">
        <v>122</v>
      </c>
      <c r="H2956" t="str">
        <f>IFERROR(ROUND(COUNTIFS(Tasks!$A:$A,$A2956,Tasks!$B:$B,$B2956,Tasks!$C:$C,$G2956,Tasks!$I:$I,"&lt;="&amp;INDEX(Weeks!$D:$D,MATCH($C2956,Weeks!$A:$A,0)),Tasks!$I:$I,"&lt;&gt;")/COUNTIFS(Tasks!$A:$A,$A2956,Tasks!$B:$B,$B2956,Tasks!$C:$C,$G2956)*100,0),"")</f>
        <v/>
      </c>
    </row>
    <row r="2957" spans="1:8" ht="15" hidden="1" customHeight="1">
      <c r="A2957" t="s">
        <v>107</v>
      </c>
      <c r="B2957" t="s">
        <v>111</v>
      </c>
      <c r="C2957">
        <v>44</v>
      </c>
      <c r="D2957">
        <v>10</v>
      </c>
      <c r="E2957">
        <v>5</v>
      </c>
      <c r="F2957">
        <v>3</v>
      </c>
      <c r="G2957" t="s">
        <v>122</v>
      </c>
      <c r="H2957" t="str">
        <f>IFERROR(ROUND(COUNTIFS(Tasks!$A:$A,$A2957,Tasks!$B:$B,$B2957,Tasks!$C:$C,$G2957,Tasks!$I:$I,"&lt;="&amp;INDEX(Weeks!$D:$D,MATCH($C2957,Weeks!$A:$A,0)),Tasks!$I:$I,"&lt;&gt;")/COUNTIFS(Tasks!$A:$A,$A2957,Tasks!$B:$B,$B2957,Tasks!$C:$C,$G2957)*100,0),"")</f>
        <v/>
      </c>
    </row>
    <row r="2958" spans="1:8" ht="15" hidden="1" customHeight="1">
      <c r="A2958" t="s">
        <v>107</v>
      </c>
      <c r="B2958" t="s">
        <v>111</v>
      </c>
      <c r="C2958">
        <v>45</v>
      </c>
      <c r="D2958">
        <v>11</v>
      </c>
      <c r="E2958">
        <v>1</v>
      </c>
      <c r="F2958">
        <v>3</v>
      </c>
      <c r="G2958" t="s">
        <v>122</v>
      </c>
      <c r="H2958" t="str">
        <f>IFERROR(ROUND(COUNTIFS(Tasks!$A:$A,$A2958,Tasks!$B:$B,$B2958,Tasks!$C:$C,$G2958,Tasks!$I:$I,"&lt;="&amp;INDEX(Weeks!$D:$D,MATCH($C2958,Weeks!$A:$A,0)),Tasks!$I:$I,"&lt;&gt;")/COUNTIFS(Tasks!$A:$A,$A2958,Tasks!$B:$B,$B2958,Tasks!$C:$C,$G2958)*100,0),"")</f>
        <v/>
      </c>
    </row>
    <row r="2959" spans="1:8" ht="15" hidden="1" customHeight="1">
      <c r="A2959" t="s">
        <v>107</v>
      </c>
      <c r="B2959" t="s">
        <v>111</v>
      </c>
      <c r="C2959">
        <v>46</v>
      </c>
      <c r="D2959">
        <v>11</v>
      </c>
      <c r="E2959">
        <v>2</v>
      </c>
      <c r="F2959">
        <v>3</v>
      </c>
      <c r="G2959" t="s">
        <v>122</v>
      </c>
      <c r="H2959" t="str">
        <f>IFERROR(ROUND(COUNTIFS(Tasks!$A:$A,$A2959,Tasks!$B:$B,$B2959,Tasks!$C:$C,$G2959,Tasks!$I:$I,"&lt;="&amp;INDEX(Weeks!$D:$D,MATCH($C2959,Weeks!$A:$A,0)),Tasks!$I:$I,"&lt;&gt;")/COUNTIFS(Tasks!$A:$A,$A2959,Tasks!$B:$B,$B2959,Tasks!$C:$C,$G2959)*100,0),"")</f>
        <v/>
      </c>
    </row>
    <row r="2960" spans="1:8" ht="15" hidden="1" customHeight="1">
      <c r="A2960" t="s">
        <v>107</v>
      </c>
      <c r="B2960" t="s">
        <v>111</v>
      </c>
      <c r="C2960">
        <v>47</v>
      </c>
      <c r="D2960">
        <v>11</v>
      </c>
      <c r="E2960">
        <v>3</v>
      </c>
      <c r="F2960">
        <v>3</v>
      </c>
      <c r="G2960" t="s">
        <v>122</v>
      </c>
      <c r="H2960" t="str">
        <f>IFERROR(ROUND(COUNTIFS(Tasks!$A:$A,$A2960,Tasks!$B:$B,$B2960,Tasks!$C:$C,$G2960,Tasks!$I:$I,"&lt;="&amp;INDEX(Weeks!$D:$D,MATCH($C2960,Weeks!$A:$A,0)),Tasks!$I:$I,"&lt;&gt;")/COUNTIFS(Tasks!$A:$A,$A2960,Tasks!$B:$B,$B2960,Tasks!$C:$C,$G2960)*100,0),"")</f>
        <v/>
      </c>
    </row>
    <row r="2961" spans="1:8" ht="15" hidden="1" customHeight="1">
      <c r="A2961" t="s">
        <v>107</v>
      </c>
      <c r="B2961" t="s">
        <v>111</v>
      </c>
      <c r="C2961">
        <v>48</v>
      </c>
      <c r="D2961">
        <v>11</v>
      </c>
      <c r="E2961">
        <v>4</v>
      </c>
      <c r="F2961">
        <v>3</v>
      </c>
      <c r="G2961" t="s">
        <v>122</v>
      </c>
      <c r="H2961" t="str">
        <f>IFERROR(ROUND(COUNTIFS(Tasks!$A:$A,$A2961,Tasks!$B:$B,$B2961,Tasks!$C:$C,$G2961,Tasks!$I:$I,"&lt;="&amp;INDEX(Weeks!$D:$D,MATCH($C2961,Weeks!$A:$A,0)),Tasks!$I:$I,"&lt;&gt;")/COUNTIFS(Tasks!$A:$A,$A2961,Tasks!$B:$B,$B2961,Tasks!$C:$C,$G2961)*100,0),"")</f>
        <v/>
      </c>
    </row>
    <row r="2962" spans="1:8" ht="15" hidden="1" customHeight="1">
      <c r="A2962" t="s">
        <v>107</v>
      </c>
      <c r="B2962" t="s">
        <v>111</v>
      </c>
      <c r="C2962">
        <v>49</v>
      </c>
      <c r="D2962">
        <v>12</v>
      </c>
      <c r="E2962">
        <v>1</v>
      </c>
      <c r="F2962">
        <v>3</v>
      </c>
      <c r="G2962" t="s">
        <v>122</v>
      </c>
      <c r="H2962" t="str">
        <f>IFERROR(ROUND(COUNTIFS(Tasks!$A:$A,$A2962,Tasks!$B:$B,$B2962,Tasks!$C:$C,$G2962,Tasks!$I:$I,"&lt;="&amp;INDEX(Weeks!$D:$D,MATCH($C2962,Weeks!$A:$A,0)),Tasks!$I:$I,"&lt;&gt;")/COUNTIFS(Tasks!$A:$A,$A2962,Tasks!$B:$B,$B2962,Tasks!$C:$C,$G2962)*100,0),"")</f>
        <v/>
      </c>
    </row>
    <row r="2963" spans="1:8" ht="15" hidden="1" customHeight="1">
      <c r="A2963" t="s">
        <v>107</v>
      </c>
      <c r="B2963" t="s">
        <v>111</v>
      </c>
      <c r="C2963">
        <v>50</v>
      </c>
      <c r="D2963">
        <v>12</v>
      </c>
      <c r="E2963">
        <v>2</v>
      </c>
      <c r="F2963">
        <v>3</v>
      </c>
      <c r="G2963" t="s">
        <v>122</v>
      </c>
      <c r="H2963" t="str">
        <f>IFERROR(ROUND(COUNTIFS(Tasks!$A:$A,$A2963,Tasks!$B:$B,$B2963,Tasks!$C:$C,$G2963,Tasks!$I:$I,"&lt;="&amp;INDEX(Weeks!$D:$D,MATCH($C2963,Weeks!$A:$A,0)),Tasks!$I:$I,"&lt;&gt;")/COUNTIFS(Tasks!$A:$A,$A2963,Tasks!$B:$B,$B2963,Tasks!$C:$C,$G2963)*100,0),"")</f>
        <v/>
      </c>
    </row>
    <row r="2964" spans="1:8" ht="15" hidden="1" customHeight="1">
      <c r="A2964" t="s">
        <v>107</v>
      </c>
      <c r="B2964" t="s">
        <v>111</v>
      </c>
      <c r="C2964">
        <v>51</v>
      </c>
      <c r="D2964">
        <v>12</v>
      </c>
      <c r="E2964">
        <v>3</v>
      </c>
      <c r="F2964">
        <v>3</v>
      </c>
      <c r="G2964" t="s">
        <v>122</v>
      </c>
      <c r="H2964" t="str">
        <f>IFERROR(ROUND(COUNTIFS(Tasks!$A:$A,$A2964,Tasks!$B:$B,$B2964,Tasks!$C:$C,$G2964,Tasks!$I:$I,"&lt;="&amp;INDEX(Weeks!$D:$D,MATCH($C2964,Weeks!$A:$A,0)),Tasks!$I:$I,"&lt;&gt;")/COUNTIFS(Tasks!$A:$A,$A2964,Tasks!$B:$B,$B2964,Tasks!$C:$C,$G2964)*100,0),"")</f>
        <v/>
      </c>
    </row>
    <row r="2965" spans="1:8" ht="15" hidden="1" customHeight="1">
      <c r="A2965" t="s">
        <v>107</v>
      </c>
      <c r="B2965" t="s">
        <v>111</v>
      </c>
      <c r="C2965">
        <v>52</v>
      </c>
      <c r="D2965">
        <v>12</v>
      </c>
      <c r="E2965">
        <v>4</v>
      </c>
      <c r="F2965">
        <v>3</v>
      </c>
      <c r="G2965" t="s">
        <v>122</v>
      </c>
      <c r="H2965" t="str">
        <f>IFERROR(ROUND(COUNTIFS(Tasks!$A:$A,$A2965,Tasks!$B:$B,$B2965,Tasks!$C:$C,$G2965,Tasks!$I:$I,"&lt;="&amp;INDEX(Weeks!$D:$D,MATCH($C2965,Weeks!$A:$A,0)),Tasks!$I:$I,"&lt;&gt;")/COUNTIFS(Tasks!$A:$A,$A2965,Tasks!$B:$B,$B2965,Tasks!$C:$C,$G2965)*100,0),"")</f>
        <v/>
      </c>
    </row>
    <row r="2966" spans="1:8" ht="15" hidden="1" customHeight="1">
      <c r="A2966" t="s">
        <v>107</v>
      </c>
      <c r="B2966" t="s">
        <v>111</v>
      </c>
      <c r="C2966">
        <v>1</v>
      </c>
      <c r="D2966">
        <v>1</v>
      </c>
      <c r="E2966">
        <v>1</v>
      </c>
      <c r="F2966">
        <v>4</v>
      </c>
      <c r="G2966" t="s">
        <v>123</v>
      </c>
      <c r="H2966" t="str">
        <f>IFERROR(ROUND(COUNTIFS(Tasks!$A:$A,$A2966,Tasks!$B:$B,$B2966,Tasks!$C:$C,$G2966,Tasks!$I:$I,"&lt;="&amp;INDEX(Weeks!$D:$D,MATCH($C2966,Weeks!$A:$A,0)),Tasks!$I:$I,"&lt;&gt;")/COUNTIFS(Tasks!$A:$A,$A2966,Tasks!$B:$B,$B2966,Tasks!$C:$C,$G2966)*100,0),"")</f>
        <v/>
      </c>
    </row>
    <row r="2967" spans="1:8" ht="15" hidden="1" customHeight="1">
      <c r="A2967" t="s">
        <v>107</v>
      </c>
      <c r="B2967" t="s">
        <v>111</v>
      </c>
      <c r="C2967">
        <v>2</v>
      </c>
      <c r="D2967">
        <v>1</v>
      </c>
      <c r="E2967">
        <v>2</v>
      </c>
      <c r="F2967">
        <v>4</v>
      </c>
      <c r="G2967" t="s">
        <v>123</v>
      </c>
      <c r="H2967" t="str">
        <f>IFERROR(ROUND(COUNTIFS(Tasks!$A:$A,$A2967,Tasks!$B:$B,$B2967,Tasks!$C:$C,$G2967,Tasks!$I:$I,"&lt;="&amp;INDEX(Weeks!$D:$D,MATCH($C2967,Weeks!$A:$A,0)),Tasks!$I:$I,"&lt;&gt;")/COUNTIFS(Tasks!$A:$A,$A2967,Tasks!$B:$B,$B2967,Tasks!$C:$C,$G2967)*100,0),"")</f>
        <v/>
      </c>
    </row>
    <row r="2968" spans="1:8" ht="15" hidden="1" customHeight="1">
      <c r="A2968" t="s">
        <v>107</v>
      </c>
      <c r="B2968" t="s">
        <v>111</v>
      </c>
      <c r="C2968">
        <v>3</v>
      </c>
      <c r="D2968">
        <v>1</v>
      </c>
      <c r="E2968">
        <v>3</v>
      </c>
      <c r="F2968">
        <v>4</v>
      </c>
      <c r="G2968" t="s">
        <v>123</v>
      </c>
      <c r="H2968" t="str">
        <f>IFERROR(ROUND(COUNTIFS(Tasks!$A:$A,$A2968,Tasks!$B:$B,$B2968,Tasks!$C:$C,$G2968,Tasks!$I:$I,"&lt;="&amp;INDEX(Weeks!$D:$D,MATCH($C2968,Weeks!$A:$A,0)),Tasks!$I:$I,"&lt;&gt;")/COUNTIFS(Tasks!$A:$A,$A2968,Tasks!$B:$B,$B2968,Tasks!$C:$C,$G2968)*100,0),"")</f>
        <v/>
      </c>
    </row>
    <row r="2969" spans="1:8" ht="15" hidden="1" customHeight="1">
      <c r="A2969" t="s">
        <v>107</v>
      </c>
      <c r="B2969" t="s">
        <v>111</v>
      </c>
      <c r="C2969">
        <v>4</v>
      </c>
      <c r="D2969">
        <v>1</v>
      </c>
      <c r="E2969">
        <v>4</v>
      </c>
      <c r="F2969">
        <v>4</v>
      </c>
      <c r="G2969" t="s">
        <v>123</v>
      </c>
      <c r="H2969" t="str">
        <f>IFERROR(ROUND(COUNTIFS(Tasks!$A:$A,$A2969,Tasks!$B:$B,$B2969,Tasks!$C:$C,$G2969,Tasks!$I:$I,"&lt;="&amp;INDEX(Weeks!$D:$D,MATCH($C2969,Weeks!$A:$A,0)),Tasks!$I:$I,"&lt;&gt;")/COUNTIFS(Tasks!$A:$A,$A2969,Tasks!$B:$B,$B2969,Tasks!$C:$C,$G2969)*100,0),"")</f>
        <v/>
      </c>
    </row>
    <row r="2970" spans="1:8" ht="15" hidden="1" customHeight="1">
      <c r="A2970" t="s">
        <v>107</v>
      </c>
      <c r="B2970" t="s">
        <v>111</v>
      </c>
      <c r="C2970">
        <v>5</v>
      </c>
      <c r="D2970">
        <v>1</v>
      </c>
      <c r="E2970">
        <v>5</v>
      </c>
      <c r="F2970">
        <v>4</v>
      </c>
      <c r="G2970" t="s">
        <v>123</v>
      </c>
      <c r="H2970" t="str">
        <f>IFERROR(ROUND(COUNTIFS(Tasks!$A:$A,$A2970,Tasks!$B:$B,$B2970,Tasks!$C:$C,$G2970,Tasks!$I:$I,"&lt;="&amp;INDEX(Weeks!$D:$D,MATCH($C2970,Weeks!$A:$A,0)),Tasks!$I:$I,"&lt;&gt;")/COUNTIFS(Tasks!$A:$A,$A2970,Tasks!$B:$B,$B2970,Tasks!$C:$C,$G2970)*100,0),"")</f>
        <v/>
      </c>
    </row>
    <row r="2971" spans="1:8" ht="15" hidden="1" customHeight="1">
      <c r="A2971" t="s">
        <v>107</v>
      </c>
      <c r="B2971" t="s">
        <v>111</v>
      </c>
      <c r="C2971">
        <v>6</v>
      </c>
      <c r="D2971">
        <v>2</v>
      </c>
      <c r="E2971">
        <v>1</v>
      </c>
      <c r="F2971">
        <v>4</v>
      </c>
      <c r="G2971" t="s">
        <v>123</v>
      </c>
      <c r="H2971" t="str">
        <f>IFERROR(ROUND(COUNTIFS(Tasks!$A:$A,$A2971,Tasks!$B:$B,$B2971,Tasks!$C:$C,$G2971,Tasks!$I:$I,"&lt;="&amp;INDEX(Weeks!$D:$D,MATCH($C2971,Weeks!$A:$A,0)),Tasks!$I:$I,"&lt;&gt;")/COUNTIFS(Tasks!$A:$A,$A2971,Tasks!$B:$B,$B2971,Tasks!$C:$C,$G2971)*100,0),"")</f>
        <v/>
      </c>
    </row>
    <row r="2972" spans="1:8" ht="15" hidden="1" customHeight="1">
      <c r="A2972" t="s">
        <v>107</v>
      </c>
      <c r="B2972" t="s">
        <v>111</v>
      </c>
      <c r="C2972">
        <v>7</v>
      </c>
      <c r="D2972">
        <v>2</v>
      </c>
      <c r="E2972">
        <v>2</v>
      </c>
      <c r="F2972">
        <v>4</v>
      </c>
      <c r="G2972" t="s">
        <v>123</v>
      </c>
      <c r="H2972" t="str">
        <f>IFERROR(ROUND(COUNTIFS(Tasks!$A:$A,$A2972,Tasks!$B:$B,$B2972,Tasks!$C:$C,$G2972,Tasks!$I:$I,"&lt;="&amp;INDEX(Weeks!$D:$D,MATCH($C2972,Weeks!$A:$A,0)),Tasks!$I:$I,"&lt;&gt;")/COUNTIFS(Tasks!$A:$A,$A2972,Tasks!$B:$B,$B2972,Tasks!$C:$C,$G2972)*100,0),"")</f>
        <v/>
      </c>
    </row>
    <row r="2973" spans="1:8" ht="15" hidden="1" customHeight="1">
      <c r="A2973" t="s">
        <v>107</v>
      </c>
      <c r="B2973" t="s">
        <v>111</v>
      </c>
      <c r="C2973">
        <v>8</v>
      </c>
      <c r="D2973">
        <v>2</v>
      </c>
      <c r="E2973">
        <v>3</v>
      </c>
      <c r="F2973">
        <v>4</v>
      </c>
      <c r="G2973" t="s">
        <v>123</v>
      </c>
      <c r="H2973" t="str">
        <f>IFERROR(ROUND(COUNTIFS(Tasks!$A:$A,$A2973,Tasks!$B:$B,$B2973,Tasks!$C:$C,$G2973,Tasks!$I:$I,"&lt;="&amp;INDEX(Weeks!$D:$D,MATCH($C2973,Weeks!$A:$A,0)),Tasks!$I:$I,"&lt;&gt;")/COUNTIFS(Tasks!$A:$A,$A2973,Tasks!$B:$B,$B2973,Tasks!$C:$C,$G2973)*100,0),"")</f>
        <v/>
      </c>
    </row>
    <row r="2974" spans="1:8" ht="15" hidden="1" customHeight="1">
      <c r="A2974" t="s">
        <v>107</v>
      </c>
      <c r="B2974" t="s">
        <v>111</v>
      </c>
      <c r="C2974">
        <v>9</v>
      </c>
      <c r="D2974">
        <v>2</v>
      </c>
      <c r="E2974">
        <v>4</v>
      </c>
      <c r="F2974">
        <v>4</v>
      </c>
      <c r="G2974" t="s">
        <v>123</v>
      </c>
      <c r="H2974" t="str">
        <f>IFERROR(ROUND(COUNTIFS(Tasks!$A:$A,$A2974,Tasks!$B:$B,$B2974,Tasks!$C:$C,$G2974,Tasks!$I:$I,"&lt;="&amp;INDEX(Weeks!$D:$D,MATCH($C2974,Weeks!$A:$A,0)),Tasks!$I:$I,"&lt;&gt;")/COUNTIFS(Tasks!$A:$A,$A2974,Tasks!$B:$B,$B2974,Tasks!$C:$C,$G2974)*100,0),"")</f>
        <v/>
      </c>
    </row>
    <row r="2975" spans="1:8" ht="15" hidden="1" customHeight="1">
      <c r="A2975" t="s">
        <v>107</v>
      </c>
      <c r="B2975" t="s">
        <v>111</v>
      </c>
      <c r="C2975">
        <v>10</v>
      </c>
      <c r="D2975">
        <v>3</v>
      </c>
      <c r="E2975">
        <v>1</v>
      </c>
      <c r="F2975">
        <v>4</v>
      </c>
      <c r="G2975" t="s">
        <v>123</v>
      </c>
      <c r="H2975" t="str">
        <f>IFERROR(ROUND(COUNTIFS(Tasks!$A:$A,$A2975,Tasks!$B:$B,$B2975,Tasks!$C:$C,$G2975,Tasks!$I:$I,"&lt;="&amp;INDEX(Weeks!$D:$D,MATCH($C2975,Weeks!$A:$A,0)),Tasks!$I:$I,"&lt;&gt;")/COUNTIFS(Tasks!$A:$A,$A2975,Tasks!$B:$B,$B2975,Tasks!$C:$C,$G2975)*100,0),"")</f>
        <v/>
      </c>
    </row>
    <row r="2976" spans="1:8" ht="15" hidden="1" customHeight="1">
      <c r="A2976" t="s">
        <v>107</v>
      </c>
      <c r="B2976" t="s">
        <v>111</v>
      </c>
      <c r="C2976">
        <v>11</v>
      </c>
      <c r="D2976">
        <v>3</v>
      </c>
      <c r="E2976">
        <v>2</v>
      </c>
      <c r="F2976">
        <v>4</v>
      </c>
      <c r="G2976" t="s">
        <v>123</v>
      </c>
      <c r="H2976" t="str">
        <f>IFERROR(ROUND(COUNTIFS(Tasks!$A:$A,$A2976,Tasks!$B:$B,$B2976,Tasks!$C:$C,$G2976,Tasks!$I:$I,"&lt;="&amp;INDEX(Weeks!$D:$D,MATCH($C2976,Weeks!$A:$A,0)),Tasks!$I:$I,"&lt;&gt;")/COUNTIFS(Tasks!$A:$A,$A2976,Tasks!$B:$B,$B2976,Tasks!$C:$C,$G2976)*100,0),"")</f>
        <v/>
      </c>
    </row>
    <row r="2977" spans="1:8" ht="15" hidden="1" customHeight="1">
      <c r="A2977" t="s">
        <v>107</v>
      </c>
      <c r="B2977" t="s">
        <v>111</v>
      </c>
      <c r="C2977">
        <v>12</v>
      </c>
      <c r="D2977">
        <v>3</v>
      </c>
      <c r="E2977">
        <v>3</v>
      </c>
      <c r="F2977">
        <v>4</v>
      </c>
      <c r="G2977" t="s">
        <v>123</v>
      </c>
      <c r="H2977" t="str">
        <f>IFERROR(ROUND(COUNTIFS(Tasks!$A:$A,$A2977,Tasks!$B:$B,$B2977,Tasks!$C:$C,$G2977,Tasks!$I:$I,"&lt;="&amp;INDEX(Weeks!$D:$D,MATCH($C2977,Weeks!$A:$A,0)),Tasks!$I:$I,"&lt;&gt;")/COUNTIFS(Tasks!$A:$A,$A2977,Tasks!$B:$B,$B2977,Tasks!$C:$C,$G2977)*100,0),"")</f>
        <v/>
      </c>
    </row>
    <row r="2978" spans="1:8" ht="15" hidden="1" customHeight="1">
      <c r="A2978" t="s">
        <v>107</v>
      </c>
      <c r="B2978" t="s">
        <v>111</v>
      </c>
      <c r="C2978">
        <v>13</v>
      </c>
      <c r="D2978">
        <v>3</v>
      </c>
      <c r="E2978">
        <v>4</v>
      </c>
      <c r="F2978">
        <v>4</v>
      </c>
      <c r="G2978" t="s">
        <v>123</v>
      </c>
      <c r="H2978" t="str">
        <f>IFERROR(ROUND(COUNTIFS(Tasks!$A:$A,$A2978,Tasks!$B:$B,$B2978,Tasks!$C:$C,$G2978,Tasks!$I:$I,"&lt;="&amp;INDEX(Weeks!$D:$D,MATCH($C2978,Weeks!$A:$A,0)),Tasks!$I:$I,"&lt;&gt;")/COUNTIFS(Tasks!$A:$A,$A2978,Tasks!$B:$B,$B2978,Tasks!$C:$C,$G2978)*100,0),"")</f>
        <v/>
      </c>
    </row>
    <row r="2979" spans="1:8" ht="15" hidden="1" customHeight="1">
      <c r="A2979" t="s">
        <v>107</v>
      </c>
      <c r="B2979" t="s">
        <v>111</v>
      </c>
      <c r="C2979">
        <v>14</v>
      </c>
      <c r="D2979">
        <v>4</v>
      </c>
      <c r="E2979">
        <v>1</v>
      </c>
      <c r="F2979">
        <v>4</v>
      </c>
      <c r="G2979" t="s">
        <v>123</v>
      </c>
      <c r="H2979" t="str">
        <f>IFERROR(ROUND(COUNTIFS(Tasks!$A:$A,$A2979,Tasks!$B:$B,$B2979,Tasks!$C:$C,$G2979,Tasks!$I:$I,"&lt;="&amp;INDEX(Weeks!$D:$D,MATCH($C2979,Weeks!$A:$A,0)),Tasks!$I:$I,"&lt;&gt;")/COUNTIFS(Tasks!$A:$A,$A2979,Tasks!$B:$B,$B2979,Tasks!$C:$C,$G2979)*100,0),"")</f>
        <v/>
      </c>
    </row>
    <row r="2980" spans="1:8" ht="15" hidden="1" customHeight="1">
      <c r="A2980" t="s">
        <v>107</v>
      </c>
      <c r="B2980" t="s">
        <v>111</v>
      </c>
      <c r="C2980">
        <v>15</v>
      </c>
      <c r="D2980">
        <v>4</v>
      </c>
      <c r="E2980">
        <v>2</v>
      </c>
      <c r="F2980">
        <v>4</v>
      </c>
      <c r="G2980" t="s">
        <v>123</v>
      </c>
      <c r="H2980" t="str">
        <f>IFERROR(ROUND(COUNTIFS(Tasks!$A:$A,$A2980,Tasks!$B:$B,$B2980,Tasks!$C:$C,$G2980,Tasks!$I:$I,"&lt;="&amp;INDEX(Weeks!$D:$D,MATCH($C2980,Weeks!$A:$A,0)),Tasks!$I:$I,"&lt;&gt;")/COUNTIFS(Tasks!$A:$A,$A2980,Tasks!$B:$B,$B2980,Tasks!$C:$C,$G2980)*100,0),"")</f>
        <v/>
      </c>
    </row>
    <row r="2981" spans="1:8" ht="15" hidden="1" customHeight="1">
      <c r="A2981" t="s">
        <v>107</v>
      </c>
      <c r="B2981" t="s">
        <v>111</v>
      </c>
      <c r="C2981">
        <v>16</v>
      </c>
      <c r="D2981">
        <v>4</v>
      </c>
      <c r="E2981">
        <v>3</v>
      </c>
      <c r="F2981">
        <v>4</v>
      </c>
      <c r="G2981" t="s">
        <v>123</v>
      </c>
      <c r="H2981" t="str">
        <f>IFERROR(ROUND(COUNTIFS(Tasks!$A:$A,$A2981,Tasks!$B:$B,$B2981,Tasks!$C:$C,$G2981,Tasks!$I:$I,"&lt;="&amp;INDEX(Weeks!$D:$D,MATCH($C2981,Weeks!$A:$A,0)),Tasks!$I:$I,"&lt;&gt;")/COUNTIFS(Tasks!$A:$A,$A2981,Tasks!$B:$B,$B2981,Tasks!$C:$C,$G2981)*100,0),"")</f>
        <v/>
      </c>
    </row>
    <row r="2982" spans="1:8" ht="15" hidden="1" customHeight="1">
      <c r="A2982" t="s">
        <v>107</v>
      </c>
      <c r="B2982" t="s">
        <v>111</v>
      </c>
      <c r="C2982">
        <v>17</v>
      </c>
      <c r="D2982">
        <v>4</v>
      </c>
      <c r="E2982">
        <v>4</v>
      </c>
      <c r="F2982">
        <v>4</v>
      </c>
      <c r="G2982" t="s">
        <v>123</v>
      </c>
      <c r="H2982" t="str">
        <f>IFERROR(ROUND(COUNTIFS(Tasks!$A:$A,$A2982,Tasks!$B:$B,$B2982,Tasks!$C:$C,$G2982,Tasks!$I:$I,"&lt;="&amp;INDEX(Weeks!$D:$D,MATCH($C2982,Weeks!$A:$A,0)),Tasks!$I:$I,"&lt;&gt;")/COUNTIFS(Tasks!$A:$A,$A2982,Tasks!$B:$B,$B2982,Tasks!$C:$C,$G2982)*100,0),"")</f>
        <v/>
      </c>
    </row>
    <row r="2983" spans="1:8" ht="15" hidden="1" customHeight="1">
      <c r="A2983" t="s">
        <v>107</v>
      </c>
      <c r="B2983" t="s">
        <v>111</v>
      </c>
      <c r="C2983">
        <v>18</v>
      </c>
      <c r="D2983">
        <v>5</v>
      </c>
      <c r="E2983">
        <v>1</v>
      </c>
      <c r="F2983">
        <v>4</v>
      </c>
      <c r="G2983" t="s">
        <v>123</v>
      </c>
      <c r="H2983" t="str">
        <f>IFERROR(ROUND(COUNTIFS(Tasks!$A:$A,$A2983,Tasks!$B:$B,$B2983,Tasks!$C:$C,$G2983,Tasks!$I:$I,"&lt;="&amp;INDEX(Weeks!$D:$D,MATCH($C2983,Weeks!$A:$A,0)),Tasks!$I:$I,"&lt;&gt;")/COUNTIFS(Tasks!$A:$A,$A2983,Tasks!$B:$B,$B2983,Tasks!$C:$C,$G2983)*100,0),"")</f>
        <v/>
      </c>
    </row>
    <row r="2984" spans="1:8" ht="15" hidden="1" customHeight="1">
      <c r="A2984" t="s">
        <v>107</v>
      </c>
      <c r="B2984" t="s">
        <v>111</v>
      </c>
      <c r="C2984">
        <v>19</v>
      </c>
      <c r="D2984">
        <v>5</v>
      </c>
      <c r="E2984">
        <v>2</v>
      </c>
      <c r="F2984">
        <v>4</v>
      </c>
      <c r="G2984" t="s">
        <v>123</v>
      </c>
      <c r="H2984" t="str">
        <f>IFERROR(ROUND(COUNTIFS(Tasks!$A:$A,$A2984,Tasks!$B:$B,$B2984,Tasks!$C:$C,$G2984,Tasks!$I:$I,"&lt;="&amp;INDEX(Weeks!$D:$D,MATCH($C2984,Weeks!$A:$A,0)),Tasks!$I:$I,"&lt;&gt;")/COUNTIFS(Tasks!$A:$A,$A2984,Tasks!$B:$B,$B2984,Tasks!$C:$C,$G2984)*100,0),"")</f>
        <v/>
      </c>
    </row>
    <row r="2985" spans="1:8" ht="15" hidden="1" customHeight="1">
      <c r="A2985" t="s">
        <v>107</v>
      </c>
      <c r="B2985" t="s">
        <v>111</v>
      </c>
      <c r="C2985">
        <v>20</v>
      </c>
      <c r="D2985">
        <v>5</v>
      </c>
      <c r="E2985">
        <v>3</v>
      </c>
      <c r="F2985">
        <v>4</v>
      </c>
      <c r="G2985" t="s">
        <v>123</v>
      </c>
      <c r="H2985" t="str">
        <f>IFERROR(ROUND(COUNTIFS(Tasks!$A:$A,$A2985,Tasks!$B:$B,$B2985,Tasks!$C:$C,$G2985,Tasks!$I:$I,"&lt;="&amp;INDEX(Weeks!$D:$D,MATCH($C2985,Weeks!$A:$A,0)),Tasks!$I:$I,"&lt;&gt;")/COUNTIFS(Tasks!$A:$A,$A2985,Tasks!$B:$B,$B2985,Tasks!$C:$C,$G2985)*100,0),"")</f>
        <v/>
      </c>
    </row>
    <row r="2986" spans="1:8" ht="15" hidden="1" customHeight="1">
      <c r="A2986" t="s">
        <v>107</v>
      </c>
      <c r="B2986" t="s">
        <v>111</v>
      </c>
      <c r="C2986">
        <v>21</v>
      </c>
      <c r="D2986">
        <v>5</v>
      </c>
      <c r="E2986">
        <v>4</v>
      </c>
      <c r="F2986">
        <v>4</v>
      </c>
      <c r="G2986" t="s">
        <v>123</v>
      </c>
      <c r="H2986" t="str">
        <f>IFERROR(ROUND(COUNTIFS(Tasks!$A:$A,$A2986,Tasks!$B:$B,$B2986,Tasks!$C:$C,$G2986,Tasks!$I:$I,"&lt;="&amp;INDEX(Weeks!$D:$D,MATCH($C2986,Weeks!$A:$A,0)),Tasks!$I:$I,"&lt;&gt;")/COUNTIFS(Tasks!$A:$A,$A2986,Tasks!$B:$B,$B2986,Tasks!$C:$C,$G2986)*100,0),"")</f>
        <v/>
      </c>
    </row>
    <row r="2987" spans="1:8" ht="15" hidden="1" customHeight="1">
      <c r="A2987" t="s">
        <v>107</v>
      </c>
      <c r="B2987" t="s">
        <v>111</v>
      </c>
      <c r="C2987">
        <v>22</v>
      </c>
      <c r="D2987">
        <v>5</v>
      </c>
      <c r="E2987">
        <v>5</v>
      </c>
      <c r="F2987">
        <v>4</v>
      </c>
      <c r="G2987" t="s">
        <v>123</v>
      </c>
      <c r="H2987" t="str">
        <f>IFERROR(ROUND(COUNTIFS(Tasks!$A:$A,$A2987,Tasks!$B:$B,$B2987,Tasks!$C:$C,$G2987,Tasks!$I:$I,"&lt;="&amp;INDEX(Weeks!$D:$D,MATCH($C2987,Weeks!$A:$A,0)),Tasks!$I:$I,"&lt;&gt;")/COUNTIFS(Tasks!$A:$A,$A2987,Tasks!$B:$B,$B2987,Tasks!$C:$C,$G2987)*100,0),"")</f>
        <v/>
      </c>
    </row>
    <row r="2988" spans="1:8" ht="15" hidden="1" customHeight="1">
      <c r="A2988" t="s">
        <v>107</v>
      </c>
      <c r="B2988" t="s">
        <v>111</v>
      </c>
      <c r="C2988">
        <v>23</v>
      </c>
      <c r="D2988">
        <v>6</v>
      </c>
      <c r="E2988">
        <v>1</v>
      </c>
      <c r="F2988">
        <v>4</v>
      </c>
      <c r="G2988" t="s">
        <v>123</v>
      </c>
      <c r="H2988" t="str">
        <f>IFERROR(ROUND(COUNTIFS(Tasks!$A:$A,$A2988,Tasks!$B:$B,$B2988,Tasks!$C:$C,$G2988,Tasks!$I:$I,"&lt;="&amp;INDEX(Weeks!$D:$D,MATCH($C2988,Weeks!$A:$A,0)),Tasks!$I:$I,"&lt;&gt;")/COUNTIFS(Tasks!$A:$A,$A2988,Tasks!$B:$B,$B2988,Tasks!$C:$C,$G2988)*100,0),"")</f>
        <v/>
      </c>
    </row>
    <row r="2989" spans="1:8" ht="15" hidden="1" customHeight="1">
      <c r="A2989" t="s">
        <v>107</v>
      </c>
      <c r="B2989" t="s">
        <v>111</v>
      </c>
      <c r="C2989">
        <v>24</v>
      </c>
      <c r="D2989">
        <v>6</v>
      </c>
      <c r="E2989">
        <v>2</v>
      </c>
      <c r="F2989">
        <v>4</v>
      </c>
      <c r="G2989" t="s">
        <v>123</v>
      </c>
      <c r="H2989" t="str">
        <f>IFERROR(ROUND(COUNTIFS(Tasks!$A:$A,$A2989,Tasks!$B:$B,$B2989,Tasks!$C:$C,$G2989,Tasks!$I:$I,"&lt;="&amp;INDEX(Weeks!$D:$D,MATCH($C2989,Weeks!$A:$A,0)),Tasks!$I:$I,"&lt;&gt;")/COUNTIFS(Tasks!$A:$A,$A2989,Tasks!$B:$B,$B2989,Tasks!$C:$C,$G2989)*100,0),"")</f>
        <v/>
      </c>
    </row>
    <row r="2990" spans="1:8" ht="15" hidden="1" customHeight="1">
      <c r="A2990" t="s">
        <v>107</v>
      </c>
      <c r="B2990" t="s">
        <v>111</v>
      </c>
      <c r="C2990">
        <v>25</v>
      </c>
      <c r="D2990">
        <v>6</v>
      </c>
      <c r="E2990">
        <v>3</v>
      </c>
      <c r="F2990">
        <v>4</v>
      </c>
      <c r="G2990" t="s">
        <v>123</v>
      </c>
      <c r="H2990" t="str">
        <f>IFERROR(ROUND(COUNTIFS(Tasks!$A:$A,$A2990,Tasks!$B:$B,$B2990,Tasks!$C:$C,$G2990,Tasks!$I:$I,"&lt;="&amp;INDEX(Weeks!$D:$D,MATCH($C2990,Weeks!$A:$A,0)),Tasks!$I:$I,"&lt;&gt;")/COUNTIFS(Tasks!$A:$A,$A2990,Tasks!$B:$B,$B2990,Tasks!$C:$C,$G2990)*100,0),"")</f>
        <v/>
      </c>
    </row>
    <row r="2991" spans="1:8" ht="15" hidden="1" customHeight="1">
      <c r="A2991" t="s">
        <v>107</v>
      </c>
      <c r="B2991" t="s">
        <v>111</v>
      </c>
      <c r="C2991">
        <v>26</v>
      </c>
      <c r="D2991">
        <v>6</v>
      </c>
      <c r="E2991">
        <v>4</v>
      </c>
      <c r="F2991">
        <v>4</v>
      </c>
      <c r="G2991" t="s">
        <v>123</v>
      </c>
      <c r="H2991" t="str">
        <f>IFERROR(ROUND(COUNTIFS(Tasks!$A:$A,$A2991,Tasks!$B:$B,$B2991,Tasks!$C:$C,$G2991,Tasks!$I:$I,"&lt;="&amp;INDEX(Weeks!$D:$D,MATCH($C2991,Weeks!$A:$A,0)),Tasks!$I:$I,"&lt;&gt;")/COUNTIFS(Tasks!$A:$A,$A2991,Tasks!$B:$B,$B2991,Tasks!$C:$C,$G2991)*100,0),"")</f>
        <v/>
      </c>
    </row>
    <row r="2992" spans="1:8" ht="15" hidden="1" customHeight="1">
      <c r="A2992" t="s">
        <v>107</v>
      </c>
      <c r="B2992" t="s">
        <v>111</v>
      </c>
      <c r="C2992">
        <v>27</v>
      </c>
      <c r="D2992">
        <v>7</v>
      </c>
      <c r="E2992">
        <v>1</v>
      </c>
      <c r="F2992">
        <v>4</v>
      </c>
      <c r="G2992" t="s">
        <v>123</v>
      </c>
      <c r="H2992" t="str">
        <f>IFERROR(ROUND(COUNTIFS(Tasks!$A:$A,$A2992,Tasks!$B:$B,$B2992,Tasks!$C:$C,$G2992,Tasks!$I:$I,"&lt;="&amp;INDEX(Weeks!$D:$D,MATCH($C2992,Weeks!$A:$A,0)),Tasks!$I:$I,"&lt;&gt;")/COUNTIFS(Tasks!$A:$A,$A2992,Tasks!$B:$B,$B2992,Tasks!$C:$C,$G2992)*100,0),"")</f>
        <v/>
      </c>
    </row>
    <row r="2993" spans="1:8" ht="15" hidden="1" customHeight="1">
      <c r="A2993" t="s">
        <v>107</v>
      </c>
      <c r="B2993" t="s">
        <v>111</v>
      </c>
      <c r="C2993">
        <v>28</v>
      </c>
      <c r="D2993">
        <v>7</v>
      </c>
      <c r="E2993">
        <v>2</v>
      </c>
      <c r="F2993">
        <v>4</v>
      </c>
      <c r="G2993" t="s">
        <v>123</v>
      </c>
      <c r="H2993" t="str">
        <f>IFERROR(ROUND(COUNTIFS(Tasks!$A:$A,$A2993,Tasks!$B:$B,$B2993,Tasks!$C:$C,$G2993,Tasks!$I:$I,"&lt;="&amp;INDEX(Weeks!$D:$D,MATCH($C2993,Weeks!$A:$A,0)),Tasks!$I:$I,"&lt;&gt;")/COUNTIFS(Tasks!$A:$A,$A2993,Tasks!$B:$B,$B2993,Tasks!$C:$C,$G2993)*100,0),"")</f>
        <v/>
      </c>
    </row>
    <row r="2994" spans="1:8" ht="15" hidden="1" customHeight="1">
      <c r="A2994" t="s">
        <v>107</v>
      </c>
      <c r="B2994" t="s">
        <v>111</v>
      </c>
      <c r="C2994">
        <v>29</v>
      </c>
      <c r="D2994">
        <v>7</v>
      </c>
      <c r="E2994">
        <v>3</v>
      </c>
      <c r="F2994">
        <v>4</v>
      </c>
      <c r="G2994" t="s">
        <v>123</v>
      </c>
      <c r="H2994" t="str">
        <f>IFERROR(ROUND(COUNTIFS(Tasks!$A:$A,$A2994,Tasks!$B:$B,$B2994,Tasks!$C:$C,$G2994,Tasks!$I:$I,"&lt;="&amp;INDEX(Weeks!$D:$D,MATCH($C2994,Weeks!$A:$A,0)),Tasks!$I:$I,"&lt;&gt;")/COUNTIFS(Tasks!$A:$A,$A2994,Tasks!$B:$B,$B2994,Tasks!$C:$C,$G2994)*100,0),"")</f>
        <v/>
      </c>
    </row>
    <row r="2995" spans="1:8" ht="15" hidden="1" customHeight="1">
      <c r="A2995" t="s">
        <v>107</v>
      </c>
      <c r="B2995" t="s">
        <v>111</v>
      </c>
      <c r="C2995">
        <v>30</v>
      </c>
      <c r="D2995">
        <v>7</v>
      </c>
      <c r="E2995">
        <v>4</v>
      </c>
      <c r="F2995">
        <v>4</v>
      </c>
      <c r="G2995" t="s">
        <v>123</v>
      </c>
      <c r="H2995" t="str">
        <f>IFERROR(ROUND(COUNTIFS(Tasks!$A:$A,$A2995,Tasks!$B:$B,$B2995,Tasks!$C:$C,$G2995,Tasks!$I:$I,"&lt;="&amp;INDEX(Weeks!$D:$D,MATCH($C2995,Weeks!$A:$A,0)),Tasks!$I:$I,"&lt;&gt;")/COUNTIFS(Tasks!$A:$A,$A2995,Tasks!$B:$B,$B2995,Tasks!$C:$C,$G2995)*100,0),"")</f>
        <v/>
      </c>
    </row>
    <row r="2996" spans="1:8" ht="15" hidden="1" customHeight="1">
      <c r="A2996" t="s">
        <v>107</v>
      </c>
      <c r="B2996" t="s">
        <v>111</v>
      </c>
      <c r="C2996">
        <v>31</v>
      </c>
      <c r="D2996">
        <v>8</v>
      </c>
      <c r="E2996">
        <v>1</v>
      </c>
      <c r="F2996">
        <v>4</v>
      </c>
      <c r="G2996" t="s">
        <v>123</v>
      </c>
      <c r="H2996" t="str">
        <f>IFERROR(ROUND(COUNTIFS(Tasks!$A:$A,$A2996,Tasks!$B:$B,$B2996,Tasks!$C:$C,$G2996,Tasks!$I:$I,"&lt;="&amp;INDEX(Weeks!$D:$D,MATCH($C2996,Weeks!$A:$A,0)),Tasks!$I:$I,"&lt;&gt;")/COUNTIFS(Tasks!$A:$A,$A2996,Tasks!$B:$B,$B2996,Tasks!$C:$C,$G2996)*100,0),"")</f>
        <v/>
      </c>
    </row>
    <row r="2997" spans="1:8" ht="15" hidden="1" customHeight="1">
      <c r="A2997" t="s">
        <v>107</v>
      </c>
      <c r="B2997" t="s">
        <v>111</v>
      </c>
      <c r="C2997">
        <v>32</v>
      </c>
      <c r="D2997">
        <v>8</v>
      </c>
      <c r="E2997">
        <v>2</v>
      </c>
      <c r="F2997">
        <v>4</v>
      </c>
      <c r="G2997" t="s">
        <v>123</v>
      </c>
      <c r="H2997" t="str">
        <f>IFERROR(ROUND(COUNTIFS(Tasks!$A:$A,$A2997,Tasks!$B:$B,$B2997,Tasks!$C:$C,$G2997,Tasks!$I:$I,"&lt;="&amp;INDEX(Weeks!$D:$D,MATCH($C2997,Weeks!$A:$A,0)),Tasks!$I:$I,"&lt;&gt;")/COUNTIFS(Tasks!$A:$A,$A2997,Tasks!$B:$B,$B2997,Tasks!$C:$C,$G2997)*100,0),"")</f>
        <v/>
      </c>
    </row>
    <row r="2998" spans="1:8" ht="15" hidden="1" customHeight="1">
      <c r="A2998" t="s">
        <v>107</v>
      </c>
      <c r="B2998" t="s">
        <v>111</v>
      </c>
      <c r="C2998">
        <v>33</v>
      </c>
      <c r="D2998">
        <v>8</v>
      </c>
      <c r="E2998">
        <v>3</v>
      </c>
      <c r="F2998">
        <v>4</v>
      </c>
      <c r="G2998" t="s">
        <v>123</v>
      </c>
      <c r="H2998" t="str">
        <f>IFERROR(ROUND(COUNTIFS(Tasks!$A:$A,$A2998,Tasks!$B:$B,$B2998,Tasks!$C:$C,$G2998,Tasks!$I:$I,"&lt;="&amp;INDEX(Weeks!$D:$D,MATCH($C2998,Weeks!$A:$A,0)),Tasks!$I:$I,"&lt;&gt;")/COUNTIFS(Tasks!$A:$A,$A2998,Tasks!$B:$B,$B2998,Tasks!$C:$C,$G2998)*100,0),"")</f>
        <v/>
      </c>
    </row>
    <row r="2999" spans="1:8" ht="15" hidden="1" customHeight="1">
      <c r="A2999" t="s">
        <v>107</v>
      </c>
      <c r="B2999" t="s">
        <v>111</v>
      </c>
      <c r="C2999">
        <v>34</v>
      </c>
      <c r="D2999">
        <v>8</v>
      </c>
      <c r="E2999">
        <v>4</v>
      </c>
      <c r="F2999">
        <v>4</v>
      </c>
      <c r="G2999" t="s">
        <v>123</v>
      </c>
      <c r="H2999" t="str">
        <f>IFERROR(ROUND(COUNTIFS(Tasks!$A:$A,$A2999,Tasks!$B:$B,$B2999,Tasks!$C:$C,$G2999,Tasks!$I:$I,"&lt;="&amp;INDEX(Weeks!$D:$D,MATCH($C2999,Weeks!$A:$A,0)),Tasks!$I:$I,"&lt;&gt;")/COUNTIFS(Tasks!$A:$A,$A2999,Tasks!$B:$B,$B2999,Tasks!$C:$C,$G2999)*100,0),"")</f>
        <v/>
      </c>
    </row>
    <row r="3000" spans="1:8" ht="15" hidden="1" customHeight="1">
      <c r="A3000" t="s">
        <v>107</v>
      </c>
      <c r="B3000" t="s">
        <v>111</v>
      </c>
      <c r="C3000">
        <v>35</v>
      </c>
      <c r="D3000">
        <v>8</v>
      </c>
      <c r="E3000">
        <v>5</v>
      </c>
      <c r="F3000">
        <v>4</v>
      </c>
      <c r="G3000" t="s">
        <v>123</v>
      </c>
      <c r="H3000" t="str">
        <f>IFERROR(ROUND(COUNTIFS(Tasks!$A:$A,$A3000,Tasks!$B:$B,$B3000,Tasks!$C:$C,$G3000,Tasks!$I:$I,"&lt;="&amp;INDEX(Weeks!$D:$D,MATCH($C3000,Weeks!$A:$A,0)),Tasks!$I:$I,"&lt;&gt;")/COUNTIFS(Tasks!$A:$A,$A3000,Tasks!$B:$B,$B3000,Tasks!$C:$C,$G3000)*100,0),"")</f>
        <v/>
      </c>
    </row>
    <row r="3001" spans="1:8" ht="15" hidden="1" customHeight="1">
      <c r="A3001" t="s">
        <v>107</v>
      </c>
      <c r="B3001" t="s">
        <v>111</v>
      </c>
      <c r="C3001">
        <v>36</v>
      </c>
      <c r="D3001">
        <v>9</v>
      </c>
      <c r="E3001">
        <v>1</v>
      </c>
      <c r="F3001">
        <v>4</v>
      </c>
      <c r="G3001" t="s">
        <v>123</v>
      </c>
      <c r="H3001" t="str">
        <f>IFERROR(ROUND(COUNTIFS(Tasks!$A:$A,$A3001,Tasks!$B:$B,$B3001,Tasks!$C:$C,$G3001,Tasks!$I:$I,"&lt;="&amp;INDEX(Weeks!$D:$D,MATCH($C3001,Weeks!$A:$A,0)),Tasks!$I:$I,"&lt;&gt;")/COUNTIFS(Tasks!$A:$A,$A3001,Tasks!$B:$B,$B3001,Tasks!$C:$C,$G3001)*100,0),"")</f>
        <v/>
      </c>
    </row>
    <row r="3002" spans="1:8" ht="15" hidden="1" customHeight="1">
      <c r="A3002" t="s">
        <v>107</v>
      </c>
      <c r="B3002" t="s">
        <v>111</v>
      </c>
      <c r="C3002">
        <v>37</v>
      </c>
      <c r="D3002">
        <v>9</v>
      </c>
      <c r="E3002">
        <v>2</v>
      </c>
      <c r="F3002">
        <v>4</v>
      </c>
      <c r="G3002" t="s">
        <v>123</v>
      </c>
      <c r="H3002" t="str">
        <f>IFERROR(ROUND(COUNTIFS(Tasks!$A:$A,$A3002,Tasks!$B:$B,$B3002,Tasks!$C:$C,$G3002,Tasks!$I:$I,"&lt;="&amp;INDEX(Weeks!$D:$D,MATCH($C3002,Weeks!$A:$A,0)),Tasks!$I:$I,"&lt;&gt;")/COUNTIFS(Tasks!$A:$A,$A3002,Tasks!$B:$B,$B3002,Tasks!$C:$C,$G3002)*100,0),"")</f>
        <v/>
      </c>
    </row>
    <row r="3003" spans="1:8" ht="15" hidden="1" customHeight="1">
      <c r="A3003" t="s">
        <v>107</v>
      </c>
      <c r="B3003" t="s">
        <v>111</v>
      </c>
      <c r="C3003">
        <v>38</v>
      </c>
      <c r="D3003">
        <v>9</v>
      </c>
      <c r="E3003">
        <v>3</v>
      </c>
      <c r="F3003">
        <v>4</v>
      </c>
      <c r="G3003" t="s">
        <v>123</v>
      </c>
      <c r="H3003" t="str">
        <f>IFERROR(ROUND(COUNTIFS(Tasks!$A:$A,$A3003,Tasks!$B:$B,$B3003,Tasks!$C:$C,$G3003,Tasks!$I:$I,"&lt;="&amp;INDEX(Weeks!$D:$D,MATCH($C3003,Weeks!$A:$A,0)),Tasks!$I:$I,"&lt;&gt;")/COUNTIFS(Tasks!$A:$A,$A3003,Tasks!$B:$B,$B3003,Tasks!$C:$C,$G3003)*100,0),"")</f>
        <v/>
      </c>
    </row>
    <row r="3004" spans="1:8" ht="15" hidden="1" customHeight="1">
      <c r="A3004" t="s">
        <v>107</v>
      </c>
      <c r="B3004" t="s">
        <v>111</v>
      </c>
      <c r="C3004">
        <v>39</v>
      </c>
      <c r="D3004">
        <v>9</v>
      </c>
      <c r="E3004">
        <v>4</v>
      </c>
      <c r="F3004">
        <v>4</v>
      </c>
      <c r="G3004" t="s">
        <v>123</v>
      </c>
      <c r="H3004" t="str">
        <f>IFERROR(ROUND(COUNTIFS(Tasks!$A:$A,$A3004,Tasks!$B:$B,$B3004,Tasks!$C:$C,$G3004,Tasks!$I:$I,"&lt;="&amp;INDEX(Weeks!$D:$D,MATCH($C3004,Weeks!$A:$A,0)),Tasks!$I:$I,"&lt;&gt;")/COUNTIFS(Tasks!$A:$A,$A3004,Tasks!$B:$B,$B3004,Tasks!$C:$C,$G3004)*100,0),"")</f>
        <v/>
      </c>
    </row>
    <row r="3005" spans="1:8" ht="15" hidden="1" customHeight="1">
      <c r="A3005" t="s">
        <v>107</v>
      </c>
      <c r="B3005" t="s">
        <v>111</v>
      </c>
      <c r="C3005">
        <v>40</v>
      </c>
      <c r="D3005">
        <v>10</v>
      </c>
      <c r="E3005">
        <v>1</v>
      </c>
      <c r="F3005">
        <v>4</v>
      </c>
      <c r="G3005" t="s">
        <v>123</v>
      </c>
      <c r="H3005" t="str">
        <f>IFERROR(ROUND(COUNTIFS(Tasks!$A:$A,$A3005,Tasks!$B:$B,$B3005,Tasks!$C:$C,$G3005,Tasks!$I:$I,"&lt;="&amp;INDEX(Weeks!$D:$D,MATCH($C3005,Weeks!$A:$A,0)),Tasks!$I:$I,"&lt;&gt;")/COUNTIFS(Tasks!$A:$A,$A3005,Tasks!$B:$B,$B3005,Tasks!$C:$C,$G3005)*100,0),"")</f>
        <v/>
      </c>
    </row>
    <row r="3006" spans="1:8" ht="15" hidden="1" customHeight="1">
      <c r="A3006" t="s">
        <v>107</v>
      </c>
      <c r="B3006" t="s">
        <v>111</v>
      </c>
      <c r="C3006">
        <v>41</v>
      </c>
      <c r="D3006">
        <v>10</v>
      </c>
      <c r="E3006">
        <v>2</v>
      </c>
      <c r="F3006">
        <v>4</v>
      </c>
      <c r="G3006" t="s">
        <v>123</v>
      </c>
      <c r="H3006" t="str">
        <f>IFERROR(ROUND(COUNTIFS(Tasks!$A:$A,$A3006,Tasks!$B:$B,$B3006,Tasks!$C:$C,$G3006,Tasks!$I:$I,"&lt;="&amp;INDEX(Weeks!$D:$D,MATCH($C3006,Weeks!$A:$A,0)),Tasks!$I:$I,"&lt;&gt;")/COUNTIFS(Tasks!$A:$A,$A3006,Tasks!$B:$B,$B3006,Tasks!$C:$C,$G3006)*100,0),"")</f>
        <v/>
      </c>
    </row>
    <row r="3007" spans="1:8" ht="15" hidden="1" customHeight="1">
      <c r="A3007" t="s">
        <v>107</v>
      </c>
      <c r="B3007" t="s">
        <v>111</v>
      </c>
      <c r="C3007">
        <v>42</v>
      </c>
      <c r="D3007">
        <v>10</v>
      </c>
      <c r="E3007">
        <v>3</v>
      </c>
      <c r="F3007">
        <v>4</v>
      </c>
      <c r="G3007" t="s">
        <v>123</v>
      </c>
      <c r="H3007" t="str">
        <f>IFERROR(ROUND(COUNTIFS(Tasks!$A:$A,$A3007,Tasks!$B:$B,$B3007,Tasks!$C:$C,$G3007,Tasks!$I:$I,"&lt;="&amp;INDEX(Weeks!$D:$D,MATCH($C3007,Weeks!$A:$A,0)),Tasks!$I:$I,"&lt;&gt;")/COUNTIFS(Tasks!$A:$A,$A3007,Tasks!$B:$B,$B3007,Tasks!$C:$C,$G3007)*100,0),"")</f>
        <v/>
      </c>
    </row>
    <row r="3008" spans="1:8" ht="15" hidden="1" customHeight="1">
      <c r="A3008" t="s">
        <v>107</v>
      </c>
      <c r="B3008" t="s">
        <v>111</v>
      </c>
      <c r="C3008">
        <v>43</v>
      </c>
      <c r="D3008">
        <v>10</v>
      </c>
      <c r="E3008">
        <v>4</v>
      </c>
      <c r="F3008">
        <v>4</v>
      </c>
      <c r="G3008" t="s">
        <v>123</v>
      </c>
      <c r="H3008" t="str">
        <f>IFERROR(ROUND(COUNTIFS(Tasks!$A:$A,$A3008,Tasks!$B:$B,$B3008,Tasks!$C:$C,$G3008,Tasks!$I:$I,"&lt;="&amp;INDEX(Weeks!$D:$D,MATCH($C3008,Weeks!$A:$A,0)),Tasks!$I:$I,"&lt;&gt;")/COUNTIFS(Tasks!$A:$A,$A3008,Tasks!$B:$B,$B3008,Tasks!$C:$C,$G3008)*100,0),"")</f>
        <v/>
      </c>
    </row>
    <row r="3009" spans="1:8" ht="15" hidden="1" customHeight="1">
      <c r="A3009" t="s">
        <v>107</v>
      </c>
      <c r="B3009" t="s">
        <v>111</v>
      </c>
      <c r="C3009">
        <v>44</v>
      </c>
      <c r="D3009">
        <v>10</v>
      </c>
      <c r="E3009">
        <v>5</v>
      </c>
      <c r="F3009">
        <v>4</v>
      </c>
      <c r="G3009" t="s">
        <v>123</v>
      </c>
      <c r="H3009" t="str">
        <f>IFERROR(ROUND(COUNTIFS(Tasks!$A:$A,$A3009,Tasks!$B:$B,$B3009,Tasks!$C:$C,$G3009,Tasks!$I:$I,"&lt;="&amp;INDEX(Weeks!$D:$D,MATCH($C3009,Weeks!$A:$A,0)),Tasks!$I:$I,"&lt;&gt;")/COUNTIFS(Tasks!$A:$A,$A3009,Tasks!$B:$B,$B3009,Tasks!$C:$C,$G3009)*100,0),"")</f>
        <v/>
      </c>
    </row>
    <row r="3010" spans="1:8" ht="15" hidden="1" customHeight="1">
      <c r="A3010" t="s">
        <v>107</v>
      </c>
      <c r="B3010" t="s">
        <v>111</v>
      </c>
      <c r="C3010">
        <v>45</v>
      </c>
      <c r="D3010">
        <v>11</v>
      </c>
      <c r="E3010">
        <v>1</v>
      </c>
      <c r="F3010">
        <v>4</v>
      </c>
      <c r="G3010" t="s">
        <v>123</v>
      </c>
      <c r="H3010" t="str">
        <f>IFERROR(ROUND(COUNTIFS(Tasks!$A:$A,$A3010,Tasks!$B:$B,$B3010,Tasks!$C:$C,$G3010,Tasks!$I:$I,"&lt;="&amp;INDEX(Weeks!$D:$D,MATCH($C3010,Weeks!$A:$A,0)),Tasks!$I:$I,"&lt;&gt;")/COUNTIFS(Tasks!$A:$A,$A3010,Tasks!$B:$B,$B3010,Tasks!$C:$C,$G3010)*100,0),"")</f>
        <v/>
      </c>
    </row>
    <row r="3011" spans="1:8" ht="15" hidden="1" customHeight="1">
      <c r="A3011" t="s">
        <v>107</v>
      </c>
      <c r="B3011" t="s">
        <v>111</v>
      </c>
      <c r="C3011">
        <v>46</v>
      </c>
      <c r="D3011">
        <v>11</v>
      </c>
      <c r="E3011">
        <v>2</v>
      </c>
      <c r="F3011">
        <v>4</v>
      </c>
      <c r="G3011" t="s">
        <v>123</v>
      </c>
      <c r="H3011" t="str">
        <f>IFERROR(ROUND(COUNTIFS(Tasks!$A:$A,$A3011,Tasks!$B:$B,$B3011,Tasks!$C:$C,$G3011,Tasks!$I:$I,"&lt;="&amp;INDEX(Weeks!$D:$D,MATCH($C3011,Weeks!$A:$A,0)),Tasks!$I:$I,"&lt;&gt;")/COUNTIFS(Tasks!$A:$A,$A3011,Tasks!$B:$B,$B3011,Tasks!$C:$C,$G3011)*100,0),"")</f>
        <v/>
      </c>
    </row>
    <row r="3012" spans="1:8" ht="15" hidden="1" customHeight="1">
      <c r="A3012" t="s">
        <v>107</v>
      </c>
      <c r="B3012" t="s">
        <v>111</v>
      </c>
      <c r="C3012">
        <v>47</v>
      </c>
      <c r="D3012">
        <v>11</v>
      </c>
      <c r="E3012">
        <v>3</v>
      </c>
      <c r="F3012">
        <v>4</v>
      </c>
      <c r="G3012" t="s">
        <v>123</v>
      </c>
      <c r="H3012" t="str">
        <f>IFERROR(ROUND(COUNTIFS(Tasks!$A:$A,$A3012,Tasks!$B:$B,$B3012,Tasks!$C:$C,$G3012,Tasks!$I:$I,"&lt;="&amp;INDEX(Weeks!$D:$D,MATCH($C3012,Weeks!$A:$A,0)),Tasks!$I:$I,"&lt;&gt;")/COUNTIFS(Tasks!$A:$A,$A3012,Tasks!$B:$B,$B3012,Tasks!$C:$C,$G3012)*100,0),"")</f>
        <v/>
      </c>
    </row>
    <row r="3013" spans="1:8" ht="15" hidden="1" customHeight="1">
      <c r="A3013" t="s">
        <v>107</v>
      </c>
      <c r="B3013" t="s">
        <v>111</v>
      </c>
      <c r="C3013">
        <v>48</v>
      </c>
      <c r="D3013">
        <v>11</v>
      </c>
      <c r="E3013">
        <v>4</v>
      </c>
      <c r="F3013">
        <v>4</v>
      </c>
      <c r="G3013" t="s">
        <v>123</v>
      </c>
      <c r="H3013" t="str">
        <f>IFERROR(ROUND(COUNTIFS(Tasks!$A:$A,$A3013,Tasks!$B:$B,$B3013,Tasks!$C:$C,$G3013,Tasks!$I:$I,"&lt;="&amp;INDEX(Weeks!$D:$D,MATCH($C3013,Weeks!$A:$A,0)),Tasks!$I:$I,"&lt;&gt;")/COUNTIFS(Tasks!$A:$A,$A3013,Tasks!$B:$B,$B3013,Tasks!$C:$C,$G3013)*100,0),"")</f>
        <v/>
      </c>
    </row>
    <row r="3014" spans="1:8" hidden="1">
      <c r="A3014" t="s">
        <v>107</v>
      </c>
      <c r="B3014" t="s">
        <v>111</v>
      </c>
      <c r="C3014">
        <v>49</v>
      </c>
      <c r="D3014">
        <v>12</v>
      </c>
      <c r="E3014">
        <v>1</v>
      </c>
      <c r="F3014">
        <v>4</v>
      </c>
      <c r="G3014" t="s">
        <v>123</v>
      </c>
      <c r="H3014" t="str">
        <f>IFERROR(ROUND(COUNTIFS(Tasks!$A:$A,$A3014,Tasks!$B:$B,$B3014,Tasks!$C:$C,$G3014,Tasks!$I:$I,"&lt;="&amp;INDEX(Weeks!$D:$D,MATCH($C3014,Weeks!$A:$A,0)),Tasks!$I:$I,"&lt;&gt;")/COUNTIFS(Tasks!$A:$A,$A3014,Tasks!$B:$B,$B3014,Tasks!$C:$C,$G3014)*100,0),"")</f>
        <v/>
      </c>
    </row>
    <row r="3015" spans="1:8" hidden="1">
      <c r="A3015" t="s">
        <v>107</v>
      </c>
      <c r="B3015" t="s">
        <v>111</v>
      </c>
      <c r="C3015">
        <v>50</v>
      </c>
      <c r="D3015">
        <v>12</v>
      </c>
      <c r="E3015">
        <v>2</v>
      </c>
      <c r="F3015">
        <v>4</v>
      </c>
      <c r="G3015" t="s">
        <v>123</v>
      </c>
      <c r="H3015" t="str">
        <f>IFERROR(ROUND(COUNTIFS(Tasks!$A:$A,$A3015,Tasks!$B:$B,$B3015,Tasks!$C:$C,$G3015,Tasks!$I:$I,"&lt;="&amp;INDEX(Weeks!$D:$D,MATCH($C3015,Weeks!$A:$A,0)),Tasks!$I:$I,"&lt;&gt;")/COUNTIFS(Tasks!$A:$A,$A3015,Tasks!$B:$B,$B3015,Tasks!$C:$C,$G3015)*100,0),"")</f>
        <v/>
      </c>
    </row>
    <row r="3016" spans="1:8" hidden="1">
      <c r="A3016" t="s">
        <v>107</v>
      </c>
      <c r="B3016" t="s">
        <v>111</v>
      </c>
      <c r="C3016">
        <v>51</v>
      </c>
      <c r="D3016">
        <v>12</v>
      </c>
      <c r="E3016">
        <v>3</v>
      </c>
      <c r="F3016">
        <v>4</v>
      </c>
      <c r="G3016" t="s">
        <v>123</v>
      </c>
      <c r="H3016" t="str">
        <f>IFERROR(ROUND(COUNTIFS(Tasks!$A:$A,$A3016,Tasks!$B:$B,$B3016,Tasks!$C:$C,$G3016,Tasks!$I:$I,"&lt;="&amp;INDEX(Weeks!$D:$D,MATCH($C3016,Weeks!$A:$A,0)),Tasks!$I:$I,"&lt;&gt;")/COUNTIFS(Tasks!$A:$A,$A3016,Tasks!$B:$B,$B3016,Tasks!$C:$C,$G3016)*100,0),"")</f>
        <v/>
      </c>
    </row>
    <row r="3017" spans="1:8" hidden="1">
      <c r="A3017" t="s">
        <v>107</v>
      </c>
      <c r="B3017" t="s">
        <v>111</v>
      </c>
      <c r="C3017">
        <v>52</v>
      </c>
      <c r="D3017">
        <v>12</v>
      </c>
      <c r="E3017">
        <v>4</v>
      </c>
      <c r="F3017">
        <v>4</v>
      </c>
      <c r="G3017" t="s">
        <v>123</v>
      </c>
      <c r="H3017" t="str">
        <f>IFERROR(ROUND(COUNTIFS(Tasks!$A:$A,$A3017,Tasks!$B:$B,$B3017,Tasks!$C:$C,$G3017,Tasks!$I:$I,"&lt;="&amp;INDEX(Weeks!$D:$D,MATCH($C3017,Weeks!$A:$A,0)),Tasks!$I:$I,"&lt;&gt;")/COUNTIFS(Tasks!$A:$A,$A3017,Tasks!$B:$B,$B3017,Tasks!$C:$C,$G3017)*100,0),"")</f>
        <v/>
      </c>
    </row>
  </sheetData>
  <autoFilter ref="A1:H3017" xr:uid="{00000000-0009-0000-0000-000004000000}">
    <filterColumn colId="0">
      <filters>
        <filter val="Rollout"/>
      </filters>
    </filterColumn>
    <filterColumn colId="1">
      <filters>
        <filter val="Yaupi"/>
      </filters>
    </filterColumn>
  </autoFilter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7109375" defaultRowHeight="14.45"/>
  <cols>
    <col min="1" max="1" width="13" customWidth="1"/>
    <col min="2" max="2" width="42" customWidth="1"/>
    <col min="3" max="3" width="16" customWidth="1"/>
    <col min="4" max="4" width="27" customWidth="1"/>
    <col min="5" max="5" width="10" customWidth="1"/>
    <col min="6" max="6" width="15" customWidth="1"/>
    <col min="7" max="7" width="28.28515625" customWidth="1"/>
  </cols>
  <sheetData>
    <row r="1" spans="1:7" ht="15" customHeight="1">
      <c r="A1" s="1" t="s">
        <v>81</v>
      </c>
      <c r="B1" s="1" t="s">
        <v>82</v>
      </c>
      <c r="C1" s="1" t="s">
        <v>124</v>
      </c>
      <c r="D1" s="1" t="s">
        <v>125</v>
      </c>
      <c r="E1" s="1" t="s">
        <v>126</v>
      </c>
      <c r="F1" s="1" t="s">
        <v>127</v>
      </c>
      <c r="G1" s="2" t="s">
        <v>114</v>
      </c>
    </row>
    <row r="2" spans="1:7" ht="15" customHeight="1">
      <c r="A2" t="s">
        <v>93</v>
      </c>
      <c r="B2" t="s">
        <v>94</v>
      </c>
      <c r="C2">
        <v>1</v>
      </c>
      <c r="D2" t="s">
        <v>128</v>
      </c>
      <c r="E2" t="s">
        <v>129</v>
      </c>
      <c r="F2">
        <v>7</v>
      </c>
      <c r="G2" t="s">
        <v>115</v>
      </c>
    </row>
    <row r="3" spans="1:7" ht="15" customHeight="1">
      <c r="A3" t="s">
        <v>93</v>
      </c>
      <c r="B3" t="s">
        <v>94</v>
      </c>
      <c r="C3">
        <v>2</v>
      </c>
      <c r="D3" t="s">
        <v>130</v>
      </c>
      <c r="E3" t="s">
        <v>129</v>
      </c>
      <c r="F3">
        <v>12</v>
      </c>
      <c r="G3" t="s">
        <v>116</v>
      </c>
    </row>
    <row r="4" spans="1:7" ht="15" customHeight="1">
      <c r="A4" t="s">
        <v>93</v>
      </c>
      <c r="B4" t="s">
        <v>94</v>
      </c>
      <c r="C4">
        <v>3</v>
      </c>
      <c r="D4" t="s">
        <v>131</v>
      </c>
      <c r="E4" t="s">
        <v>129</v>
      </c>
      <c r="F4">
        <v>17</v>
      </c>
      <c r="G4" t="s">
        <v>117</v>
      </c>
    </row>
    <row r="5" spans="1:7" ht="15" customHeight="1">
      <c r="A5" t="s">
        <v>93</v>
      </c>
      <c r="B5" t="s">
        <v>94</v>
      </c>
      <c r="C5">
        <v>4</v>
      </c>
      <c r="D5" t="s">
        <v>132</v>
      </c>
      <c r="E5" t="s">
        <v>133</v>
      </c>
      <c r="G5" t="s">
        <v>118</v>
      </c>
    </row>
    <row r="6" spans="1:7" ht="15" customHeight="1">
      <c r="A6" t="s">
        <v>93</v>
      </c>
      <c r="B6" t="s">
        <v>94</v>
      </c>
      <c r="C6">
        <v>5</v>
      </c>
      <c r="D6" t="s">
        <v>134</v>
      </c>
      <c r="E6" t="s">
        <v>133</v>
      </c>
      <c r="G6" t="s">
        <v>119</v>
      </c>
    </row>
    <row r="7" spans="1:7" ht="15" customHeight="1">
      <c r="A7" t="s">
        <v>93</v>
      </c>
      <c r="B7" t="s">
        <v>95</v>
      </c>
      <c r="C7">
        <v>1</v>
      </c>
      <c r="D7" t="s">
        <v>128</v>
      </c>
      <c r="E7" t="s">
        <v>129</v>
      </c>
      <c r="F7">
        <v>8</v>
      </c>
      <c r="G7" t="s">
        <v>115</v>
      </c>
    </row>
    <row r="8" spans="1:7" ht="15" customHeight="1">
      <c r="A8" t="s">
        <v>93</v>
      </c>
      <c r="B8" t="s">
        <v>95</v>
      </c>
      <c r="C8">
        <v>2</v>
      </c>
      <c r="D8" t="s">
        <v>130</v>
      </c>
      <c r="E8" t="s">
        <v>129</v>
      </c>
      <c r="F8">
        <v>16</v>
      </c>
      <c r="G8" t="s">
        <v>116</v>
      </c>
    </row>
    <row r="9" spans="1:7" ht="15" customHeight="1">
      <c r="A9" t="s">
        <v>93</v>
      </c>
      <c r="B9" t="s">
        <v>95</v>
      </c>
      <c r="C9">
        <v>3</v>
      </c>
      <c r="D9" t="s">
        <v>131</v>
      </c>
      <c r="E9" t="s">
        <v>133</v>
      </c>
      <c r="G9" t="s">
        <v>117</v>
      </c>
    </row>
    <row r="10" spans="1:7" ht="15" customHeight="1">
      <c r="A10" t="s">
        <v>93</v>
      </c>
      <c r="B10" t="s">
        <v>95</v>
      </c>
      <c r="C10">
        <v>4</v>
      </c>
      <c r="D10" t="s">
        <v>132</v>
      </c>
      <c r="E10" t="s">
        <v>133</v>
      </c>
      <c r="G10" t="s">
        <v>118</v>
      </c>
    </row>
    <row r="11" spans="1:7" ht="15" customHeight="1">
      <c r="A11" t="s">
        <v>93</v>
      </c>
      <c r="B11" t="s">
        <v>95</v>
      </c>
      <c r="C11">
        <v>5</v>
      </c>
      <c r="D11" t="s">
        <v>134</v>
      </c>
      <c r="E11" t="s">
        <v>133</v>
      </c>
      <c r="G11" t="s">
        <v>119</v>
      </c>
    </row>
    <row r="12" spans="1:7" ht="15" customHeight="1">
      <c r="A12" t="s">
        <v>93</v>
      </c>
      <c r="B12" t="s">
        <v>96</v>
      </c>
      <c r="C12">
        <v>1</v>
      </c>
      <c r="D12" t="s">
        <v>128</v>
      </c>
      <c r="E12" t="s">
        <v>129</v>
      </c>
      <c r="F12">
        <v>12</v>
      </c>
      <c r="G12" t="s">
        <v>115</v>
      </c>
    </row>
    <row r="13" spans="1:7" ht="15" customHeight="1">
      <c r="A13" t="s">
        <v>93</v>
      </c>
      <c r="B13" t="s">
        <v>96</v>
      </c>
      <c r="C13">
        <v>2</v>
      </c>
      <c r="D13" t="s">
        <v>130</v>
      </c>
      <c r="E13" t="s">
        <v>133</v>
      </c>
      <c r="G13" t="s">
        <v>116</v>
      </c>
    </row>
    <row r="14" spans="1:7" ht="15" customHeight="1">
      <c r="A14" t="s">
        <v>93</v>
      </c>
      <c r="B14" t="s">
        <v>96</v>
      </c>
      <c r="C14">
        <v>3</v>
      </c>
      <c r="D14" t="s">
        <v>131</v>
      </c>
      <c r="E14" t="s">
        <v>133</v>
      </c>
      <c r="G14" t="s">
        <v>117</v>
      </c>
    </row>
    <row r="15" spans="1:7" ht="15" customHeight="1">
      <c r="A15" t="s">
        <v>93</v>
      </c>
      <c r="B15" t="s">
        <v>96</v>
      </c>
      <c r="C15">
        <v>4</v>
      </c>
      <c r="D15" t="s">
        <v>132</v>
      </c>
      <c r="E15" t="s">
        <v>133</v>
      </c>
      <c r="G15" t="s">
        <v>118</v>
      </c>
    </row>
    <row r="16" spans="1:7" ht="15" customHeight="1">
      <c r="A16" t="s">
        <v>93</v>
      </c>
      <c r="B16" t="s">
        <v>96</v>
      </c>
      <c r="C16">
        <v>5</v>
      </c>
      <c r="D16" t="s">
        <v>134</v>
      </c>
      <c r="E16" t="s">
        <v>133</v>
      </c>
      <c r="G16" t="s">
        <v>119</v>
      </c>
    </row>
    <row r="17" spans="1:7" ht="15" customHeight="1">
      <c r="A17" t="s">
        <v>97</v>
      </c>
      <c r="B17" t="s">
        <v>98</v>
      </c>
      <c r="C17">
        <v>1</v>
      </c>
      <c r="D17" t="s">
        <v>135</v>
      </c>
      <c r="E17" t="s">
        <v>129</v>
      </c>
      <c r="F17">
        <v>7</v>
      </c>
      <c r="G17" t="s">
        <v>115</v>
      </c>
    </row>
    <row r="18" spans="1:7" ht="15" customHeight="1">
      <c r="A18" t="s">
        <v>97</v>
      </c>
      <c r="B18" t="s">
        <v>98</v>
      </c>
      <c r="C18">
        <v>2</v>
      </c>
      <c r="D18" t="s">
        <v>136</v>
      </c>
      <c r="E18" t="s">
        <v>129</v>
      </c>
      <c r="F18">
        <v>12</v>
      </c>
      <c r="G18" t="s">
        <v>116</v>
      </c>
    </row>
    <row r="19" spans="1:7" ht="15" customHeight="1">
      <c r="A19" t="s">
        <v>97</v>
      </c>
      <c r="B19" t="s">
        <v>98</v>
      </c>
      <c r="C19">
        <v>3</v>
      </c>
      <c r="D19" t="s">
        <v>137</v>
      </c>
      <c r="E19" t="s">
        <v>129</v>
      </c>
      <c r="F19">
        <v>17</v>
      </c>
      <c r="G19" t="s">
        <v>117</v>
      </c>
    </row>
    <row r="20" spans="1:7" ht="15" customHeight="1">
      <c r="A20" t="s">
        <v>97</v>
      </c>
      <c r="B20" t="s">
        <v>98</v>
      </c>
      <c r="C20">
        <v>4</v>
      </c>
      <c r="D20" t="s">
        <v>132</v>
      </c>
      <c r="E20" t="s">
        <v>133</v>
      </c>
      <c r="G20" t="s">
        <v>118</v>
      </c>
    </row>
    <row r="21" spans="1:7" ht="15" customHeight="1">
      <c r="A21" t="s">
        <v>97</v>
      </c>
      <c r="B21" t="s">
        <v>98</v>
      </c>
      <c r="C21">
        <v>5</v>
      </c>
      <c r="D21" t="s">
        <v>134</v>
      </c>
      <c r="E21" t="s">
        <v>133</v>
      </c>
      <c r="G21" t="s">
        <v>119</v>
      </c>
    </row>
    <row r="22" spans="1:7" ht="15" customHeight="1">
      <c r="A22" t="s">
        <v>97</v>
      </c>
      <c r="B22" t="s">
        <v>99</v>
      </c>
      <c r="C22">
        <v>1</v>
      </c>
      <c r="D22" t="s">
        <v>135</v>
      </c>
      <c r="E22" t="s">
        <v>129</v>
      </c>
      <c r="F22">
        <v>8</v>
      </c>
      <c r="G22" t="s">
        <v>115</v>
      </c>
    </row>
    <row r="23" spans="1:7" ht="15" customHeight="1">
      <c r="A23" t="s">
        <v>97</v>
      </c>
      <c r="B23" t="s">
        <v>99</v>
      </c>
      <c r="C23">
        <v>2</v>
      </c>
      <c r="D23" t="s">
        <v>136</v>
      </c>
      <c r="E23" t="s">
        <v>129</v>
      </c>
      <c r="F23">
        <v>16</v>
      </c>
      <c r="G23" t="s">
        <v>116</v>
      </c>
    </row>
    <row r="24" spans="1:7" ht="15" customHeight="1">
      <c r="A24" t="s">
        <v>97</v>
      </c>
      <c r="B24" t="s">
        <v>99</v>
      </c>
      <c r="C24">
        <v>3</v>
      </c>
      <c r="D24" t="s">
        <v>137</v>
      </c>
      <c r="E24" t="s">
        <v>133</v>
      </c>
      <c r="G24" t="s">
        <v>117</v>
      </c>
    </row>
    <row r="25" spans="1:7" ht="15" customHeight="1">
      <c r="A25" t="s">
        <v>97</v>
      </c>
      <c r="B25" t="s">
        <v>99</v>
      </c>
      <c r="C25">
        <v>4</v>
      </c>
      <c r="D25" t="s">
        <v>132</v>
      </c>
      <c r="E25" t="s">
        <v>133</v>
      </c>
      <c r="G25" t="s">
        <v>118</v>
      </c>
    </row>
    <row r="26" spans="1:7" ht="15" customHeight="1">
      <c r="A26" t="s">
        <v>97</v>
      </c>
      <c r="B26" t="s">
        <v>99</v>
      </c>
      <c r="C26">
        <v>5</v>
      </c>
      <c r="D26" t="s">
        <v>134</v>
      </c>
      <c r="E26" t="s">
        <v>133</v>
      </c>
      <c r="G26" t="s">
        <v>119</v>
      </c>
    </row>
    <row r="27" spans="1:7" ht="15" customHeight="1">
      <c r="A27" t="s">
        <v>97</v>
      </c>
      <c r="B27" t="s">
        <v>100</v>
      </c>
      <c r="C27">
        <v>1</v>
      </c>
      <c r="D27" t="s">
        <v>135</v>
      </c>
      <c r="E27" t="s">
        <v>129</v>
      </c>
      <c r="F27">
        <v>12</v>
      </c>
      <c r="G27" t="s">
        <v>115</v>
      </c>
    </row>
    <row r="28" spans="1:7" ht="15" customHeight="1">
      <c r="A28" t="s">
        <v>97</v>
      </c>
      <c r="B28" t="s">
        <v>100</v>
      </c>
      <c r="C28">
        <v>2</v>
      </c>
      <c r="D28" t="s">
        <v>136</v>
      </c>
      <c r="E28" t="s">
        <v>133</v>
      </c>
      <c r="G28" t="s">
        <v>116</v>
      </c>
    </row>
    <row r="29" spans="1:7" ht="15" customHeight="1">
      <c r="A29" t="s">
        <v>97</v>
      </c>
      <c r="B29" t="s">
        <v>100</v>
      </c>
      <c r="C29">
        <v>3</v>
      </c>
      <c r="D29" t="s">
        <v>137</v>
      </c>
      <c r="E29" t="s">
        <v>133</v>
      </c>
      <c r="G29" t="s">
        <v>117</v>
      </c>
    </row>
    <row r="30" spans="1:7" ht="15" customHeight="1">
      <c r="A30" t="s">
        <v>97</v>
      </c>
      <c r="B30" t="s">
        <v>100</v>
      </c>
      <c r="C30">
        <v>4</v>
      </c>
      <c r="D30" t="s">
        <v>132</v>
      </c>
      <c r="E30" t="s">
        <v>133</v>
      </c>
      <c r="G30" t="s">
        <v>118</v>
      </c>
    </row>
    <row r="31" spans="1:7" ht="15" customHeight="1">
      <c r="A31" t="s">
        <v>97</v>
      </c>
      <c r="B31" t="s">
        <v>100</v>
      </c>
      <c r="C31">
        <v>5</v>
      </c>
      <c r="D31" t="s">
        <v>134</v>
      </c>
      <c r="E31" t="s">
        <v>133</v>
      </c>
      <c r="G31" t="s">
        <v>119</v>
      </c>
    </row>
    <row r="32" spans="1:7" ht="15" customHeight="1">
      <c r="A32" t="s">
        <v>102</v>
      </c>
      <c r="B32" t="s">
        <v>103</v>
      </c>
      <c r="C32">
        <v>1</v>
      </c>
      <c r="D32" t="s">
        <v>138</v>
      </c>
      <c r="E32" t="s">
        <v>129</v>
      </c>
      <c r="F32">
        <v>7</v>
      </c>
      <c r="G32" t="s">
        <v>120</v>
      </c>
    </row>
    <row r="33" spans="1:7" ht="15" customHeight="1">
      <c r="A33" t="s">
        <v>102</v>
      </c>
      <c r="B33" t="s">
        <v>103</v>
      </c>
      <c r="C33">
        <v>2</v>
      </c>
      <c r="D33" t="s">
        <v>139</v>
      </c>
      <c r="E33" t="s">
        <v>129</v>
      </c>
      <c r="F33">
        <v>12</v>
      </c>
      <c r="G33" t="s">
        <v>121</v>
      </c>
    </row>
    <row r="34" spans="1:7" ht="15" customHeight="1">
      <c r="A34" t="s">
        <v>102</v>
      </c>
      <c r="B34" t="s">
        <v>103</v>
      </c>
      <c r="C34">
        <v>3</v>
      </c>
      <c r="D34" t="s">
        <v>140</v>
      </c>
      <c r="E34" t="s">
        <v>129</v>
      </c>
      <c r="F34">
        <v>17</v>
      </c>
      <c r="G34" t="s">
        <v>122</v>
      </c>
    </row>
    <row r="35" spans="1:7" ht="15" customHeight="1">
      <c r="A35" t="s">
        <v>102</v>
      </c>
      <c r="B35" t="s">
        <v>103</v>
      </c>
      <c r="C35">
        <v>4</v>
      </c>
      <c r="D35" t="s">
        <v>141</v>
      </c>
      <c r="E35" t="s">
        <v>133</v>
      </c>
      <c r="G35" t="s">
        <v>123</v>
      </c>
    </row>
    <row r="36" spans="1:7" ht="15" customHeight="1">
      <c r="A36" t="s">
        <v>102</v>
      </c>
      <c r="B36" t="s">
        <v>104</v>
      </c>
      <c r="C36">
        <v>1</v>
      </c>
      <c r="D36" t="s">
        <v>138</v>
      </c>
      <c r="E36" t="s">
        <v>129</v>
      </c>
      <c r="F36">
        <v>8</v>
      </c>
      <c r="G36" t="s">
        <v>120</v>
      </c>
    </row>
    <row r="37" spans="1:7" ht="15" customHeight="1">
      <c r="A37" t="s">
        <v>102</v>
      </c>
      <c r="B37" t="s">
        <v>104</v>
      </c>
      <c r="C37">
        <v>2</v>
      </c>
      <c r="D37" t="s">
        <v>139</v>
      </c>
      <c r="E37" t="s">
        <v>129</v>
      </c>
      <c r="F37">
        <v>16</v>
      </c>
      <c r="G37" t="s">
        <v>121</v>
      </c>
    </row>
    <row r="38" spans="1:7" ht="15" customHeight="1">
      <c r="A38" t="s">
        <v>102</v>
      </c>
      <c r="B38" t="s">
        <v>104</v>
      </c>
      <c r="C38">
        <v>3</v>
      </c>
      <c r="D38" t="s">
        <v>140</v>
      </c>
      <c r="E38" t="s">
        <v>133</v>
      </c>
      <c r="G38" t="s">
        <v>122</v>
      </c>
    </row>
    <row r="39" spans="1:7" ht="15" customHeight="1">
      <c r="A39" t="s">
        <v>102</v>
      </c>
      <c r="B39" t="s">
        <v>104</v>
      </c>
      <c r="C39">
        <v>4</v>
      </c>
      <c r="D39" t="s">
        <v>141</v>
      </c>
      <c r="E39" t="s">
        <v>133</v>
      </c>
      <c r="G39" t="s">
        <v>123</v>
      </c>
    </row>
    <row r="40" spans="1:7" ht="15" customHeight="1">
      <c r="A40" t="s">
        <v>102</v>
      </c>
      <c r="B40" t="s">
        <v>105</v>
      </c>
      <c r="C40">
        <v>1</v>
      </c>
      <c r="D40" t="s">
        <v>138</v>
      </c>
      <c r="E40" t="s">
        <v>129</v>
      </c>
      <c r="F40">
        <v>12</v>
      </c>
      <c r="G40" t="s">
        <v>120</v>
      </c>
    </row>
    <row r="41" spans="1:7" ht="15" customHeight="1">
      <c r="A41" t="s">
        <v>102</v>
      </c>
      <c r="B41" t="s">
        <v>105</v>
      </c>
      <c r="C41">
        <v>2</v>
      </c>
      <c r="D41" t="s">
        <v>139</v>
      </c>
      <c r="E41" t="s">
        <v>133</v>
      </c>
      <c r="G41" t="s">
        <v>121</v>
      </c>
    </row>
    <row r="42" spans="1:7" ht="15" customHeight="1">
      <c r="A42" t="s">
        <v>102</v>
      </c>
      <c r="B42" t="s">
        <v>105</v>
      </c>
      <c r="C42">
        <v>3</v>
      </c>
      <c r="D42" t="s">
        <v>140</v>
      </c>
      <c r="E42" t="s">
        <v>133</v>
      </c>
      <c r="G42" t="s">
        <v>122</v>
      </c>
    </row>
    <row r="43" spans="1:7" ht="15" customHeight="1">
      <c r="A43" t="s">
        <v>102</v>
      </c>
      <c r="B43" t="s">
        <v>105</v>
      </c>
      <c r="C43">
        <v>4</v>
      </c>
      <c r="D43" t="s">
        <v>141</v>
      </c>
      <c r="E43" t="s">
        <v>133</v>
      </c>
      <c r="G43" t="s">
        <v>123</v>
      </c>
    </row>
    <row r="44" spans="1:7" ht="15" customHeight="1">
      <c r="A44" t="s">
        <v>102</v>
      </c>
      <c r="B44" t="s">
        <v>106</v>
      </c>
      <c r="C44">
        <v>1</v>
      </c>
      <c r="D44" t="s">
        <v>138</v>
      </c>
      <c r="E44" t="s">
        <v>129</v>
      </c>
      <c r="F44">
        <v>12</v>
      </c>
      <c r="G44" t="s">
        <v>120</v>
      </c>
    </row>
    <row r="45" spans="1:7" ht="15" customHeight="1">
      <c r="A45" t="s">
        <v>102</v>
      </c>
      <c r="B45" t="s">
        <v>106</v>
      </c>
      <c r="C45">
        <v>2</v>
      </c>
      <c r="D45" t="s">
        <v>139</v>
      </c>
      <c r="E45" t="s">
        <v>133</v>
      </c>
      <c r="G45" t="s">
        <v>121</v>
      </c>
    </row>
    <row r="46" spans="1:7" ht="15" customHeight="1">
      <c r="A46" t="s">
        <v>102</v>
      </c>
      <c r="B46" t="s">
        <v>106</v>
      </c>
      <c r="C46">
        <v>3</v>
      </c>
      <c r="D46" t="s">
        <v>140</v>
      </c>
      <c r="E46" t="s">
        <v>133</v>
      </c>
      <c r="G46" t="s">
        <v>122</v>
      </c>
    </row>
    <row r="47" spans="1:7" ht="15" customHeight="1">
      <c r="A47" t="s">
        <v>102</v>
      </c>
      <c r="B47" t="s">
        <v>106</v>
      </c>
      <c r="C47">
        <v>4</v>
      </c>
      <c r="D47" t="s">
        <v>141</v>
      </c>
      <c r="E47" t="s">
        <v>133</v>
      </c>
      <c r="G47" t="s">
        <v>123</v>
      </c>
    </row>
    <row r="48" spans="1:7" ht="15" customHeight="1">
      <c r="A48" t="s">
        <v>107</v>
      </c>
      <c r="B48" t="s">
        <v>108</v>
      </c>
      <c r="C48">
        <v>1</v>
      </c>
      <c r="D48" t="s">
        <v>142</v>
      </c>
      <c r="E48" t="s">
        <v>129</v>
      </c>
      <c r="F48">
        <v>7</v>
      </c>
      <c r="G48" t="s">
        <v>120</v>
      </c>
    </row>
    <row r="49" spans="1:7" ht="15" customHeight="1">
      <c r="A49" t="s">
        <v>107</v>
      </c>
      <c r="B49" t="s">
        <v>108</v>
      </c>
      <c r="C49">
        <v>2</v>
      </c>
      <c r="D49" t="s">
        <v>143</v>
      </c>
      <c r="E49" t="s">
        <v>129</v>
      </c>
      <c r="F49">
        <v>12</v>
      </c>
      <c r="G49" t="s">
        <v>121</v>
      </c>
    </row>
    <row r="50" spans="1:7" ht="15" customHeight="1">
      <c r="A50" t="s">
        <v>107</v>
      </c>
      <c r="B50" t="s">
        <v>108</v>
      </c>
      <c r="C50">
        <v>3</v>
      </c>
      <c r="D50" t="s">
        <v>139</v>
      </c>
      <c r="E50" t="s">
        <v>129</v>
      </c>
      <c r="F50">
        <v>17</v>
      </c>
      <c r="G50" t="s">
        <v>122</v>
      </c>
    </row>
    <row r="51" spans="1:7" ht="15" customHeight="1">
      <c r="A51" t="s">
        <v>107</v>
      </c>
      <c r="B51" t="s">
        <v>108</v>
      </c>
      <c r="C51">
        <v>4</v>
      </c>
      <c r="D51" t="s">
        <v>141</v>
      </c>
      <c r="E51" t="s">
        <v>133</v>
      </c>
      <c r="G51" t="s">
        <v>123</v>
      </c>
    </row>
    <row r="52" spans="1:7" ht="15" customHeight="1">
      <c r="A52" t="s">
        <v>107</v>
      </c>
      <c r="B52" t="s">
        <v>110</v>
      </c>
      <c r="C52">
        <v>1</v>
      </c>
      <c r="D52" t="s">
        <v>142</v>
      </c>
      <c r="E52" t="s">
        <v>129</v>
      </c>
      <c r="F52">
        <v>12</v>
      </c>
      <c r="G52" t="s">
        <v>120</v>
      </c>
    </row>
    <row r="53" spans="1:7" ht="15" customHeight="1">
      <c r="A53" t="s">
        <v>107</v>
      </c>
      <c r="B53" t="s">
        <v>110</v>
      </c>
      <c r="C53">
        <v>2</v>
      </c>
      <c r="D53" t="s">
        <v>143</v>
      </c>
      <c r="E53" t="s">
        <v>133</v>
      </c>
      <c r="G53" t="s">
        <v>121</v>
      </c>
    </row>
    <row r="54" spans="1:7" ht="15" customHeight="1">
      <c r="A54" t="s">
        <v>107</v>
      </c>
      <c r="B54" t="s">
        <v>110</v>
      </c>
      <c r="C54">
        <v>3</v>
      </c>
      <c r="D54" t="s">
        <v>139</v>
      </c>
      <c r="E54" t="s">
        <v>133</v>
      </c>
      <c r="G54" t="s">
        <v>122</v>
      </c>
    </row>
    <row r="55" spans="1:7" ht="15" customHeight="1">
      <c r="A55" t="s">
        <v>107</v>
      </c>
      <c r="B55" t="s">
        <v>110</v>
      </c>
      <c r="C55">
        <v>4</v>
      </c>
      <c r="D55" t="s">
        <v>141</v>
      </c>
      <c r="E55" t="s">
        <v>133</v>
      </c>
      <c r="G55" t="s">
        <v>123</v>
      </c>
    </row>
    <row r="56" spans="1:7" ht="15" customHeight="1">
      <c r="A56" t="s">
        <v>107</v>
      </c>
      <c r="B56" t="s">
        <v>111</v>
      </c>
      <c r="C56">
        <v>1</v>
      </c>
      <c r="D56" t="s">
        <v>142</v>
      </c>
      <c r="E56" t="s">
        <v>129</v>
      </c>
      <c r="F56">
        <v>12</v>
      </c>
      <c r="G56" t="s">
        <v>120</v>
      </c>
    </row>
    <row r="57" spans="1:7" ht="15" customHeight="1">
      <c r="A57" t="s">
        <v>107</v>
      </c>
      <c r="B57" t="s">
        <v>111</v>
      </c>
      <c r="C57">
        <v>2</v>
      </c>
      <c r="D57" t="s">
        <v>143</v>
      </c>
      <c r="E57" t="s">
        <v>133</v>
      </c>
      <c r="G57" t="s">
        <v>121</v>
      </c>
    </row>
    <row r="58" spans="1:7" ht="15" customHeight="1">
      <c r="A58" t="s">
        <v>107</v>
      </c>
      <c r="B58" t="s">
        <v>111</v>
      </c>
      <c r="C58">
        <v>3</v>
      </c>
      <c r="D58" t="s">
        <v>139</v>
      </c>
      <c r="E58" t="s">
        <v>133</v>
      </c>
      <c r="G58" t="s">
        <v>122</v>
      </c>
    </row>
    <row r="59" spans="1:7" ht="15" customHeight="1">
      <c r="A59" t="s">
        <v>107</v>
      </c>
      <c r="B59" t="s">
        <v>111</v>
      </c>
      <c r="C59">
        <v>4</v>
      </c>
      <c r="D59" t="s">
        <v>141</v>
      </c>
      <c r="E59" t="s">
        <v>133</v>
      </c>
      <c r="G59" t="s">
        <v>123</v>
      </c>
    </row>
  </sheetData>
  <autoFilter ref="A1:G59" xr:uid="{00000000-0009-0000-0000-000005000000}"/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48576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ColWidth="8.7109375" defaultRowHeight="14.45"/>
  <cols>
    <col min="2" max="2" width="19" customWidth="1"/>
    <col min="3" max="3" width="19.140625" customWidth="1"/>
    <col min="4" max="4" width="32" customWidth="1"/>
    <col min="5" max="5" width="15.7109375" customWidth="1"/>
    <col min="6" max="6" width="12.28515625" customWidth="1"/>
    <col min="7" max="7" width="17" customWidth="1"/>
    <col min="8" max="8" width="16.7109375" customWidth="1"/>
    <col min="9" max="9" width="23.140625" customWidth="1"/>
  </cols>
  <sheetData>
    <row r="1" spans="1:9" ht="15" customHeight="1">
      <c r="A1" s="2" t="s">
        <v>81</v>
      </c>
      <c r="B1" s="2" t="s">
        <v>82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</row>
    <row r="2" spans="1:9" ht="15" customHeight="1">
      <c r="A2" t="s">
        <v>93</v>
      </c>
      <c r="B2" t="s">
        <v>94</v>
      </c>
      <c r="C2" t="s">
        <v>115</v>
      </c>
      <c r="D2" t="s">
        <v>151</v>
      </c>
      <c r="E2" t="s">
        <v>152</v>
      </c>
      <c r="F2" t="s">
        <v>61</v>
      </c>
      <c r="G2" s="3">
        <v>46023</v>
      </c>
      <c r="H2" s="3"/>
      <c r="I2" s="4">
        <v>46026</v>
      </c>
    </row>
    <row r="3" spans="1:9" ht="15" customHeight="1">
      <c r="A3" t="s">
        <v>93</v>
      </c>
      <c r="B3" t="s">
        <v>94</v>
      </c>
      <c r="C3" t="s">
        <v>116</v>
      </c>
      <c r="D3" t="s">
        <v>153</v>
      </c>
      <c r="E3" t="s">
        <v>126</v>
      </c>
      <c r="G3" s="4">
        <v>46023</v>
      </c>
      <c r="I3" s="4">
        <v>46037</v>
      </c>
    </row>
    <row r="4" spans="1:9" ht="15" customHeight="1">
      <c r="A4" t="s">
        <v>93</v>
      </c>
      <c r="B4" t="s">
        <v>94</v>
      </c>
      <c r="C4" t="s">
        <v>117</v>
      </c>
      <c r="D4" t="s">
        <v>154</v>
      </c>
      <c r="E4" t="s">
        <v>152</v>
      </c>
      <c r="G4" s="4">
        <v>46023</v>
      </c>
    </row>
    <row r="5" spans="1:9" ht="15" customHeight="1">
      <c r="A5" t="s">
        <v>93</v>
      </c>
      <c r="B5" t="s">
        <v>94</v>
      </c>
      <c r="C5" t="s">
        <v>118</v>
      </c>
    </row>
    <row r="6" spans="1:9" ht="15" customHeight="1">
      <c r="A6" t="s">
        <v>93</v>
      </c>
      <c r="B6" t="s">
        <v>94</v>
      </c>
      <c r="C6" t="s">
        <v>119</v>
      </c>
      <c r="D6" t="s">
        <v>155</v>
      </c>
      <c r="E6" t="s">
        <v>152</v>
      </c>
      <c r="F6" t="s">
        <v>69</v>
      </c>
      <c r="G6" s="4">
        <v>45986</v>
      </c>
      <c r="H6" s="4">
        <v>46167</v>
      </c>
      <c r="I6" s="4">
        <v>46183</v>
      </c>
    </row>
    <row r="7" spans="1:9" ht="15" customHeight="1">
      <c r="A7" t="s">
        <v>93</v>
      </c>
      <c r="B7" t="s">
        <v>94</v>
      </c>
      <c r="C7" t="s">
        <v>119</v>
      </c>
    </row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48576" ht="15" customHeight="1"/>
  </sheetData>
  <dataValidations count="5">
    <dataValidation type="list" allowBlank="1" sqref="E2:E1002" xr:uid="{00000000-0002-0000-0600-000000000000}">
      <formula1>"Open,In Progress,Done"</formula1>
      <formula2>0</formula2>
    </dataValidation>
    <dataValidation type="list" allowBlank="1" sqref="F2:F1002" xr:uid="{00000000-0002-0000-0600-000001000000}">
      <formula1>"Kevin,Jazmin"</formula1>
      <formula2>0</formula2>
    </dataValidation>
    <dataValidation type="list" allowBlank="1" showInputMessage="1" showErrorMessage="1" sqref="A2:A19" xr:uid="{00000000-0002-0000-0600-000002000000}">
      <formula1>"Cheves,AIAgents,Rollout,SOKnowledge,Executive"</formula1>
    </dataValidation>
    <dataValidation type="list" allowBlank="1" showInputMessage="1" showErrorMessage="1" sqref="B2:B20" xr:uid="{00000000-0002-0000-0600-000003000000}">
      <formula1>"Anomaly Detection,Cahua,Yaupi,Malpaso,CWS,UH Prediction,Autonomous Anomaly Detection Agent,CWS Health Monitoring and Forecasting Agent"</formula1>
    </dataValidation>
    <dataValidation type="list" allowBlank="1" showInputMessage="1" showErrorMessage="1" sqref="C2:C20" xr:uid="{00000000-0002-0000-0600-000004000000}">
      <formula1>"Data Validation,Data Deployment,Business Focus,Data Acquisition,Data Modeling"</formula1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2"/>
  <sheetViews>
    <sheetView zoomScaleNormal="100" workbookViewId="0">
      <pane ySplit="1" topLeftCell="A207" activePane="bottomLeft" state="frozen"/>
      <selection pane="bottomLeft" activeCell="E2" sqref="E2:E209"/>
    </sheetView>
  </sheetViews>
  <sheetFormatPr defaultColWidth="8.7109375" defaultRowHeight="14.45"/>
  <cols>
    <col min="1" max="1" width="21" customWidth="1"/>
    <col min="2" max="3" width="10" customWidth="1"/>
    <col min="4" max="4" width="13" customWidth="1"/>
    <col min="5" max="6" width="12" customWidth="1"/>
    <col min="7" max="7" width="29.28515625" customWidth="1"/>
    <col min="8" max="8" width="19" customWidth="1"/>
    <col min="9" max="9" width="27.85546875" customWidth="1"/>
    <col min="10" max="10" width="22.5703125" customWidth="1"/>
    <col min="11" max="11" width="20.7109375" customWidth="1"/>
    <col min="14" max="14" width="42" customWidth="1"/>
  </cols>
  <sheetData>
    <row r="1" spans="1:14" ht="15" customHeight="1">
      <c r="A1" s="1" t="s">
        <v>156</v>
      </c>
      <c r="B1" s="1" t="s">
        <v>83</v>
      </c>
      <c r="C1" s="1" t="s">
        <v>84</v>
      </c>
      <c r="D1" s="1" t="s">
        <v>85</v>
      </c>
      <c r="E1" s="1" t="s">
        <v>157</v>
      </c>
      <c r="F1" s="1" t="s">
        <v>158</v>
      </c>
      <c r="G1" s="1" t="s">
        <v>159</v>
      </c>
      <c r="H1" s="1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2" t="s">
        <v>166</v>
      </c>
    </row>
    <row r="2" spans="1:14" ht="15" customHeight="1">
      <c r="A2" t="s">
        <v>167</v>
      </c>
      <c r="B2">
        <v>1</v>
      </c>
      <c r="C2">
        <v>1</v>
      </c>
      <c r="D2">
        <v>1</v>
      </c>
      <c r="E2" s="6">
        <v>4</v>
      </c>
      <c r="F2">
        <v>0</v>
      </c>
      <c r="G2">
        <v>0</v>
      </c>
      <c r="H2">
        <v>0</v>
      </c>
      <c r="I2" t="s">
        <v>101</v>
      </c>
      <c r="J2" t="s">
        <v>101</v>
      </c>
      <c r="K2">
        <v>0</v>
      </c>
      <c r="L2">
        <v>0</v>
      </c>
      <c r="M2">
        <v>0</v>
      </c>
      <c r="N2" t="s">
        <v>168</v>
      </c>
    </row>
    <row r="3" spans="1:14" ht="15" customHeight="1">
      <c r="A3" t="s">
        <v>167</v>
      </c>
      <c r="B3">
        <v>2</v>
      </c>
      <c r="C3">
        <v>1</v>
      </c>
      <c r="D3">
        <v>2</v>
      </c>
      <c r="E3" s="6">
        <v>4</v>
      </c>
      <c r="F3">
        <v>0</v>
      </c>
      <c r="G3">
        <v>0</v>
      </c>
      <c r="H3">
        <v>0</v>
      </c>
      <c r="I3" t="s">
        <v>101</v>
      </c>
      <c r="J3" t="s">
        <v>101</v>
      </c>
      <c r="K3">
        <v>0</v>
      </c>
      <c r="L3">
        <v>0</v>
      </c>
      <c r="M3">
        <v>0</v>
      </c>
      <c r="N3" t="s">
        <v>168</v>
      </c>
    </row>
    <row r="4" spans="1:14" ht="15" customHeight="1">
      <c r="A4" t="s">
        <v>167</v>
      </c>
      <c r="B4">
        <v>3</v>
      </c>
      <c r="C4">
        <v>1</v>
      </c>
      <c r="D4">
        <v>3</v>
      </c>
      <c r="E4" s="6">
        <v>4</v>
      </c>
      <c r="F4">
        <v>0</v>
      </c>
      <c r="G4">
        <v>0</v>
      </c>
      <c r="H4">
        <v>0</v>
      </c>
      <c r="I4" t="s">
        <v>101</v>
      </c>
      <c r="J4" t="s">
        <v>101</v>
      </c>
      <c r="K4">
        <v>0</v>
      </c>
      <c r="L4">
        <v>0</v>
      </c>
      <c r="M4">
        <v>0</v>
      </c>
      <c r="N4" t="s">
        <v>169</v>
      </c>
    </row>
    <row r="5" spans="1:14" ht="15" customHeight="1">
      <c r="A5" t="s">
        <v>167</v>
      </c>
      <c r="B5">
        <v>4</v>
      </c>
      <c r="C5">
        <v>1</v>
      </c>
      <c r="D5">
        <v>4</v>
      </c>
      <c r="E5" s="6">
        <v>4</v>
      </c>
      <c r="F5">
        <v>0</v>
      </c>
      <c r="G5">
        <v>0</v>
      </c>
      <c r="H5">
        <v>0</v>
      </c>
      <c r="I5" t="s">
        <v>101</v>
      </c>
      <c r="J5" t="s">
        <v>101</v>
      </c>
      <c r="K5">
        <v>0</v>
      </c>
      <c r="L5">
        <v>0</v>
      </c>
      <c r="M5">
        <v>0</v>
      </c>
      <c r="N5" t="s">
        <v>169</v>
      </c>
    </row>
    <row r="6" spans="1:14" ht="15" customHeight="1">
      <c r="A6" t="s">
        <v>167</v>
      </c>
      <c r="B6">
        <v>5</v>
      </c>
      <c r="C6">
        <v>1</v>
      </c>
      <c r="D6">
        <v>5</v>
      </c>
      <c r="E6" s="6">
        <v>4</v>
      </c>
      <c r="F6">
        <v>0</v>
      </c>
      <c r="G6">
        <v>0</v>
      </c>
      <c r="H6">
        <v>0</v>
      </c>
      <c r="I6" t="s">
        <v>101</v>
      </c>
      <c r="J6" t="s">
        <v>101</v>
      </c>
      <c r="K6">
        <v>0</v>
      </c>
      <c r="L6">
        <v>0</v>
      </c>
      <c r="M6">
        <v>0</v>
      </c>
      <c r="N6" t="s">
        <v>169</v>
      </c>
    </row>
    <row r="7" spans="1:14" ht="15" customHeight="1">
      <c r="A7" t="s">
        <v>167</v>
      </c>
      <c r="B7">
        <v>6</v>
      </c>
      <c r="C7">
        <v>2</v>
      </c>
      <c r="D7">
        <v>1</v>
      </c>
      <c r="E7" s="6">
        <v>4</v>
      </c>
      <c r="F7">
        <v>0</v>
      </c>
      <c r="G7">
        <v>0</v>
      </c>
      <c r="H7">
        <v>0</v>
      </c>
      <c r="I7" t="s">
        <v>101</v>
      </c>
      <c r="J7" t="s">
        <v>101</v>
      </c>
      <c r="K7">
        <v>0</v>
      </c>
      <c r="L7">
        <v>0</v>
      </c>
      <c r="M7">
        <v>0</v>
      </c>
      <c r="N7" t="s">
        <v>169</v>
      </c>
    </row>
    <row r="8" spans="1:14" ht="15" customHeight="1">
      <c r="A8" t="s">
        <v>167</v>
      </c>
      <c r="B8">
        <v>7</v>
      </c>
      <c r="C8">
        <v>2</v>
      </c>
      <c r="D8">
        <v>2</v>
      </c>
      <c r="E8" s="6">
        <v>4</v>
      </c>
      <c r="F8">
        <v>0</v>
      </c>
      <c r="G8">
        <v>0</v>
      </c>
      <c r="H8">
        <v>0</v>
      </c>
      <c r="I8" t="s">
        <v>101</v>
      </c>
      <c r="J8" t="s">
        <v>101</v>
      </c>
      <c r="K8">
        <v>0</v>
      </c>
      <c r="L8">
        <v>0</v>
      </c>
      <c r="M8">
        <v>0</v>
      </c>
      <c r="N8" t="s">
        <v>169</v>
      </c>
    </row>
    <row r="9" spans="1:14" ht="15" customHeight="1">
      <c r="A9" t="s">
        <v>167</v>
      </c>
      <c r="B9">
        <v>8</v>
      </c>
      <c r="C9">
        <v>2</v>
      </c>
      <c r="D9">
        <v>3</v>
      </c>
      <c r="E9" s="6">
        <v>4</v>
      </c>
      <c r="F9">
        <v>0</v>
      </c>
      <c r="G9">
        <v>0</v>
      </c>
      <c r="H9">
        <v>0</v>
      </c>
      <c r="I9" t="s">
        <v>101</v>
      </c>
      <c r="J9" t="s">
        <v>101</v>
      </c>
      <c r="K9">
        <v>0</v>
      </c>
      <c r="L9">
        <v>0</v>
      </c>
      <c r="M9">
        <v>0</v>
      </c>
      <c r="N9" t="s">
        <v>169</v>
      </c>
    </row>
    <row r="10" spans="1:14" ht="15" customHeight="1">
      <c r="A10" t="s">
        <v>167</v>
      </c>
      <c r="B10">
        <v>9</v>
      </c>
      <c r="C10">
        <v>2</v>
      </c>
      <c r="D10">
        <v>4</v>
      </c>
      <c r="E10" s="6">
        <v>4</v>
      </c>
      <c r="F10">
        <v>0</v>
      </c>
      <c r="G10">
        <v>0</v>
      </c>
      <c r="H10">
        <v>0</v>
      </c>
      <c r="I10" t="s">
        <v>101</v>
      </c>
      <c r="J10" t="s">
        <v>101</v>
      </c>
      <c r="K10">
        <v>0</v>
      </c>
      <c r="L10">
        <v>0</v>
      </c>
      <c r="M10">
        <v>0</v>
      </c>
      <c r="N10" t="s">
        <v>169</v>
      </c>
    </row>
    <row r="11" spans="1:14" ht="15" customHeight="1">
      <c r="A11" t="s">
        <v>167</v>
      </c>
      <c r="B11">
        <v>10</v>
      </c>
      <c r="C11">
        <v>3</v>
      </c>
      <c r="D11">
        <v>1</v>
      </c>
      <c r="E11" s="6">
        <v>4</v>
      </c>
      <c r="F11">
        <v>0</v>
      </c>
      <c r="G11">
        <v>0</v>
      </c>
      <c r="H11">
        <v>0</v>
      </c>
      <c r="I11" t="s">
        <v>101</v>
      </c>
      <c r="J11" t="s">
        <v>101</v>
      </c>
      <c r="K11">
        <v>0</v>
      </c>
      <c r="L11">
        <v>0</v>
      </c>
      <c r="M11">
        <v>0</v>
      </c>
      <c r="N11" t="s">
        <v>169</v>
      </c>
    </row>
    <row r="12" spans="1:14" ht="15" customHeight="1">
      <c r="A12" t="s">
        <v>167</v>
      </c>
      <c r="B12">
        <v>11</v>
      </c>
      <c r="C12">
        <v>3</v>
      </c>
      <c r="D12">
        <v>2</v>
      </c>
      <c r="E12" s="6">
        <v>4</v>
      </c>
      <c r="F12">
        <v>0</v>
      </c>
      <c r="G12">
        <v>0</v>
      </c>
      <c r="H12">
        <v>0</v>
      </c>
      <c r="I12" t="s">
        <v>101</v>
      </c>
      <c r="J12" t="s">
        <v>101</v>
      </c>
      <c r="K12">
        <v>0</v>
      </c>
      <c r="L12">
        <v>0</v>
      </c>
      <c r="M12">
        <v>0</v>
      </c>
      <c r="N12" t="s">
        <v>169</v>
      </c>
    </row>
    <row r="13" spans="1:14" ht="15" customHeight="1">
      <c r="A13" t="s">
        <v>167</v>
      </c>
      <c r="B13">
        <v>12</v>
      </c>
      <c r="C13">
        <v>3</v>
      </c>
      <c r="D13">
        <v>3</v>
      </c>
      <c r="E13" s="6">
        <v>4</v>
      </c>
      <c r="F13">
        <v>0</v>
      </c>
      <c r="G13">
        <v>0</v>
      </c>
      <c r="H13">
        <v>0</v>
      </c>
      <c r="I13" t="s">
        <v>101</v>
      </c>
      <c r="J13" t="s">
        <v>101</v>
      </c>
      <c r="K13">
        <v>0</v>
      </c>
      <c r="L13">
        <v>0</v>
      </c>
      <c r="M13">
        <v>0</v>
      </c>
      <c r="N13" t="s">
        <v>169</v>
      </c>
    </row>
    <row r="14" spans="1:14" ht="15" customHeight="1">
      <c r="A14" t="s">
        <v>167</v>
      </c>
      <c r="B14">
        <v>13</v>
      </c>
      <c r="C14">
        <v>3</v>
      </c>
      <c r="D14">
        <v>4</v>
      </c>
      <c r="E14" s="6">
        <v>4</v>
      </c>
      <c r="F14">
        <v>0</v>
      </c>
      <c r="G14">
        <v>0</v>
      </c>
      <c r="H14">
        <v>0</v>
      </c>
      <c r="I14" t="s">
        <v>101</v>
      </c>
      <c r="J14" t="s">
        <v>101</v>
      </c>
      <c r="K14">
        <v>0</v>
      </c>
      <c r="L14">
        <v>0</v>
      </c>
      <c r="M14">
        <v>0</v>
      </c>
      <c r="N14" t="s">
        <v>169</v>
      </c>
    </row>
    <row r="15" spans="1:14" ht="15" customHeight="1">
      <c r="A15" t="s">
        <v>167</v>
      </c>
      <c r="B15">
        <v>14</v>
      </c>
      <c r="C15">
        <v>4</v>
      </c>
      <c r="D15">
        <v>1</v>
      </c>
      <c r="E15" s="6">
        <v>4</v>
      </c>
      <c r="F15">
        <v>0</v>
      </c>
      <c r="G15">
        <v>0</v>
      </c>
      <c r="H15">
        <v>0</v>
      </c>
      <c r="I15" t="s">
        <v>101</v>
      </c>
      <c r="J15" t="s">
        <v>101</v>
      </c>
      <c r="K15">
        <v>0</v>
      </c>
      <c r="L15">
        <v>0</v>
      </c>
      <c r="M15">
        <v>0</v>
      </c>
      <c r="N15" t="s">
        <v>169</v>
      </c>
    </row>
    <row r="16" spans="1:14" ht="15" customHeight="1">
      <c r="A16" t="s">
        <v>167</v>
      </c>
      <c r="B16">
        <v>15</v>
      </c>
      <c r="C16">
        <v>4</v>
      </c>
      <c r="D16">
        <v>2</v>
      </c>
      <c r="E16" s="6">
        <v>4</v>
      </c>
      <c r="F16">
        <v>0</v>
      </c>
      <c r="G16">
        <v>0</v>
      </c>
      <c r="H16">
        <v>0</v>
      </c>
      <c r="I16" t="s">
        <v>101</v>
      </c>
      <c r="J16" t="s">
        <v>101</v>
      </c>
      <c r="K16">
        <v>0</v>
      </c>
      <c r="L16">
        <v>0</v>
      </c>
      <c r="M16">
        <v>0</v>
      </c>
      <c r="N16" t="s">
        <v>169</v>
      </c>
    </row>
    <row r="17" spans="1:14" ht="15" customHeight="1">
      <c r="A17" t="s">
        <v>167</v>
      </c>
      <c r="B17">
        <v>16</v>
      </c>
      <c r="C17">
        <v>4</v>
      </c>
      <c r="D17">
        <v>3</v>
      </c>
      <c r="E17" s="6">
        <v>4</v>
      </c>
      <c r="F17">
        <v>0</v>
      </c>
      <c r="G17">
        <v>0</v>
      </c>
      <c r="H17">
        <v>0</v>
      </c>
      <c r="I17" t="s">
        <v>101</v>
      </c>
      <c r="J17" t="s">
        <v>101</v>
      </c>
      <c r="K17">
        <v>0</v>
      </c>
      <c r="L17">
        <v>0</v>
      </c>
      <c r="M17">
        <v>0</v>
      </c>
      <c r="N17" t="s">
        <v>169</v>
      </c>
    </row>
    <row r="18" spans="1:14" ht="15" customHeight="1">
      <c r="A18" t="s">
        <v>167</v>
      </c>
      <c r="B18">
        <v>17</v>
      </c>
      <c r="C18">
        <v>4</v>
      </c>
      <c r="D18">
        <v>4</v>
      </c>
      <c r="E18" s="6">
        <v>4</v>
      </c>
      <c r="F18">
        <v>0</v>
      </c>
      <c r="G18">
        <v>0</v>
      </c>
      <c r="H18">
        <v>0</v>
      </c>
      <c r="I18" t="s">
        <v>101</v>
      </c>
      <c r="J18" t="s">
        <v>101</v>
      </c>
      <c r="K18">
        <v>0</v>
      </c>
      <c r="L18">
        <v>0</v>
      </c>
      <c r="M18">
        <v>0</v>
      </c>
      <c r="N18" t="s">
        <v>169</v>
      </c>
    </row>
    <row r="19" spans="1:14" ht="15" customHeight="1">
      <c r="A19" t="s">
        <v>167</v>
      </c>
      <c r="B19">
        <v>18</v>
      </c>
      <c r="C19">
        <v>5</v>
      </c>
      <c r="D19">
        <v>1</v>
      </c>
      <c r="E19" s="6">
        <v>4</v>
      </c>
      <c r="F19">
        <v>0</v>
      </c>
      <c r="G19">
        <v>0</v>
      </c>
      <c r="H19">
        <v>0</v>
      </c>
      <c r="I19" t="s">
        <v>101</v>
      </c>
      <c r="J19" t="s">
        <v>101</v>
      </c>
      <c r="K19">
        <v>0</v>
      </c>
      <c r="L19">
        <v>0</v>
      </c>
      <c r="M19">
        <v>0</v>
      </c>
      <c r="N19" t="s">
        <v>169</v>
      </c>
    </row>
    <row r="20" spans="1:14" ht="15" customHeight="1">
      <c r="A20" t="s">
        <v>167</v>
      </c>
      <c r="B20">
        <v>19</v>
      </c>
      <c r="C20">
        <v>5</v>
      </c>
      <c r="D20">
        <v>2</v>
      </c>
      <c r="E20" s="6">
        <v>4</v>
      </c>
      <c r="F20">
        <v>0</v>
      </c>
      <c r="G20">
        <v>0</v>
      </c>
      <c r="H20">
        <v>0</v>
      </c>
      <c r="I20" t="s">
        <v>101</v>
      </c>
      <c r="J20" t="s">
        <v>101</v>
      </c>
      <c r="K20">
        <v>0</v>
      </c>
      <c r="L20">
        <v>0</v>
      </c>
      <c r="M20">
        <v>0</v>
      </c>
      <c r="N20" t="s">
        <v>169</v>
      </c>
    </row>
    <row r="21" spans="1:14" ht="15" customHeight="1">
      <c r="A21" t="s">
        <v>167</v>
      </c>
      <c r="B21">
        <v>20</v>
      </c>
      <c r="C21">
        <v>5</v>
      </c>
      <c r="D21">
        <v>3</v>
      </c>
      <c r="E21" s="6">
        <v>4</v>
      </c>
      <c r="F21">
        <v>0</v>
      </c>
      <c r="G21">
        <v>0</v>
      </c>
      <c r="H21">
        <v>0</v>
      </c>
      <c r="I21" t="s">
        <v>101</v>
      </c>
      <c r="J21" t="s">
        <v>101</v>
      </c>
      <c r="K21">
        <v>0</v>
      </c>
      <c r="L21">
        <v>0</v>
      </c>
      <c r="M21">
        <v>0</v>
      </c>
      <c r="N21" t="s">
        <v>169</v>
      </c>
    </row>
    <row r="22" spans="1:14" ht="15" customHeight="1">
      <c r="A22" t="s">
        <v>167</v>
      </c>
      <c r="B22">
        <v>21</v>
      </c>
      <c r="C22">
        <v>5</v>
      </c>
      <c r="D22">
        <v>4</v>
      </c>
      <c r="E22" s="6">
        <v>4</v>
      </c>
      <c r="F22">
        <v>0</v>
      </c>
      <c r="G22">
        <v>0</v>
      </c>
      <c r="H22">
        <v>0</v>
      </c>
      <c r="I22" t="s">
        <v>101</v>
      </c>
      <c r="J22" t="s">
        <v>101</v>
      </c>
      <c r="K22">
        <v>0</v>
      </c>
      <c r="L22">
        <v>0</v>
      </c>
      <c r="M22">
        <v>0</v>
      </c>
      <c r="N22" t="s">
        <v>169</v>
      </c>
    </row>
    <row r="23" spans="1:14" ht="15" customHeight="1">
      <c r="A23" t="s">
        <v>167</v>
      </c>
      <c r="B23">
        <v>22</v>
      </c>
      <c r="C23">
        <v>5</v>
      </c>
      <c r="D23">
        <v>5</v>
      </c>
      <c r="E23" s="6">
        <v>4</v>
      </c>
      <c r="F23">
        <v>0</v>
      </c>
      <c r="G23">
        <v>0</v>
      </c>
      <c r="H23">
        <v>0</v>
      </c>
      <c r="I23" t="s">
        <v>101</v>
      </c>
      <c r="J23" t="s">
        <v>101</v>
      </c>
      <c r="K23">
        <v>0</v>
      </c>
      <c r="L23">
        <v>0</v>
      </c>
      <c r="M23">
        <v>0</v>
      </c>
      <c r="N23" t="s">
        <v>169</v>
      </c>
    </row>
    <row r="24" spans="1:14" ht="15" customHeight="1">
      <c r="A24" t="s">
        <v>167</v>
      </c>
      <c r="B24">
        <v>23</v>
      </c>
      <c r="C24">
        <v>6</v>
      </c>
      <c r="D24">
        <v>1</v>
      </c>
      <c r="E24" s="6">
        <v>4</v>
      </c>
      <c r="F24">
        <v>0</v>
      </c>
      <c r="G24">
        <v>0</v>
      </c>
      <c r="H24">
        <v>0</v>
      </c>
      <c r="I24" t="s">
        <v>101</v>
      </c>
      <c r="J24" t="s">
        <v>101</v>
      </c>
      <c r="K24">
        <v>0</v>
      </c>
      <c r="L24">
        <v>0</v>
      </c>
      <c r="M24">
        <v>0</v>
      </c>
      <c r="N24" t="s">
        <v>169</v>
      </c>
    </row>
    <row r="25" spans="1:14" ht="15" customHeight="1">
      <c r="A25" t="s">
        <v>167</v>
      </c>
      <c r="B25">
        <v>24</v>
      </c>
      <c r="C25">
        <v>6</v>
      </c>
      <c r="D25">
        <v>2</v>
      </c>
      <c r="E25" s="6">
        <v>4</v>
      </c>
      <c r="F25">
        <v>0</v>
      </c>
      <c r="G25">
        <v>0</v>
      </c>
      <c r="H25">
        <v>0</v>
      </c>
      <c r="I25" t="s">
        <v>101</v>
      </c>
      <c r="J25" t="s">
        <v>101</v>
      </c>
      <c r="K25">
        <v>0</v>
      </c>
      <c r="L25">
        <v>0</v>
      </c>
      <c r="M25">
        <v>0</v>
      </c>
      <c r="N25" t="s">
        <v>169</v>
      </c>
    </row>
    <row r="26" spans="1:14" ht="15" customHeight="1">
      <c r="A26" t="s">
        <v>167</v>
      </c>
      <c r="B26">
        <v>25</v>
      </c>
      <c r="C26">
        <v>6</v>
      </c>
      <c r="D26">
        <v>3</v>
      </c>
      <c r="E26" s="6">
        <v>4</v>
      </c>
      <c r="F26">
        <v>0</v>
      </c>
      <c r="G26">
        <v>0</v>
      </c>
      <c r="H26">
        <v>0</v>
      </c>
      <c r="I26" t="s">
        <v>101</v>
      </c>
      <c r="J26" t="s">
        <v>101</v>
      </c>
      <c r="K26">
        <v>0</v>
      </c>
      <c r="L26">
        <v>0</v>
      </c>
      <c r="M26">
        <v>0</v>
      </c>
      <c r="N26" t="s">
        <v>169</v>
      </c>
    </row>
    <row r="27" spans="1:14" ht="15" customHeight="1">
      <c r="A27" t="s">
        <v>167</v>
      </c>
      <c r="B27">
        <v>26</v>
      </c>
      <c r="C27">
        <v>6</v>
      </c>
      <c r="D27">
        <v>4</v>
      </c>
      <c r="E27" s="6">
        <v>4</v>
      </c>
      <c r="F27">
        <v>0</v>
      </c>
      <c r="G27">
        <v>0</v>
      </c>
      <c r="H27">
        <v>0</v>
      </c>
      <c r="I27" t="s">
        <v>101</v>
      </c>
      <c r="J27" t="s">
        <v>101</v>
      </c>
      <c r="K27">
        <v>0</v>
      </c>
      <c r="L27">
        <v>0</v>
      </c>
      <c r="M27">
        <v>0</v>
      </c>
      <c r="N27" t="s">
        <v>169</v>
      </c>
    </row>
    <row r="28" spans="1:14" ht="15" customHeight="1">
      <c r="A28" t="s">
        <v>167</v>
      </c>
      <c r="B28">
        <v>27</v>
      </c>
      <c r="C28">
        <v>7</v>
      </c>
      <c r="D28">
        <v>1</v>
      </c>
      <c r="E28" s="6">
        <v>4</v>
      </c>
      <c r="F28">
        <v>0</v>
      </c>
      <c r="G28">
        <v>0</v>
      </c>
      <c r="H28">
        <v>0</v>
      </c>
      <c r="I28" t="s">
        <v>101</v>
      </c>
      <c r="J28" t="s">
        <v>101</v>
      </c>
      <c r="K28">
        <v>0</v>
      </c>
      <c r="L28">
        <v>0</v>
      </c>
      <c r="M28">
        <v>0</v>
      </c>
      <c r="N28" t="s">
        <v>169</v>
      </c>
    </row>
    <row r="29" spans="1:14" ht="15" customHeight="1">
      <c r="A29" t="s">
        <v>167</v>
      </c>
      <c r="B29">
        <v>28</v>
      </c>
      <c r="C29">
        <v>7</v>
      </c>
      <c r="D29">
        <v>2</v>
      </c>
      <c r="E29" s="6">
        <v>4</v>
      </c>
      <c r="F29">
        <v>0</v>
      </c>
      <c r="G29">
        <v>0</v>
      </c>
      <c r="H29">
        <v>0</v>
      </c>
      <c r="I29" t="s">
        <v>101</v>
      </c>
      <c r="J29" t="s">
        <v>101</v>
      </c>
      <c r="K29">
        <v>0</v>
      </c>
      <c r="L29">
        <v>0</v>
      </c>
      <c r="M29">
        <v>0</v>
      </c>
      <c r="N29" t="s">
        <v>169</v>
      </c>
    </row>
    <row r="30" spans="1:14" ht="15" customHeight="1">
      <c r="A30" t="s">
        <v>167</v>
      </c>
      <c r="B30">
        <v>29</v>
      </c>
      <c r="C30">
        <v>7</v>
      </c>
      <c r="D30">
        <v>3</v>
      </c>
      <c r="E30" s="6">
        <v>4</v>
      </c>
      <c r="F30">
        <v>0</v>
      </c>
      <c r="G30">
        <v>0</v>
      </c>
      <c r="H30">
        <v>0</v>
      </c>
      <c r="I30" t="s">
        <v>101</v>
      </c>
      <c r="J30" t="s">
        <v>101</v>
      </c>
      <c r="K30">
        <v>0</v>
      </c>
      <c r="L30">
        <v>0</v>
      </c>
      <c r="M30">
        <v>0</v>
      </c>
      <c r="N30" t="s">
        <v>169</v>
      </c>
    </row>
    <row r="31" spans="1:14" ht="15" customHeight="1">
      <c r="A31" t="s">
        <v>167</v>
      </c>
      <c r="B31">
        <v>30</v>
      </c>
      <c r="C31">
        <v>7</v>
      </c>
      <c r="D31">
        <v>4</v>
      </c>
      <c r="E31" s="6">
        <v>4</v>
      </c>
      <c r="F31">
        <v>0</v>
      </c>
      <c r="G31">
        <v>0</v>
      </c>
      <c r="H31">
        <v>0</v>
      </c>
      <c r="I31" t="s">
        <v>101</v>
      </c>
      <c r="J31" t="s">
        <v>101</v>
      </c>
      <c r="K31">
        <v>0</v>
      </c>
      <c r="L31">
        <v>0</v>
      </c>
      <c r="M31">
        <v>0</v>
      </c>
      <c r="N31" t="s">
        <v>169</v>
      </c>
    </row>
    <row r="32" spans="1:14" ht="15" customHeight="1">
      <c r="A32" t="s">
        <v>167</v>
      </c>
      <c r="B32">
        <v>31</v>
      </c>
      <c r="C32">
        <v>8</v>
      </c>
      <c r="D32">
        <v>1</v>
      </c>
      <c r="E32" s="6">
        <v>4</v>
      </c>
      <c r="F32">
        <v>0</v>
      </c>
      <c r="G32">
        <v>0</v>
      </c>
      <c r="H32">
        <v>0</v>
      </c>
      <c r="I32" t="s">
        <v>101</v>
      </c>
      <c r="J32" t="s">
        <v>101</v>
      </c>
      <c r="K32">
        <v>0</v>
      </c>
      <c r="L32">
        <v>0</v>
      </c>
      <c r="M32">
        <v>0</v>
      </c>
      <c r="N32" t="s">
        <v>169</v>
      </c>
    </row>
    <row r="33" spans="1:14" ht="15" customHeight="1">
      <c r="A33" t="s">
        <v>167</v>
      </c>
      <c r="B33">
        <v>32</v>
      </c>
      <c r="C33">
        <v>8</v>
      </c>
      <c r="D33">
        <v>2</v>
      </c>
      <c r="E33" s="6">
        <v>4</v>
      </c>
      <c r="F33">
        <v>0</v>
      </c>
      <c r="G33">
        <v>0</v>
      </c>
      <c r="H33">
        <v>0</v>
      </c>
      <c r="I33" t="s">
        <v>101</v>
      </c>
      <c r="J33" t="s">
        <v>101</v>
      </c>
      <c r="K33">
        <v>0</v>
      </c>
      <c r="L33">
        <v>0</v>
      </c>
      <c r="M33">
        <v>0</v>
      </c>
      <c r="N33" t="s">
        <v>169</v>
      </c>
    </row>
    <row r="34" spans="1:14" ht="15" customHeight="1">
      <c r="A34" t="s">
        <v>167</v>
      </c>
      <c r="B34">
        <v>33</v>
      </c>
      <c r="C34">
        <v>8</v>
      </c>
      <c r="D34">
        <v>3</v>
      </c>
      <c r="E34" s="6">
        <v>4</v>
      </c>
      <c r="F34">
        <v>0</v>
      </c>
      <c r="G34">
        <v>0</v>
      </c>
      <c r="H34">
        <v>0</v>
      </c>
      <c r="I34" t="s">
        <v>101</v>
      </c>
      <c r="J34" t="s">
        <v>101</v>
      </c>
      <c r="K34">
        <v>0</v>
      </c>
      <c r="L34">
        <v>0</v>
      </c>
      <c r="M34">
        <v>0</v>
      </c>
      <c r="N34" t="s">
        <v>169</v>
      </c>
    </row>
    <row r="35" spans="1:14" ht="15" customHeight="1">
      <c r="A35" t="s">
        <v>167</v>
      </c>
      <c r="B35">
        <v>34</v>
      </c>
      <c r="C35">
        <v>8</v>
      </c>
      <c r="D35">
        <v>4</v>
      </c>
      <c r="E35" s="6">
        <v>4</v>
      </c>
      <c r="F35">
        <v>0</v>
      </c>
      <c r="G35">
        <v>0</v>
      </c>
      <c r="H35">
        <v>0</v>
      </c>
      <c r="I35" t="s">
        <v>101</v>
      </c>
      <c r="J35" t="s">
        <v>101</v>
      </c>
      <c r="K35">
        <v>0</v>
      </c>
      <c r="L35">
        <v>0</v>
      </c>
      <c r="M35">
        <v>0</v>
      </c>
      <c r="N35" t="s">
        <v>169</v>
      </c>
    </row>
    <row r="36" spans="1:14" ht="15" customHeight="1">
      <c r="A36" t="s">
        <v>167</v>
      </c>
      <c r="B36">
        <v>35</v>
      </c>
      <c r="C36">
        <v>8</v>
      </c>
      <c r="D36">
        <v>5</v>
      </c>
      <c r="E36" s="6">
        <v>4</v>
      </c>
      <c r="F36">
        <v>0</v>
      </c>
      <c r="G36">
        <v>0</v>
      </c>
      <c r="H36">
        <v>0</v>
      </c>
      <c r="I36" t="s">
        <v>101</v>
      </c>
      <c r="J36" t="s">
        <v>101</v>
      </c>
      <c r="K36">
        <v>0</v>
      </c>
      <c r="L36">
        <v>0</v>
      </c>
      <c r="M36">
        <v>0</v>
      </c>
      <c r="N36" t="s">
        <v>169</v>
      </c>
    </row>
    <row r="37" spans="1:14" ht="15" customHeight="1">
      <c r="A37" t="s">
        <v>167</v>
      </c>
      <c r="B37">
        <v>36</v>
      </c>
      <c r="C37">
        <v>9</v>
      </c>
      <c r="D37">
        <v>1</v>
      </c>
      <c r="E37" s="6">
        <v>4</v>
      </c>
      <c r="F37">
        <v>0</v>
      </c>
      <c r="G37">
        <v>0</v>
      </c>
      <c r="H37">
        <v>0</v>
      </c>
      <c r="I37" t="s">
        <v>101</v>
      </c>
      <c r="J37" t="s">
        <v>101</v>
      </c>
      <c r="K37">
        <v>0</v>
      </c>
      <c r="L37">
        <v>0</v>
      </c>
      <c r="M37">
        <v>0</v>
      </c>
      <c r="N37" t="s">
        <v>169</v>
      </c>
    </row>
    <row r="38" spans="1:14" ht="15" customHeight="1">
      <c r="A38" t="s">
        <v>167</v>
      </c>
      <c r="B38">
        <v>37</v>
      </c>
      <c r="C38">
        <v>9</v>
      </c>
      <c r="D38">
        <v>2</v>
      </c>
      <c r="E38" s="6">
        <v>4</v>
      </c>
      <c r="F38">
        <v>0</v>
      </c>
      <c r="G38">
        <v>0</v>
      </c>
      <c r="H38">
        <v>0</v>
      </c>
      <c r="I38" t="s">
        <v>101</v>
      </c>
      <c r="J38" t="s">
        <v>101</v>
      </c>
      <c r="K38">
        <v>0</v>
      </c>
      <c r="L38">
        <v>0</v>
      </c>
      <c r="M38">
        <v>0</v>
      </c>
      <c r="N38" t="s">
        <v>169</v>
      </c>
    </row>
    <row r="39" spans="1:14" ht="15" customHeight="1">
      <c r="A39" t="s">
        <v>167</v>
      </c>
      <c r="B39">
        <v>38</v>
      </c>
      <c r="C39">
        <v>9</v>
      </c>
      <c r="D39">
        <v>3</v>
      </c>
      <c r="E39" s="6">
        <v>4</v>
      </c>
      <c r="F39">
        <v>0</v>
      </c>
      <c r="G39">
        <v>0</v>
      </c>
      <c r="H39">
        <v>0</v>
      </c>
      <c r="I39" t="s">
        <v>101</v>
      </c>
      <c r="J39" t="s">
        <v>101</v>
      </c>
      <c r="K39">
        <v>0</v>
      </c>
      <c r="L39">
        <v>0</v>
      </c>
      <c r="M39">
        <v>0</v>
      </c>
      <c r="N39" t="s">
        <v>169</v>
      </c>
    </row>
    <row r="40" spans="1:14" ht="15" customHeight="1">
      <c r="A40" t="s">
        <v>167</v>
      </c>
      <c r="B40">
        <v>39</v>
      </c>
      <c r="C40">
        <v>9</v>
      </c>
      <c r="D40">
        <v>4</v>
      </c>
      <c r="E40" s="6">
        <v>4</v>
      </c>
      <c r="F40">
        <v>0</v>
      </c>
      <c r="G40">
        <v>0</v>
      </c>
      <c r="H40">
        <v>0</v>
      </c>
      <c r="I40" t="s">
        <v>101</v>
      </c>
      <c r="J40" t="s">
        <v>101</v>
      </c>
      <c r="K40">
        <v>0</v>
      </c>
      <c r="L40">
        <v>0</v>
      </c>
      <c r="M40">
        <v>0</v>
      </c>
      <c r="N40" t="s">
        <v>169</v>
      </c>
    </row>
    <row r="41" spans="1:14" ht="15" customHeight="1">
      <c r="A41" t="s">
        <v>167</v>
      </c>
      <c r="B41">
        <v>40</v>
      </c>
      <c r="C41">
        <v>10</v>
      </c>
      <c r="D41">
        <v>1</v>
      </c>
      <c r="E41" s="6">
        <v>4</v>
      </c>
      <c r="F41">
        <v>0</v>
      </c>
      <c r="G41">
        <v>0</v>
      </c>
      <c r="H41">
        <v>0</v>
      </c>
      <c r="I41" t="s">
        <v>101</v>
      </c>
      <c r="J41" t="s">
        <v>101</v>
      </c>
      <c r="K41">
        <v>0</v>
      </c>
      <c r="L41">
        <v>0</v>
      </c>
      <c r="M41">
        <v>0</v>
      </c>
      <c r="N41" t="s">
        <v>169</v>
      </c>
    </row>
    <row r="42" spans="1:14" ht="15" customHeight="1">
      <c r="A42" t="s">
        <v>167</v>
      </c>
      <c r="B42">
        <v>41</v>
      </c>
      <c r="C42">
        <v>10</v>
      </c>
      <c r="D42">
        <v>2</v>
      </c>
      <c r="E42" s="6">
        <v>4</v>
      </c>
      <c r="F42">
        <v>0</v>
      </c>
      <c r="G42">
        <v>0</v>
      </c>
      <c r="H42">
        <v>0</v>
      </c>
      <c r="I42" t="s">
        <v>101</v>
      </c>
      <c r="J42" t="s">
        <v>101</v>
      </c>
      <c r="K42">
        <v>0</v>
      </c>
      <c r="L42">
        <v>0</v>
      </c>
      <c r="M42">
        <v>0</v>
      </c>
      <c r="N42" t="s">
        <v>169</v>
      </c>
    </row>
    <row r="43" spans="1:14" ht="15" customHeight="1">
      <c r="A43" t="s">
        <v>167</v>
      </c>
      <c r="B43">
        <v>42</v>
      </c>
      <c r="C43">
        <v>10</v>
      </c>
      <c r="D43">
        <v>3</v>
      </c>
      <c r="E43" s="6">
        <v>4</v>
      </c>
      <c r="F43">
        <v>0</v>
      </c>
      <c r="G43">
        <v>0</v>
      </c>
      <c r="H43">
        <v>0</v>
      </c>
      <c r="I43" t="s">
        <v>101</v>
      </c>
      <c r="J43" t="s">
        <v>101</v>
      </c>
      <c r="K43">
        <v>0</v>
      </c>
      <c r="L43">
        <v>0</v>
      </c>
      <c r="M43">
        <v>0</v>
      </c>
      <c r="N43" t="s">
        <v>169</v>
      </c>
    </row>
    <row r="44" spans="1:14" ht="15" customHeight="1">
      <c r="A44" t="s">
        <v>167</v>
      </c>
      <c r="B44">
        <v>43</v>
      </c>
      <c r="C44">
        <v>10</v>
      </c>
      <c r="D44">
        <v>4</v>
      </c>
      <c r="E44" s="6">
        <v>4</v>
      </c>
      <c r="F44">
        <v>0</v>
      </c>
      <c r="G44">
        <v>0</v>
      </c>
      <c r="H44">
        <v>0</v>
      </c>
      <c r="I44" t="s">
        <v>101</v>
      </c>
      <c r="J44" t="s">
        <v>101</v>
      </c>
      <c r="K44">
        <v>0</v>
      </c>
      <c r="L44">
        <v>0</v>
      </c>
      <c r="M44">
        <v>0</v>
      </c>
      <c r="N44" t="s">
        <v>169</v>
      </c>
    </row>
    <row r="45" spans="1:14" ht="15" customHeight="1">
      <c r="A45" t="s">
        <v>167</v>
      </c>
      <c r="B45">
        <v>44</v>
      </c>
      <c r="C45">
        <v>10</v>
      </c>
      <c r="D45">
        <v>5</v>
      </c>
      <c r="E45" s="6">
        <v>4</v>
      </c>
      <c r="F45">
        <v>0</v>
      </c>
      <c r="G45">
        <v>0</v>
      </c>
      <c r="H45">
        <v>0</v>
      </c>
      <c r="I45" t="s">
        <v>101</v>
      </c>
      <c r="J45" t="s">
        <v>101</v>
      </c>
      <c r="K45">
        <v>0</v>
      </c>
      <c r="L45">
        <v>0</v>
      </c>
      <c r="M45">
        <v>0</v>
      </c>
      <c r="N45" t="s">
        <v>169</v>
      </c>
    </row>
    <row r="46" spans="1:14" ht="15" customHeight="1">
      <c r="A46" t="s">
        <v>167</v>
      </c>
      <c r="B46">
        <v>45</v>
      </c>
      <c r="C46">
        <v>11</v>
      </c>
      <c r="D46">
        <v>1</v>
      </c>
      <c r="E46" s="6">
        <v>4</v>
      </c>
      <c r="F46">
        <v>0</v>
      </c>
      <c r="G46">
        <v>0</v>
      </c>
      <c r="H46">
        <v>0</v>
      </c>
      <c r="I46" t="s">
        <v>101</v>
      </c>
      <c r="J46" t="s">
        <v>101</v>
      </c>
      <c r="K46">
        <v>0</v>
      </c>
      <c r="L46">
        <v>0</v>
      </c>
      <c r="M46">
        <v>0</v>
      </c>
      <c r="N46" t="s">
        <v>169</v>
      </c>
    </row>
    <row r="47" spans="1:14" ht="15" customHeight="1">
      <c r="A47" t="s">
        <v>167</v>
      </c>
      <c r="B47">
        <v>46</v>
      </c>
      <c r="C47">
        <v>11</v>
      </c>
      <c r="D47">
        <v>2</v>
      </c>
      <c r="E47" s="6">
        <v>4</v>
      </c>
      <c r="F47">
        <v>0</v>
      </c>
      <c r="G47">
        <v>0</v>
      </c>
      <c r="H47">
        <v>0</v>
      </c>
      <c r="I47" t="s">
        <v>101</v>
      </c>
      <c r="J47" t="s">
        <v>101</v>
      </c>
      <c r="K47">
        <v>0</v>
      </c>
      <c r="L47">
        <v>0</v>
      </c>
      <c r="M47">
        <v>0</v>
      </c>
      <c r="N47" t="s">
        <v>169</v>
      </c>
    </row>
    <row r="48" spans="1:14" ht="15" customHeight="1">
      <c r="A48" t="s">
        <v>167</v>
      </c>
      <c r="B48">
        <v>47</v>
      </c>
      <c r="C48">
        <v>11</v>
      </c>
      <c r="D48">
        <v>3</v>
      </c>
      <c r="E48" s="6">
        <v>4</v>
      </c>
      <c r="F48">
        <v>0</v>
      </c>
      <c r="G48">
        <v>0</v>
      </c>
      <c r="H48">
        <v>0</v>
      </c>
      <c r="I48" t="s">
        <v>101</v>
      </c>
      <c r="J48" t="s">
        <v>101</v>
      </c>
      <c r="K48">
        <v>0</v>
      </c>
      <c r="L48">
        <v>0</v>
      </c>
      <c r="M48">
        <v>0</v>
      </c>
      <c r="N48" t="s">
        <v>169</v>
      </c>
    </row>
    <row r="49" spans="1:14" ht="15" customHeight="1">
      <c r="A49" t="s">
        <v>167</v>
      </c>
      <c r="B49">
        <v>48</v>
      </c>
      <c r="C49">
        <v>11</v>
      </c>
      <c r="D49">
        <v>4</v>
      </c>
      <c r="E49" s="6">
        <v>4</v>
      </c>
      <c r="F49">
        <v>0</v>
      </c>
      <c r="G49">
        <v>0</v>
      </c>
      <c r="H49">
        <v>0</v>
      </c>
      <c r="I49" t="s">
        <v>101</v>
      </c>
      <c r="J49" t="s">
        <v>101</v>
      </c>
      <c r="K49">
        <v>0</v>
      </c>
      <c r="L49">
        <v>0</v>
      </c>
      <c r="M49">
        <v>0</v>
      </c>
      <c r="N49" t="s">
        <v>169</v>
      </c>
    </row>
    <row r="50" spans="1:14" ht="15" customHeight="1">
      <c r="A50" t="s">
        <v>167</v>
      </c>
      <c r="B50">
        <v>49</v>
      </c>
      <c r="C50">
        <v>12</v>
      </c>
      <c r="D50">
        <v>1</v>
      </c>
      <c r="E50" s="6">
        <v>4</v>
      </c>
      <c r="F50">
        <v>0</v>
      </c>
      <c r="G50">
        <v>0</v>
      </c>
      <c r="H50">
        <v>0</v>
      </c>
      <c r="I50" t="s">
        <v>101</v>
      </c>
      <c r="J50" t="s">
        <v>101</v>
      </c>
      <c r="K50">
        <v>0</v>
      </c>
      <c r="L50">
        <v>0</v>
      </c>
      <c r="M50">
        <v>0</v>
      </c>
      <c r="N50" t="s">
        <v>169</v>
      </c>
    </row>
    <row r="51" spans="1:14" ht="15" customHeight="1">
      <c r="A51" t="s">
        <v>167</v>
      </c>
      <c r="B51">
        <v>50</v>
      </c>
      <c r="C51">
        <v>12</v>
      </c>
      <c r="D51">
        <v>2</v>
      </c>
      <c r="E51" s="6">
        <v>4</v>
      </c>
      <c r="F51">
        <v>0</v>
      </c>
      <c r="G51">
        <v>0</v>
      </c>
      <c r="H51">
        <v>0</v>
      </c>
      <c r="I51" t="s">
        <v>101</v>
      </c>
      <c r="J51" t="s">
        <v>101</v>
      </c>
      <c r="K51">
        <v>0</v>
      </c>
      <c r="L51">
        <v>0</v>
      </c>
      <c r="M51">
        <v>0</v>
      </c>
      <c r="N51" t="s">
        <v>169</v>
      </c>
    </row>
    <row r="52" spans="1:14" ht="15" customHeight="1">
      <c r="A52" t="s">
        <v>167</v>
      </c>
      <c r="B52">
        <v>51</v>
      </c>
      <c r="C52">
        <v>12</v>
      </c>
      <c r="D52">
        <v>3</v>
      </c>
      <c r="E52" s="6">
        <v>4</v>
      </c>
      <c r="F52">
        <v>0</v>
      </c>
      <c r="G52">
        <v>0</v>
      </c>
      <c r="H52">
        <v>0</v>
      </c>
      <c r="I52" t="s">
        <v>101</v>
      </c>
      <c r="J52" t="s">
        <v>101</v>
      </c>
      <c r="K52">
        <v>0</v>
      </c>
      <c r="L52">
        <v>0</v>
      </c>
      <c r="M52">
        <v>0</v>
      </c>
      <c r="N52" t="s">
        <v>169</v>
      </c>
    </row>
    <row r="53" spans="1:14" ht="15" customHeight="1">
      <c r="A53" t="s">
        <v>167</v>
      </c>
      <c r="B53">
        <v>52</v>
      </c>
      <c r="C53">
        <v>12</v>
      </c>
      <c r="D53">
        <v>4</v>
      </c>
      <c r="E53" s="6">
        <v>4</v>
      </c>
      <c r="F53">
        <v>0</v>
      </c>
      <c r="G53">
        <v>0</v>
      </c>
      <c r="H53">
        <v>0</v>
      </c>
      <c r="I53" t="s">
        <v>101</v>
      </c>
      <c r="J53" t="s">
        <v>101</v>
      </c>
      <c r="K53">
        <v>0</v>
      </c>
      <c r="L53">
        <v>0</v>
      </c>
      <c r="M53">
        <v>0</v>
      </c>
      <c r="N53" t="s">
        <v>169</v>
      </c>
    </row>
    <row r="54" spans="1:14" ht="15" customHeight="1">
      <c r="A54" t="s">
        <v>170</v>
      </c>
      <c r="B54">
        <v>1</v>
      </c>
      <c r="C54">
        <v>1</v>
      </c>
      <c r="D54">
        <v>1</v>
      </c>
      <c r="E54" s="6">
        <v>4</v>
      </c>
      <c r="F54">
        <v>0</v>
      </c>
      <c r="G54">
        <v>0</v>
      </c>
      <c r="H54">
        <v>0</v>
      </c>
      <c r="I54" t="s">
        <v>101</v>
      </c>
      <c r="J54" t="s">
        <v>101</v>
      </c>
      <c r="K54">
        <v>0</v>
      </c>
      <c r="L54">
        <v>0</v>
      </c>
      <c r="M54">
        <v>0</v>
      </c>
      <c r="N54" t="s">
        <v>169</v>
      </c>
    </row>
    <row r="55" spans="1:14" ht="15" customHeight="1">
      <c r="A55" t="s">
        <v>170</v>
      </c>
      <c r="B55">
        <v>2</v>
      </c>
      <c r="C55">
        <v>1</v>
      </c>
      <c r="D55">
        <v>2</v>
      </c>
      <c r="E55" s="6">
        <v>4</v>
      </c>
      <c r="F55">
        <v>0</v>
      </c>
      <c r="G55">
        <v>0</v>
      </c>
      <c r="H55">
        <v>0</v>
      </c>
      <c r="I55" t="s">
        <v>101</v>
      </c>
      <c r="J55" t="s">
        <v>101</v>
      </c>
      <c r="K55">
        <v>0</v>
      </c>
      <c r="L55">
        <v>0</v>
      </c>
      <c r="M55">
        <v>0</v>
      </c>
      <c r="N55" t="s">
        <v>169</v>
      </c>
    </row>
    <row r="56" spans="1:14" ht="15" customHeight="1">
      <c r="A56" t="s">
        <v>170</v>
      </c>
      <c r="B56">
        <v>3</v>
      </c>
      <c r="C56">
        <v>1</v>
      </c>
      <c r="D56">
        <v>3</v>
      </c>
      <c r="E56" s="6">
        <v>4</v>
      </c>
      <c r="F56">
        <v>0</v>
      </c>
      <c r="G56">
        <v>0</v>
      </c>
      <c r="H56">
        <v>0</v>
      </c>
      <c r="I56" t="s">
        <v>101</v>
      </c>
      <c r="J56" t="s">
        <v>101</v>
      </c>
      <c r="K56">
        <v>0</v>
      </c>
      <c r="L56">
        <v>0</v>
      </c>
      <c r="M56">
        <v>0</v>
      </c>
      <c r="N56" t="s">
        <v>169</v>
      </c>
    </row>
    <row r="57" spans="1:14" ht="15" customHeight="1">
      <c r="A57" t="s">
        <v>170</v>
      </c>
      <c r="B57">
        <v>4</v>
      </c>
      <c r="C57">
        <v>1</v>
      </c>
      <c r="D57">
        <v>4</v>
      </c>
      <c r="E57" s="6">
        <v>4</v>
      </c>
      <c r="F57">
        <v>0</v>
      </c>
      <c r="G57">
        <v>0</v>
      </c>
      <c r="H57">
        <v>0</v>
      </c>
      <c r="I57" t="s">
        <v>101</v>
      </c>
      <c r="J57" t="s">
        <v>101</v>
      </c>
      <c r="K57">
        <v>0</v>
      </c>
      <c r="L57">
        <v>0</v>
      </c>
      <c r="M57">
        <v>0</v>
      </c>
      <c r="N57" t="s">
        <v>169</v>
      </c>
    </row>
    <row r="58" spans="1:14" ht="15" customHeight="1">
      <c r="A58" t="s">
        <v>170</v>
      </c>
      <c r="B58">
        <v>5</v>
      </c>
      <c r="C58">
        <v>1</v>
      </c>
      <c r="D58">
        <v>5</v>
      </c>
      <c r="E58" s="6">
        <v>4</v>
      </c>
      <c r="F58">
        <v>0</v>
      </c>
      <c r="G58">
        <v>0</v>
      </c>
      <c r="H58">
        <v>0</v>
      </c>
      <c r="I58" t="s">
        <v>101</v>
      </c>
      <c r="J58" t="s">
        <v>101</v>
      </c>
      <c r="K58">
        <v>0</v>
      </c>
      <c r="L58">
        <v>0</v>
      </c>
      <c r="M58">
        <v>0</v>
      </c>
      <c r="N58" t="s">
        <v>169</v>
      </c>
    </row>
    <row r="59" spans="1:14" ht="15" customHeight="1">
      <c r="A59" t="s">
        <v>170</v>
      </c>
      <c r="B59">
        <v>6</v>
      </c>
      <c r="C59">
        <v>2</v>
      </c>
      <c r="D59">
        <v>1</v>
      </c>
      <c r="E59" s="6">
        <v>4</v>
      </c>
      <c r="F59">
        <v>0</v>
      </c>
      <c r="G59">
        <v>0</v>
      </c>
      <c r="H59">
        <v>0</v>
      </c>
      <c r="I59" t="s">
        <v>101</v>
      </c>
      <c r="J59" t="s">
        <v>101</v>
      </c>
      <c r="K59">
        <v>0</v>
      </c>
      <c r="L59">
        <v>0</v>
      </c>
      <c r="M59">
        <v>0</v>
      </c>
      <c r="N59" t="s">
        <v>169</v>
      </c>
    </row>
    <row r="60" spans="1:14" ht="15" customHeight="1">
      <c r="A60" t="s">
        <v>170</v>
      </c>
      <c r="B60">
        <v>7</v>
      </c>
      <c r="C60">
        <v>2</v>
      </c>
      <c r="D60">
        <v>2</v>
      </c>
      <c r="E60" s="6">
        <v>4</v>
      </c>
      <c r="F60">
        <v>0</v>
      </c>
      <c r="G60">
        <v>0</v>
      </c>
      <c r="H60">
        <v>0</v>
      </c>
      <c r="I60" t="s">
        <v>101</v>
      </c>
      <c r="J60" t="s">
        <v>101</v>
      </c>
      <c r="K60">
        <v>0</v>
      </c>
      <c r="L60">
        <v>0</v>
      </c>
      <c r="M60">
        <v>0</v>
      </c>
      <c r="N60" t="s">
        <v>169</v>
      </c>
    </row>
    <row r="61" spans="1:14" ht="15" customHeight="1">
      <c r="A61" t="s">
        <v>170</v>
      </c>
      <c r="B61">
        <v>8</v>
      </c>
      <c r="C61">
        <v>2</v>
      </c>
      <c r="D61">
        <v>3</v>
      </c>
      <c r="E61" s="6">
        <v>4</v>
      </c>
      <c r="F61">
        <v>0</v>
      </c>
      <c r="G61">
        <v>0</v>
      </c>
      <c r="H61">
        <v>0</v>
      </c>
      <c r="I61" t="s">
        <v>101</v>
      </c>
      <c r="J61" t="s">
        <v>101</v>
      </c>
      <c r="K61">
        <v>0</v>
      </c>
      <c r="L61">
        <v>0</v>
      </c>
      <c r="M61">
        <v>0</v>
      </c>
      <c r="N61" t="s">
        <v>169</v>
      </c>
    </row>
    <row r="62" spans="1:14" ht="15" customHeight="1">
      <c r="A62" t="s">
        <v>170</v>
      </c>
      <c r="B62">
        <v>9</v>
      </c>
      <c r="C62">
        <v>2</v>
      </c>
      <c r="D62">
        <v>4</v>
      </c>
      <c r="E62" s="6">
        <v>4</v>
      </c>
      <c r="F62">
        <v>0</v>
      </c>
      <c r="G62">
        <v>0</v>
      </c>
      <c r="H62">
        <v>0</v>
      </c>
      <c r="I62" t="s">
        <v>101</v>
      </c>
      <c r="J62" t="s">
        <v>101</v>
      </c>
      <c r="K62">
        <v>0</v>
      </c>
      <c r="L62">
        <v>0</v>
      </c>
      <c r="M62">
        <v>0</v>
      </c>
      <c r="N62" t="s">
        <v>169</v>
      </c>
    </row>
    <row r="63" spans="1:14" ht="15" customHeight="1">
      <c r="A63" t="s">
        <v>170</v>
      </c>
      <c r="B63">
        <v>10</v>
      </c>
      <c r="C63">
        <v>3</v>
      </c>
      <c r="D63">
        <v>1</v>
      </c>
      <c r="E63" s="6">
        <v>4</v>
      </c>
      <c r="F63">
        <v>0</v>
      </c>
      <c r="G63">
        <v>0</v>
      </c>
      <c r="H63">
        <v>0</v>
      </c>
      <c r="I63" t="s">
        <v>101</v>
      </c>
      <c r="J63" t="s">
        <v>101</v>
      </c>
      <c r="K63">
        <v>0</v>
      </c>
      <c r="L63">
        <v>0</v>
      </c>
      <c r="M63">
        <v>0</v>
      </c>
      <c r="N63" t="s">
        <v>169</v>
      </c>
    </row>
    <row r="64" spans="1:14" ht="15" customHeight="1">
      <c r="A64" t="s">
        <v>170</v>
      </c>
      <c r="B64">
        <v>11</v>
      </c>
      <c r="C64">
        <v>3</v>
      </c>
      <c r="D64">
        <v>2</v>
      </c>
      <c r="E64" s="6">
        <v>4</v>
      </c>
      <c r="F64">
        <v>0</v>
      </c>
      <c r="G64">
        <v>0</v>
      </c>
      <c r="H64">
        <v>0</v>
      </c>
      <c r="I64" t="s">
        <v>101</v>
      </c>
      <c r="J64" t="s">
        <v>101</v>
      </c>
      <c r="K64">
        <v>0</v>
      </c>
      <c r="L64">
        <v>0</v>
      </c>
      <c r="M64">
        <v>0</v>
      </c>
      <c r="N64" t="s">
        <v>169</v>
      </c>
    </row>
    <row r="65" spans="1:14" ht="15" customHeight="1">
      <c r="A65" t="s">
        <v>170</v>
      </c>
      <c r="B65">
        <v>12</v>
      </c>
      <c r="C65">
        <v>3</v>
      </c>
      <c r="D65">
        <v>3</v>
      </c>
      <c r="E65" s="6">
        <v>4</v>
      </c>
      <c r="F65">
        <v>0</v>
      </c>
      <c r="G65">
        <v>0</v>
      </c>
      <c r="H65">
        <v>0</v>
      </c>
      <c r="I65" t="s">
        <v>101</v>
      </c>
      <c r="J65" t="s">
        <v>101</v>
      </c>
      <c r="K65">
        <v>0</v>
      </c>
      <c r="L65">
        <v>0</v>
      </c>
      <c r="M65">
        <v>0</v>
      </c>
      <c r="N65" t="s">
        <v>169</v>
      </c>
    </row>
    <row r="66" spans="1:14" ht="15" customHeight="1">
      <c r="A66" t="s">
        <v>170</v>
      </c>
      <c r="B66">
        <v>13</v>
      </c>
      <c r="C66">
        <v>3</v>
      </c>
      <c r="D66">
        <v>4</v>
      </c>
      <c r="E66" s="6">
        <v>4</v>
      </c>
      <c r="F66">
        <v>0</v>
      </c>
      <c r="G66">
        <v>0</v>
      </c>
      <c r="H66">
        <v>0</v>
      </c>
      <c r="I66" t="s">
        <v>101</v>
      </c>
      <c r="J66" t="s">
        <v>101</v>
      </c>
      <c r="K66">
        <v>0</v>
      </c>
      <c r="L66">
        <v>0</v>
      </c>
      <c r="M66">
        <v>0</v>
      </c>
      <c r="N66" t="s">
        <v>169</v>
      </c>
    </row>
    <row r="67" spans="1:14" ht="15" customHeight="1">
      <c r="A67" t="s">
        <v>170</v>
      </c>
      <c r="B67">
        <v>14</v>
      </c>
      <c r="C67">
        <v>4</v>
      </c>
      <c r="D67">
        <v>1</v>
      </c>
      <c r="E67" s="6">
        <v>4</v>
      </c>
      <c r="F67">
        <v>0</v>
      </c>
      <c r="G67">
        <v>0</v>
      </c>
      <c r="H67">
        <v>0</v>
      </c>
      <c r="I67" t="s">
        <v>101</v>
      </c>
      <c r="J67" t="s">
        <v>101</v>
      </c>
      <c r="K67">
        <v>0</v>
      </c>
      <c r="L67">
        <v>0</v>
      </c>
      <c r="M67">
        <v>0</v>
      </c>
      <c r="N67" t="s">
        <v>169</v>
      </c>
    </row>
    <row r="68" spans="1:14" ht="15" customHeight="1">
      <c r="A68" t="s">
        <v>170</v>
      </c>
      <c r="B68">
        <v>15</v>
      </c>
      <c r="C68">
        <v>4</v>
      </c>
      <c r="D68">
        <v>2</v>
      </c>
      <c r="E68" s="6">
        <v>4</v>
      </c>
      <c r="F68">
        <v>0</v>
      </c>
      <c r="G68">
        <v>0</v>
      </c>
      <c r="H68">
        <v>0</v>
      </c>
      <c r="I68" t="s">
        <v>101</v>
      </c>
      <c r="J68" t="s">
        <v>101</v>
      </c>
      <c r="K68">
        <v>0</v>
      </c>
      <c r="L68">
        <v>0</v>
      </c>
      <c r="M68">
        <v>0</v>
      </c>
      <c r="N68" t="s">
        <v>169</v>
      </c>
    </row>
    <row r="69" spans="1:14" ht="15" customHeight="1">
      <c r="A69" t="s">
        <v>170</v>
      </c>
      <c r="B69">
        <v>16</v>
      </c>
      <c r="C69">
        <v>4</v>
      </c>
      <c r="D69">
        <v>3</v>
      </c>
      <c r="E69" s="6">
        <v>4</v>
      </c>
      <c r="F69">
        <v>0</v>
      </c>
      <c r="G69">
        <v>0</v>
      </c>
      <c r="H69">
        <v>0</v>
      </c>
      <c r="I69" t="s">
        <v>101</v>
      </c>
      <c r="J69" t="s">
        <v>101</v>
      </c>
      <c r="K69">
        <v>0</v>
      </c>
      <c r="L69">
        <v>0</v>
      </c>
      <c r="M69">
        <v>0</v>
      </c>
      <c r="N69" t="s">
        <v>169</v>
      </c>
    </row>
    <row r="70" spans="1:14" ht="15" customHeight="1">
      <c r="A70" t="s">
        <v>170</v>
      </c>
      <c r="B70">
        <v>17</v>
      </c>
      <c r="C70">
        <v>4</v>
      </c>
      <c r="D70">
        <v>4</v>
      </c>
      <c r="E70" s="6">
        <v>4</v>
      </c>
      <c r="F70">
        <v>0</v>
      </c>
      <c r="G70">
        <v>0</v>
      </c>
      <c r="H70">
        <v>0</v>
      </c>
      <c r="I70" t="s">
        <v>101</v>
      </c>
      <c r="J70" t="s">
        <v>101</v>
      </c>
      <c r="K70">
        <v>0</v>
      </c>
      <c r="L70">
        <v>0</v>
      </c>
      <c r="M70">
        <v>0</v>
      </c>
      <c r="N70" t="s">
        <v>169</v>
      </c>
    </row>
    <row r="71" spans="1:14" ht="15" customHeight="1">
      <c r="A71" t="s">
        <v>170</v>
      </c>
      <c r="B71">
        <v>18</v>
      </c>
      <c r="C71">
        <v>5</v>
      </c>
      <c r="D71">
        <v>1</v>
      </c>
      <c r="E71" s="6">
        <v>4</v>
      </c>
      <c r="F71">
        <v>0</v>
      </c>
      <c r="G71">
        <v>0</v>
      </c>
      <c r="H71">
        <v>0</v>
      </c>
      <c r="I71" t="s">
        <v>101</v>
      </c>
      <c r="J71" t="s">
        <v>101</v>
      </c>
      <c r="K71">
        <v>0</v>
      </c>
      <c r="L71">
        <v>0</v>
      </c>
      <c r="M71">
        <v>0</v>
      </c>
      <c r="N71" t="s">
        <v>169</v>
      </c>
    </row>
    <row r="72" spans="1:14" ht="15" customHeight="1">
      <c r="A72" t="s">
        <v>170</v>
      </c>
      <c r="B72">
        <v>19</v>
      </c>
      <c r="C72">
        <v>5</v>
      </c>
      <c r="D72">
        <v>2</v>
      </c>
      <c r="E72" s="6">
        <v>4</v>
      </c>
      <c r="F72">
        <v>0</v>
      </c>
      <c r="G72">
        <v>0</v>
      </c>
      <c r="H72">
        <v>0</v>
      </c>
      <c r="I72" t="s">
        <v>101</v>
      </c>
      <c r="J72" t="s">
        <v>101</v>
      </c>
      <c r="K72">
        <v>0</v>
      </c>
      <c r="L72">
        <v>0</v>
      </c>
      <c r="M72">
        <v>0</v>
      </c>
      <c r="N72" t="s">
        <v>169</v>
      </c>
    </row>
    <row r="73" spans="1:14" ht="15" customHeight="1">
      <c r="A73" t="s">
        <v>170</v>
      </c>
      <c r="B73">
        <v>20</v>
      </c>
      <c r="C73">
        <v>5</v>
      </c>
      <c r="D73">
        <v>3</v>
      </c>
      <c r="E73" s="6">
        <v>4</v>
      </c>
      <c r="F73">
        <v>0</v>
      </c>
      <c r="G73">
        <v>0</v>
      </c>
      <c r="H73">
        <v>0</v>
      </c>
      <c r="I73" t="s">
        <v>101</v>
      </c>
      <c r="J73" t="s">
        <v>101</v>
      </c>
      <c r="K73">
        <v>0</v>
      </c>
      <c r="L73">
        <v>0</v>
      </c>
      <c r="M73">
        <v>0</v>
      </c>
      <c r="N73" t="s">
        <v>169</v>
      </c>
    </row>
    <row r="74" spans="1:14" ht="15" customHeight="1">
      <c r="A74" t="s">
        <v>170</v>
      </c>
      <c r="B74">
        <v>21</v>
      </c>
      <c r="C74">
        <v>5</v>
      </c>
      <c r="D74">
        <v>4</v>
      </c>
      <c r="E74" s="6">
        <v>4</v>
      </c>
      <c r="F74">
        <v>0</v>
      </c>
      <c r="G74">
        <v>0</v>
      </c>
      <c r="H74">
        <v>0</v>
      </c>
      <c r="I74" t="s">
        <v>101</v>
      </c>
      <c r="J74" t="s">
        <v>101</v>
      </c>
      <c r="K74">
        <v>0</v>
      </c>
      <c r="L74">
        <v>0</v>
      </c>
      <c r="M74">
        <v>0</v>
      </c>
      <c r="N74" t="s">
        <v>169</v>
      </c>
    </row>
    <row r="75" spans="1:14" ht="15" customHeight="1">
      <c r="A75" t="s">
        <v>170</v>
      </c>
      <c r="B75">
        <v>22</v>
      </c>
      <c r="C75">
        <v>5</v>
      </c>
      <c r="D75">
        <v>5</v>
      </c>
      <c r="E75" s="6">
        <v>4</v>
      </c>
      <c r="F75">
        <v>0</v>
      </c>
      <c r="G75">
        <v>0</v>
      </c>
      <c r="H75">
        <v>0</v>
      </c>
      <c r="I75" t="s">
        <v>101</v>
      </c>
      <c r="J75" t="s">
        <v>101</v>
      </c>
      <c r="K75">
        <v>0</v>
      </c>
      <c r="L75">
        <v>0</v>
      </c>
      <c r="M75">
        <v>0</v>
      </c>
      <c r="N75" t="s">
        <v>169</v>
      </c>
    </row>
    <row r="76" spans="1:14" ht="15" customHeight="1">
      <c r="A76" t="s">
        <v>170</v>
      </c>
      <c r="B76">
        <v>23</v>
      </c>
      <c r="C76">
        <v>6</v>
      </c>
      <c r="D76">
        <v>1</v>
      </c>
      <c r="E76" s="6">
        <v>4</v>
      </c>
      <c r="F76">
        <v>0</v>
      </c>
      <c r="G76">
        <v>0</v>
      </c>
      <c r="H76">
        <v>0</v>
      </c>
      <c r="I76" t="s">
        <v>101</v>
      </c>
      <c r="J76" t="s">
        <v>101</v>
      </c>
      <c r="K76">
        <v>0</v>
      </c>
      <c r="L76">
        <v>0</v>
      </c>
      <c r="M76">
        <v>0</v>
      </c>
      <c r="N76" t="s">
        <v>169</v>
      </c>
    </row>
    <row r="77" spans="1:14" ht="15" customHeight="1">
      <c r="A77" t="s">
        <v>170</v>
      </c>
      <c r="B77">
        <v>24</v>
      </c>
      <c r="C77">
        <v>6</v>
      </c>
      <c r="D77">
        <v>2</v>
      </c>
      <c r="E77" s="6">
        <v>4</v>
      </c>
      <c r="F77">
        <v>0</v>
      </c>
      <c r="G77">
        <v>0</v>
      </c>
      <c r="H77">
        <v>0</v>
      </c>
      <c r="I77" t="s">
        <v>101</v>
      </c>
      <c r="J77" t="s">
        <v>101</v>
      </c>
      <c r="K77">
        <v>0</v>
      </c>
      <c r="L77">
        <v>0</v>
      </c>
      <c r="M77">
        <v>0</v>
      </c>
      <c r="N77" t="s">
        <v>169</v>
      </c>
    </row>
    <row r="78" spans="1:14" ht="15" customHeight="1">
      <c r="A78" t="s">
        <v>170</v>
      </c>
      <c r="B78">
        <v>25</v>
      </c>
      <c r="C78">
        <v>6</v>
      </c>
      <c r="D78">
        <v>3</v>
      </c>
      <c r="E78" s="6">
        <v>4</v>
      </c>
      <c r="F78">
        <v>0</v>
      </c>
      <c r="G78">
        <v>0</v>
      </c>
      <c r="H78">
        <v>0</v>
      </c>
      <c r="I78" t="s">
        <v>101</v>
      </c>
      <c r="J78" t="s">
        <v>101</v>
      </c>
      <c r="K78">
        <v>0</v>
      </c>
      <c r="L78">
        <v>0</v>
      </c>
      <c r="M78">
        <v>0</v>
      </c>
      <c r="N78" t="s">
        <v>169</v>
      </c>
    </row>
    <row r="79" spans="1:14" ht="15" customHeight="1">
      <c r="A79" t="s">
        <v>170</v>
      </c>
      <c r="B79">
        <v>26</v>
      </c>
      <c r="C79">
        <v>6</v>
      </c>
      <c r="D79">
        <v>4</v>
      </c>
      <c r="E79" s="6">
        <v>4</v>
      </c>
      <c r="F79">
        <v>0</v>
      </c>
      <c r="G79">
        <v>0</v>
      </c>
      <c r="H79">
        <v>0</v>
      </c>
      <c r="I79" t="s">
        <v>101</v>
      </c>
      <c r="J79" t="s">
        <v>101</v>
      </c>
      <c r="K79">
        <v>0</v>
      </c>
      <c r="L79">
        <v>0</v>
      </c>
      <c r="M79">
        <v>0</v>
      </c>
      <c r="N79" t="s">
        <v>169</v>
      </c>
    </row>
    <row r="80" spans="1:14" ht="15" customHeight="1">
      <c r="A80" t="s">
        <v>170</v>
      </c>
      <c r="B80">
        <v>27</v>
      </c>
      <c r="C80">
        <v>7</v>
      </c>
      <c r="D80">
        <v>1</v>
      </c>
      <c r="E80" s="6">
        <v>4</v>
      </c>
      <c r="F80">
        <v>0</v>
      </c>
      <c r="G80">
        <v>0</v>
      </c>
      <c r="H80">
        <v>0</v>
      </c>
      <c r="I80" t="s">
        <v>101</v>
      </c>
      <c r="J80" t="s">
        <v>101</v>
      </c>
      <c r="K80">
        <v>0</v>
      </c>
      <c r="L80">
        <v>0</v>
      </c>
      <c r="M80">
        <v>0</v>
      </c>
      <c r="N80" t="s">
        <v>169</v>
      </c>
    </row>
    <row r="81" spans="1:14" ht="15" customHeight="1">
      <c r="A81" t="s">
        <v>170</v>
      </c>
      <c r="B81">
        <v>28</v>
      </c>
      <c r="C81">
        <v>7</v>
      </c>
      <c r="D81">
        <v>2</v>
      </c>
      <c r="E81" s="6">
        <v>4</v>
      </c>
      <c r="F81">
        <v>0</v>
      </c>
      <c r="G81">
        <v>0</v>
      </c>
      <c r="H81">
        <v>0</v>
      </c>
      <c r="I81" t="s">
        <v>101</v>
      </c>
      <c r="J81" t="s">
        <v>101</v>
      </c>
      <c r="K81">
        <v>0</v>
      </c>
      <c r="L81">
        <v>0</v>
      </c>
      <c r="M81">
        <v>0</v>
      </c>
      <c r="N81" t="s">
        <v>169</v>
      </c>
    </row>
    <row r="82" spans="1:14" ht="15" customHeight="1">
      <c r="A82" t="s">
        <v>170</v>
      </c>
      <c r="B82">
        <v>29</v>
      </c>
      <c r="C82">
        <v>7</v>
      </c>
      <c r="D82">
        <v>3</v>
      </c>
      <c r="E82" s="6">
        <v>4</v>
      </c>
      <c r="F82">
        <v>0</v>
      </c>
      <c r="G82">
        <v>0</v>
      </c>
      <c r="H82">
        <v>0</v>
      </c>
      <c r="I82" t="s">
        <v>101</v>
      </c>
      <c r="J82" t="s">
        <v>101</v>
      </c>
      <c r="K82">
        <v>0</v>
      </c>
      <c r="L82">
        <v>0</v>
      </c>
      <c r="M82">
        <v>0</v>
      </c>
      <c r="N82" t="s">
        <v>169</v>
      </c>
    </row>
    <row r="83" spans="1:14" ht="15" customHeight="1">
      <c r="A83" t="s">
        <v>170</v>
      </c>
      <c r="B83">
        <v>30</v>
      </c>
      <c r="C83">
        <v>7</v>
      </c>
      <c r="D83">
        <v>4</v>
      </c>
      <c r="E83" s="6">
        <v>4</v>
      </c>
      <c r="F83">
        <v>0</v>
      </c>
      <c r="G83">
        <v>0</v>
      </c>
      <c r="H83">
        <v>0</v>
      </c>
      <c r="I83" t="s">
        <v>101</v>
      </c>
      <c r="J83" t="s">
        <v>101</v>
      </c>
      <c r="K83">
        <v>0</v>
      </c>
      <c r="L83">
        <v>0</v>
      </c>
      <c r="M83">
        <v>0</v>
      </c>
      <c r="N83" t="s">
        <v>169</v>
      </c>
    </row>
    <row r="84" spans="1:14" ht="15" customHeight="1">
      <c r="A84" t="s">
        <v>170</v>
      </c>
      <c r="B84">
        <v>31</v>
      </c>
      <c r="C84">
        <v>8</v>
      </c>
      <c r="D84">
        <v>1</v>
      </c>
      <c r="E84" s="6">
        <v>4</v>
      </c>
      <c r="F84">
        <v>0</v>
      </c>
      <c r="G84">
        <v>0</v>
      </c>
      <c r="H84">
        <v>0</v>
      </c>
      <c r="I84" t="s">
        <v>101</v>
      </c>
      <c r="J84" t="s">
        <v>101</v>
      </c>
      <c r="K84">
        <v>0</v>
      </c>
      <c r="L84">
        <v>0</v>
      </c>
      <c r="M84">
        <v>0</v>
      </c>
      <c r="N84" t="s">
        <v>169</v>
      </c>
    </row>
    <row r="85" spans="1:14" ht="15" customHeight="1">
      <c r="A85" t="s">
        <v>170</v>
      </c>
      <c r="B85">
        <v>32</v>
      </c>
      <c r="C85">
        <v>8</v>
      </c>
      <c r="D85">
        <v>2</v>
      </c>
      <c r="E85" s="6">
        <v>4</v>
      </c>
      <c r="F85">
        <v>0</v>
      </c>
      <c r="G85">
        <v>0</v>
      </c>
      <c r="H85">
        <v>0</v>
      </c>
      <c r="I85" t="s">
        <v>101</v>
      </c>
      <c r="J85" t="s">
        <v>101</v>
      </c>
      <c r="K85">
        <v>0</v>
      </c>
      <c r="L85">
        <v>0</v>
      </c>
      <c r="M85">
        <v>0</v>
      </c>
      <c r="N85" t="s">
        <v>169</v>
      </c>
    </row>
    <row r="86" spans="1:14" ht="15" customHeight="1">
      <c r="A86" t="s">
        <v>170</v>
      </c>
      <c r="B86">
        <v>33</v>
      </c>
      <c r="C86">
        <v>8</v>
      </c>
      <c r="D86">
        <v>3</v>
      </c>
      <c r="E86" s="6">
        <v>4</v>
      </c>
      <c r="F86">
        <v>0</v>
      </c>
      <c r="G86">
        <v>0</v>
      </c>
      <c r="H86">
        <v>0</v>
      </c>
      <c r="I86" t="s">
        <v>101</v>
      </c>
      <c r="J86" t="s">
        <v>101</v>
      </c>
      <c r="K86">
        <v>0</v>
      </c>
      <c r="L86">
        <v>0</v>
      </c>
      <c r="M86">
        <v>0</v>
      </c>
      <c r="N86" t="s">
        <v>169</v>
      </c>
    </row>
    <row r="87" spans="1:14" ht="15" customHeight="1">
      <c r="A87" t="s">
        <v>170</v>
      </c>
      <c r="B87">
        <v>34</v>
      </c>
      <c r="C87">
        <v>8</v>
      </c>
      <c r="D87">
        <v>4</v>
      </c>
      <c r="E87" s="6">
        <v>4</v>
      </c>
      <c r="F87">
        <v>0</v>
      </c>
      <c r="G87">
        <v>0</v>
      </c>
      <c r="H87">
        <v>0</v>
      </c>
      <c r="I87" t="s">
        <v>101</v>
      </c>
      <c r="J87" t="s">
        <v>101</v>
      </c>
      <c r="K87">
        <v>0</v>
      </c>
      <c r="L87">
        <v>0</v>
      </c>
      <c r="M87">
        <v>0</v>
      </c>
      <c r="N87" t="s">
        <v>169</v>
      </c>
    </row>
    <row r="88" spans="1:14" ht="15" customHeight="1">
      <c r="A88" t="s">
        <v>170</v>
      </c>
      <c r="B88">
        <v>35</v>
      </c>
      <c r="C88">
        <v>8</v>
      </c>
      <c r="D88">
        <v>5</v>
      </c>
      <c r="E88" s="6">
        <v>4</v>
      </c>
      <c r="F88">
        <v>0</v>
      </c>
      <c r="G88">
        <v>0</v>
      </c>
      <c r="H88">
        <v>0</v>
      </c>
      <c r="I88" t="s">
        <v>101</v>
      </c>
      <c r="J88" t="s">
        <v>101</v>
      </c>
      <c r="K88">
        <v>0</v>
      </c>
      <c r="L88">
        <v>0</v>
      </c>
      <c r="M88">
        <v>0</v>
      </c>
      <c r="N88" t="s">
        <v>169</v>
      </c>
    </row>
    <row r="89" spans="1:14" ht="15" customHeight="1">
      <c r="A89" t="s">
        <v>170</v>
      </c>
      <c r="B89">
        <v>36</v>
      </c>
      <c r="C89">
        <v>9</v>
      </c>
      <c r="D89">
        <v>1</v>
      </c>
      <c r="E89" s="6">
        <v>4</v>
      </c>
      <c r="F89">
        <v>0</v>
      </c>
      <c r="G89">
        <v>0</v>
      </c>
      <c r="H89">
        <v>0</v>
      </c>
      <c r="I89" t="s">
        <v>101</v>
      </c>
      <c r="J89" t="s">
        <v>101</v>
      </c>
      <c r="K89">
        <v>0</v>
      </c>
      <c r="L89">
        <v>0</v>
      </c>
      <c r="M89">
        <v>0</v>
      </c>
      <c r="N89" t="s">
        <v>169</v>
      </c>
    </row>
    <row r="90" spans="1:14" ht="15" customHeight="1">
      <c r="A90" t="s">
        <v>170</v>
      </c>
      <c r="B90">
        <v>37</v>
      </c>
      <c r="C90">
        <v>9</v>
      </c>
      <c r="D90">
        <v>2</v>
      </c>
      <c r="E90" s="6">
        <v>4</v>
      </c>
      <c r="F90">
        <v>0</v>
      </c>
      <c r="G90">
        <v>0</v>
      </c>
      <c r="H90">
        <v>0</v>
      </c>
      <c r="I90" t="s">
        <v>101</v>
      </c>
      <c r="J90" t="s">
        <v>101</v>
      </c>
      <c r="K90">
        <v>0</v>
      </c>
      <c r="L90">
        <v>0</v>
      </c>
      <c r="M90">
        <v>0</v>
      </c>
      <c r="N90" t="s">
        <v>169</v>
      </c>
    </row>
    <row r="91" spans="1:14" ht="15" customHeight="1">
      <c r="A91" t="s">
        <v>170</v>
      </c>
      <c r="B91">
        <v>38</v>
      </c>
      <c r="C91">
        <v>9</v>
      </c>
      <c r="D91">
        <v>3</v>
      </c>
      <c r="E91" s="6">
        <v>4</v>
      </c>
      <c r="F91">
        <v>0</v>
      </c>
      <c r="G91">
        <v>0</v>
      </c>
      <c r="H91">
        <v>0</v>
      </c>
      <c r="I91" t="s">
        <v>101</v>
      </c>
      <c r="J91" t="s">
        <v>101</v>
      </c>
      <c r="K91">
        <v>0</v>
      </c>
      <c r="L91">
        <v>0</v>
      </c>
      <c r="M91">
        <v>0</v>
      </c>
      <c r="N91" t="s">
        <v>169</v>
      </c>
    </row>
    <row r="92" spans="1:14" ht="15" customHeight="1">
      <c r="A92" t="s">
        <v>170</v>
      </c>
      <c r="B92">
        <v>39</v>
      </c>
      <c r="C92">
        <v>9</v>
      </c>
      <c r="D92">
        <v>4</v>
      </c>
      <c r="E92" s="6">
        <v>4</v>
      </c>
      <c r="F92">
        <v>0</v>
      </c>
      <c r="G92">
        <v>0</v>
      </c>
      <c r="H92">
        <v>0</v>
      </c>
      <c r="I92" t="s">
        <v>101</v>
      </c>
      <c r="J92" t="s">
        <v>101</v>
      </c>
      <c r="K92">
        <v>0</v>
      </c>
      <c r="L92">
        <v>0</v>
      </c>
      <c r="M92">
        <v>0</v>
      </c>
      <c r="N92" t="s">
        <v>169</v>
      </c>
    </row>
    <row r="93" spans="1:14" ht="15" customHeight="1">
      <c r="A93" t="s">
        <v>170</v>
      </c>
      <c r="B93">
        <v>40</v>
      </c>
      <c r="C93">
        <v>10</v>
      </c>
      <c r="D93">
        <v>1</v>
      </c>
      <c r="E93" s="6">
        <v>4</v>
      </c>
      <c r="F93">
        <v>0</v>
      </c>
      <c r="G93">
        <v>0</v>
      </c>
      <c r="H93">
        <v>0</v>
      </c>
      <c r="I93" t="s">
        <v>101</v>
      </c>
      <c r="J93" t="s">
        <v>101</v>
      </c>
      <c r="K93">
        <v>0</v>
      </c>
      <c r="L93">
        <v>0</v>
      </c>
      <c r="M93">
        <v>0</v>
      </c>
      <c r="N93" t="s">
        <v>169</v>
      </c>
    </row>
    <row r="94" spans="1:14" ht="15" customHeight="1">
      <c r="A94" t="s">
        <v>170</v>
      </c>
      <c r="B94">
        <v>41</v>
      </c>
      <c r="C94">
        <v>10</v>
      </c>
      <c r="D94">
        <v>2</v>
      </c>
      <c r="E94" s="6">
        <v>4</v>
      </c>
      <c r="F94">
        <v>0</v>
      </c>
      <c r="G94">
        <v>0</v>
      </c>
      <c r="H94">
        <v>0</v>
      </c>
      <c r="I94" t="s">
        <v>101</v>
      </c>
      <c r="J94" t="s">
        <v>101</v>
      </c>
      <c r="K94">
        <v>0</v>
      </c>
      <c r="L94">
        <v>0</v>
      </c>
      <c r="M94">
        <v>0</v>
      </c>
      <c r="N94" t="s">
        <v>169</v>
      </c>
    </row>
    <row r="95" spans="1:14" ht="15" customHeight="1">
      <c r="A95" t="s">
        <v>170</v>
      </c>
      <c r="B95">
        <v>42</v>
      </c>
      <c r="C95">
        <v>10</v>
      </c>
      <c r="D95">
        <v>3</v>
      </c>
      <c r="E95" s="6">
        <v>4</v>
      </c>
      <c r="F95">
        <v>0</v>
      </c>
      <c r="G95">
        <v>0</v>
      </c>
      <c r="H95">
        <v>0</v>
      </c>
      <c r="I95" t="s">
        <v>101</v>
      </c>
      <c r="J95" t="s">
        <v>101</v>
      </c>
      <c r="K95">
        <v>0</v>
      </c>
      <c r="L95">
        <v>0</v>
      </c>
      <c r="M95">
        <v>0</v>
      </c>
      <c r="N95" t="s">
        <v>169</v>
      </c>
    </row>
    <row r="96" spans="1:14" ht="15" customHeight="1">
      <c r="A96" t="s">
        <v>170</v>
      </c>
      <c r="B96">
        <v>43</v>
      </c>
      <c r="C96">
        <v>10</v>
      </c>
      <c r="D96">
        <v>4</v>
      </c>
      <c r="E96" s="6">
        <v>4</v>
      </c>
      <c r="F96">
        <v>0</v>
      </c>
      <c r="G96">
        <v>0</v>
      </c>
      <c r="H96">
        <v>0</v>
      </c>
      <c r="I96" t="s">
        <v>101</v>
      </c>
      <c r="J96" t="s">
        <v>101</v>
      </c>
      <c r="K96">
        <v>0</v>
      </c>
      <c r="L96">
        <v>0</v>
      </c>
      <c r="M96">
        <v>0</v>
      </c>
      <c r="N96" t="s">
        <v>169</v>
      </c>
    </row>
    <row r="97" spans="1:14" ht="15" customHeight="1">
      <c r="A97" t="s">
        <v>170</v>
      </c>
      <c r="B97">
        <v>44</v>
      </c>
      <c r="C97">
        <v>10</v>
      </c>
      <c r="D97">
        <v>5</v>
      </c>
      <c r="E97" s="6">
        <v>4</v>
      </c>
      <c r="F97">
        <v>0</v>
      </c>
      <c r="G97">
        <v>0</v>
      </c>
      <c r="H97">
        <v>0</v>
      </c>
      <c r="I97" t="s">
        <v>101</v>
      </c>
      <c r="J97" t="s">
        <v>101</v>
      </c>
      <c r="K97">
        <v>0</v>
      </c>
      <c r="L97">
        <v>0</v>
      </c>
      <c r="M97">
        <v>0</v>
      </c>
      <c r="N97" t="s">
        <v>169</v>
      </c>
    </row>
    <row r="98" spans="1:14" ht="15" customHeight="1">
      <c r="A98" t="s">
        <v>170</v>
      </c>
      <c r="B98">
        <v>45</v>
      </c>
      <c r="C98">
        <v>11</v>
      </c>
      <c r="D98">
        <v>1</v>
      </c>
      <c r="E98" s="6">
        <v>4</v>
      </c>
      <c r="F98">
        <v>0</v>
      </c>
      <c r="G98">
        <v>0</v>
      </c>
      <c r="H98">
        <v>0</v>
      </c>
      <c r="I98" t="s">
        <v>101</v>
      </c>
      <c r="J98" t="s">
        <v>101</v>
      </c>
      <c r="K98">
        <v>0</v>
      </c>
      <c r="L98">
        <v>0</v>
      </c>
      <c r="M98">
        <v>0</v>
      </c>
      <c r="N98" t="s">
        <v>169</v>
      </c>
    </row>
    <row r="99" spans="1:14" ht="15" customHeight="1">
      <c r="A99" t="s">
        <v>170</v>
      </c>
      <c r="B99">
        <v>46</v>
      </c>
      <c r="C99">
        <v>11</v>
      </c>
      <c r="D99">
        <v>2</v>
      </c>
      <c r="E99" s="6">
        <v>4</v>
      </c>
      <c r="F99">
        <v>0</v>
      </c>
      <c r="G99">
        <v>0</v>
      </c>
      <c r="H99">
        <v>0</v>
      </c>
      <c r="I99" t="s">
        <v>101</v>
      </c>
      <c r="J99" t="s">
        <v>101</v>
      </c>
      <c r="K99">
        <v>0</v>
      </c>
      <c r="L99">
        <v>0</v>
      </c>
      <c r="M99">
        <v>0</v>
      </c>
      <c r="N99" t="s">
        <v>169</v>
      </c>
    </row>
    <row r="100" spans="1:14" ht="15" customHeight="1">
      <c r="A100" t="s">
        <v>170</v>
      </c>
      <c r="B100">
        <v>47</v>
      </c>
      <c r="C100">
        <v>11</v>
      </c>
      <c r="D100">
        <v>3</v>
      </c>
      <c r="E100" s="6">
        <v>4</v>
      </c>
      <c r="F100">
        <v>0</v>
      </c>
      <c r="G100">
        <v>0</v>
      </c>
      <c r="H100">
        <v>0</v>
      </c>
      <c r="I100" t="s">
        <v>101</v>
      </c>
      <c r="J100" t="s">
        <v>101</v>
      </c>
      <c r="K100">
        <v>0</v>
      </c>
      <c r="L100">
        <v>0</v>
      </c>
      <c r="M100">
        <v>0</v>
      </c>
      <c r="N100" t="s">
        <v>169</v>
      </c>
    </row>
    <row r="101" spans="1:14" ht="15" customHeight="1">
      <c r="A101" t="s">
        <v>170</v>
      </c>
      <c r="B101">
        <v>48</v>
      </c>
      <c r="C101">
        <v>11</v>
      </c>
      <c r="D101">
        <v>4</v>
      </c>
      <c r="E101" s="6">
        <v>4</v>
      </c>
      <c r="F101">
        <v>0</v>
      </c>
      <c r="G101">
        <v>0</v>
      </c>
      <c r="H101">
        <v>0</v>
      </c>
      <c r="I101" t="s">
        <v>101</v>
      </c>
      <c r="J101" t="s">
        <v>101</v>
      </c>
      <c r="K101">
        <v>0</v>
      </c>
      <c r="L101">
        <v>0</v>
      </c>
      <c r="M101">
        <v>0</v>
      </c>
      <c r="N101" t="s">
        <v>169</v>
      </c>
    </row>
    <row r="102" spans="1:14" ht="15" customHeight="1">
      <c r="A102" t="s">
        <v>170</v>
      </c>
      <c r="B102">
        <v>49</v>
      </c>
      <c r="C102">
        <v>12</v>
      </c>
      <c r="D102">
        <v>1</v>
      </c>
      <c r="E102" s="6">
        <v>4</v>
      </c>
      <c r="F102">
        <v>0</v>
      </c>
      <c r="G102">
        <v>0</v>
      </c>
      <c r="H102">
        <v>0</v>
      </c>
      <c r="I102" t="s">
        <v>101</v>
      </c>
      <c r="J102" t="s">
        <v>101</v>
      </c>
      <c r="K102">
        <v>0</v>
      </c>
      <c r="L102">
        <v>0</v>
      </c>
      <c r="M102">
        <v>0</v>
      </c>
      <c r="N102" t="s">
        <v>169</v>
      </c>
    </row>
    <row r="103" spans="1:14" ht="15" customHeight="1">
      <c r="A103" t="s">
        <v>170</v>
      </c>
      <c r="B103">
        <v>50</v>
      </c>
      <c r="C103">
        <v>12</v>
      </c>
      <c r="D103">
        <v>2</v>
      </c>
      <c r="E103" s="6">
        <v>4</v>
      </c>
      <c r="F103">
        <v>0</v>
      </c>
      <c r="G103">
        <v>0</v>
      </c>
      <c r="H103">
        <v>0</v>
      </c>
      <c r="I103" t="s">
        <v>101</v>
      </c>
      <c r="J103" t="s">
        <v>101</v>
      </c>
      <c r="K103">
        <v>0</v>
      </c>
      <c r="L103">
        <v>0</v>
      </c>
      <c r="M103">
        <v>0</v>
      </c>
      <c r="N103" t="s">
        <v>169</v>
      </c>
    </row>
    <row r="104" spans="1:14" ht="15" customHeight="1">
      <c r="A104" t="s">
        <v>170</v>
      </c>
      <c r="B104">
        <v>51</v>
      </c>
      <c r="C104">
        <v>12</v>
      </c>
      <c r="D104">
        <v>3</v>
      </c>
      <c r="E104" s="6">
        <v>4</v>
      </c>
      <c r="F104">
        <v>0</v>
      </c>
      <c r="G104">
        <v>0</v>
      </c>
      <c r="H104">
        <v>0</v>
      </c>
      <c r="I104" t="s">
        <v>101</v>
      </c>
      <c r="J104" t="s">
        <v>101</v>
      </c>
      <c r="K104">
        <v>0</v>
      </c>
      <c r="L104">
        <v>0</v>
      </c>
      <c r="M104">
        <v>0</v>
      </c>
      <c r="N104" t="s">
        <v>169</v>
      </c>
    </row>
    <row r="105" spans="1:14" ht="15" customHeight="1">
      <c r="A105" t="s">
        <v>170</v>
      </c>
      <c r="B105">
        <v>52</v>
      </c>
      <c r="C105">
        <v>12</v>
      </c>
      <c r="D105">
        <v>4</v>
      </c>
      <c r="E105" s="6">
        <v>4</v>
      </c>
      <c r="F105">
        <v>0</v>
      </c>
      <c r="G105">
        <v>0</v>
      </c>
      <c r="H105">
        <v>0</v>
      </c>
      <c r="I105" t="s">
        <v>101</v>
      </c>
      <c r="J105" t="s">
        <v>101</v>
      </c>
      <c r="K105">
        <v>0</v>
      </c>
      <c r="L105">
        <v>0</v>
      </c>
      <c r="M105">
        <v>0</v>
      </c>
      <c r="N105" t="s">
        <v>169</v>
      </c>
    </row>
    <row r="106" spans="1:14" ht="15" customHeight="1">
      <c r="A106" t="s">
        <v>171</v>
      </c>
      <c r="B106">
        <v>1</v>
      </c>
      <c r="C106">
        <v>1</v>
      </c>
      <c r="D106">
        <v>1</v>
      </c>
      <c r="E106" s="6">
        <v>4</v>
      </c>
      <c r="F106">
        <v>0</v>
      </c>
      <c r="G106">
        <v>0</v>
      </c>
      <c r="H106">
        <v>0</v>
      </c>
      <c r="I106" t="s">
        <v>101</v>
      </c>
      <c r="J106" t="s">
        <v>101</v>
      </c>
      <c r="K106">
        <v>0</v>
      </c>
      <c r="L106">
        <v>0</v>
      </c>
      <c r="M106">
        <v>0</v>
      </c>
      <c r="N106" t="s">
        <v>169</v>
      </c>
    </row>
    <row r="107" spans="1:14" ht="15" customHeight="1">
      <c r="A107" t="s">
        <v>171</v>
      </c>
      <c r="B107">
        <v>2</v>
      </c>
      <c r="C107">
        <v>1</v>
      </c>
      <c r="D107">
        <v>2</v>
      </c>
      <c r="E107" s="6">
        <v>4</v>
      </c>
      <c r="F107">
        <v>0</v>
      </c>
      <c r="G107">
        <v>0</v>
      </c>
      <c r="H107">
        <v>0</v>
      </c>
      <c r="I107" t="s">
        <v>101</v>
      </c>
      <c r="J107" t="s">
        <v>101</v>
      </c>
      <c r="K107">
        <v>0</v>
      </c>
      <c r="L107">
        <v>0</v>
      </c>
      <c r="M107">
        <v>0</v>
      </c>
      <c r="N107" t="s">
        <v>169</v>
      </c>
    </row>
    <row r="108" spans="1:14" ht="15" customHeight="1">
      <c r="A108" t="s">
        <v>171</v>
      </c>
      <c r="B108">
        <v>3</v>
      </c>
      <c r="C108">
        <v>1</v>
      </c>
      <c r="D108">
        <v>3</v>
      </c>
      <c r="E108" s="6">
        <v>4</v>
      </c>
      <c r="F108">
        <v>0</v>
      </c>
      <c r="G108">
        <v>0</v>
      </c>
      <c r="H108">
        <v>0</v>
      </c>
      <c r="I108" t="s">
        <v>101</v>
      </c>
      <c r="J108" t="s">
        <v>101</v>
      </c>
      <c r="K108">
        <v>0</v>
      </c>
      <c r="L108">
        <v>0</v>
      </c>
      <c r="M108">
        <v>0</v>
      </c>
      <c r="N108" t="s">
        <v>169</v>
      </c>
    </row>
    <row r="109" spans="1:14" ht="15" customHeight="1">
      <c r="A109" t="s">
        <v>171</v>
      </c>
      <c r="B109">
        <v>4</v>
      </c>
      <c r="C109">
        <v>1</v>
      </c>
      <c r="D109">
        <v>4</v>
      </c>
      <c r="E109" s="6">
        <v>4</v>
      </c>
      <c r="F109">
        <v>0</v>
      </c>
      <c r="G109">
        <v>0</v>
      </c>
      <c r="H109">
        <v>0</v>
      </c>
      <c r="I109" t="s">
        <v>101</v>
      </c>
      <c r="J109" t="s">
        <v>101</v>
      </c>
      <c r="K109">
        <v>0</v>
      </c>
      <c r="L109">
        <v>0</v>
      </c>
      <c r="M109">
        <v>0</v>
      </c>
      <c r="N109" t="s">
        <v>169</v>
      </c>
    </row>
    <row r="110" spans="1:14" ht="15" customHeight="1">
      <c r="A110" t="s">
        <v>171</v>
      </c>
      <c r="B110">
        <v>5</v>
      </c>
      <c r="C110">
        <v>1</v>
      </c>
      <c r="D110">
        <v>5</v>
      </c>
      <c r="E110" s="6">
        <v>4</v>
      </c>
      <c r="F110">
        <v>0</v>
      </c>
      <c r="G110">
        <v>0</v>
      </c>
      <c r="H110">
        <v>0</v>
      </c>
      <c r="I110" t="s">
        <v>101</v>
      </c>
      <c r="J110" t="s">
        <v>101</v>
      </c>
      <c r="K110">
        <v>0</v>
      </c>
      <c r="L110">
        <v>0</v>
      </c>
      <c r="M110">
        <v>0</v>
      </c>
      <c r="N110" t="s">
        <v>169</v>
      </c>
    </row>
    <row r="111" spans="1:14" ht="15" customHeight="1">
      <c r="A111" t="s">
        <v>171</v>
      </c>
      <c r="B111">
        <v>6</v>
      </c>
      <c r="C111">
        <v>2</v>
      </c>
      <c r="D111">
        <v>1</v>
      </c>
      <c r="E111" s="6">
        <v>4</v>
      </c>
      <c r="F111">
        <v>0</v>
      </c>
      <c r="G111">
        <v>0</v>
      </c>
      <c r="H111">
        <v>0</v>
      </c>
      <c r="I111" t="s">
        <v>101</v>
      </c>
      <c r="J111" t="s">
        <v>101</v>
      </c>
      <c r="K111">
        <v>0</v>
      </c>
      <c r="L111">
        <v>0</v>
      </c>
      <c r="M111">
        <v>0</v>
      </c>
      <c r="N111" t="s">
        <v>169</v>
      </c>
    </row>
    <row r="112" spans="1:14" ht="15" customHeight="1">
      <c r="A112" t="s">
        <v>171</v>
      </c>
      <c r="B112">
        <v>7</v>
      </c>
      <c r="C112">
        <v>2</v>
      </c>
      <c r="D112">
        <v>2</v>
      </c>
      <c r="E112" s="6">
        <v>4</v>
      </c>
      <c r="F112">
        <v>0</v>
      </c>
      <c r="G112">
        <v>0</v>
      </c>
      <c r="H112">
        <v>0</v>
      </c>
      <c r="I112" t="s">
        <v>101</v>
      </c>
      <c r="J112" t="s">
        <v>101</v>
      </c>
      <c r="K112">
        <v>0</v>
      </c>
      <c r="L112">
        <v>0</v>
      </c>
      <c r="M112">
        <v>0</v>
      </c>
      <c r="N112" t="s">
        <v>169</v>
      </c>
    </row>
    <row r="113" spans="1:14" ht="15" customHeight="1">
      <c r="A113" t="s">
        <v>171</v>
      </c>
      <c r="B113">
        <v>8</v>
      </c>
      <c r="C113">
        <v>2</v>
      </c>
      <c r="D113">
        <v>3</v>
      </c>
      <c r="E113" s="6">
        <v>4</v>
      </c>
      <c r="F113">
        <v>0</v>
      </c>
      <c r="G113">
        <v>0</v>
      </c>
      <c r="H113">
        <v>0</v>
      </c>
      <c r="I113" t="s">
        <v>101</v>
      </c>
      <c r="J113" t="s">
        <v>101</v>
      </c>
      <c r="K113">
        <v>0</v>
      </c>
      <c r="L113">
        <v>0</v>
      </c>
      <c r="M113">
        <v>0</v>
      </c>
      <c r="N113" t="s">
        <v>169</v>
      </c>
    </row>
    <row r="114" spans="1:14" ht="15" customHeight="1">
      <c r="A114" t="s">
        <v>171</v>
      </c>
      <c r="B114">
        <v>9</v>
      </c>
      <c r="C114">
        <v>2</v>
      </c>
      <c r="D114">
        <v>4</v>
      </c>
      <c r="E114" s="6">
        <v>4</v>
      </c>
      <c r="F114">
        <v>0</v>
      </c>
      <c r="G114">
        <v>0</v>
      </c>
      <c r="H114">
        <v>0</v>
      </c>
      <c r="I114" t="s">
        <v>101</v>
      </c>
      <c r="J114" t="s">
        <v>101</v>
      </c>
      <c r="K114">
        <v>0</v>
      </c>
      <c r="L114">
        <v>0</v>
      </c>
      <c r="M114">
        <v>0</v>
      </c>
      <c r="N114" t="s">
        <v>169</v>
      </c>
    </row>
    <row r="115" spans="1:14" ht="15" customHeight="1">
      <c r="A115" t="s">
        <v>171</v>
      </c>
      <c r="B115">
        <v>10</v>
      </c>
      <c r="C115">
        <v>3</v>
      </c>
      <c r="D115">
        <v>1</v>
      </c>
      <c r="E115" s="6">
        <v>4</v>
      </c>
      <c r="F115">
        <v>0</v>
      </c>
      <c r="G115">
        <v>0</v>
      </c>
      <c r="H115">
        <v>0</v>
      </c>
      <c r="I115" t="s">
        <v>101</v>
      </c>
      <c r="J115" t="s">
        <v>101</v>
      </c>
      <c r="K115">
        <v>0</v>
      </c>
      <c r="L115">
        <v>0</v>
      </c>
      <c r="M115">
        <v>0</v>
      </c>
      <c r="N115" t="s">
        <v>169</v>
      </c>
    </row>
    <row r="116" spans="1:14" ht="15" customHeight="1">
      <c r="A116" t="s">
        <v>171</v>
      </c>
      <c r="B116">
        <v>11</v>
      </c>
      <c r="C116">
        <v>3</v>
      </c>
      <c r="D116">
        <v>2</v>
      </c>
      <c r="E116" s="6">
        <v>4</v>
      </c>
      <c r="F116">
        <v>0</v>
      </c>
      <c r="G116">
        <v>0</v>
      </c>
      <c r="H116">
        <v>0</v>
      </c>
      <c r="I116" t="s">
        <v>101</v>
      </c>
      <c r="J116" t="s">
        <v>101</v>
      </c>
      <c r="K116">
        <v>0</v>
      </c>
      <c r="L116">
        <v>0</v>
      </c>
      <c r="M116">
        <v>0</v>
      </c>
      <c r="N116" t="s">
        <v>169</v>
      </c>
    </row>
    <row r="117" spans="1:14" ht="15" customHeight="1">
      <c r="A117" t="s">
        <v>171</v>
      </c>
      <c r="B117">
        <v>12</v>
      </c>
      <c r="C117">
        <v>3</v>
      </c>
      <c r="D117">
        <v>3</v>
      </c>
      <c r="E117" s="6">
        <v>4</v>
      </c>
      <c r="F117">
        <v>0</v>
      </c>
      <c r="G117">
        <v>0</v>
      </c>
      <c r="H117">
        <v>0</v>
      </c>
      <c r="I117" t="s">
        <v>101</v>
      </c>
      <c r="J117" t="s">
        <v>101</v>
      </c>
      <c r="K117">
        <v>0</v>
      </c>
      <c r="L117">
        <v>0</v>
      </c>
      <c r="M117">
        <v>0</v>
      </c>
      <c r="N117" t="s">
        <v>169</v>
      </c>
    </row>
    <row r="118" spans="1:14" ht="15" customHeight="1">
      <c r="A118" t="s">
        <v>171</v>
      </c>
      <c r="B118">
        <v>13</v>
      </c>
      <c r="C118">
        <v>3</v>
      </c>
      <c r="D118">
        <v>4</v>
      </c>
      <c r="E118" s="6">
        <v>4</v>
      </c>
      <c r="F118">
        <v>0</v>
      </c>
      <c r="G118">
        <v>0</v>
      </c>
      <c r="H118">
        <v>0</v>
      </c>
      <c r="I118" t="s">
        <v>101</v>
      </c>
      <c r="J118" t="s">
        <v>101</v>
      </c>
      <c r="K118">
        <v>0</v>
      </c>
      <c r="L118">
        <v>0</v>
      </c>
      <c r="M118">
        <v>0</v>
      </c>
      <c r="N118" t="s">
        <v>169</v>
      </c>
    </row>
    <row r="119" spans="1:14" ht="15" customHeight="1">
      <c r="A119" t="s">
        <v>171</v>
      </c>
      <c r="B119">
        <v>14</v>
      </c>
      <c r="C119">
        <v>4</v>
      </c>
      <c r="D119">
        <v>1</v>
      </c>
      <c r="E119" s="6">
        <v>4</v>
      </c>
      <c r="F119">
        <v>0</v>
      </c>
      <c r="G119">
        <v>0</v>
      </c>
      <c r="H119">
        <v>0</v>
      </c>
      <c r="I119" t="s">
        <v>101</v>
      </c>
      <c r="J119" t="s">
        <v>101</v>
      </c>
      <c r="K119">
        <v>0</v>
      </c>
      <c r="L119">
        <v>0</v>
      </c>
      <c r="M119">
        <v>0</v>
      </c>
      <c r="N119" t="s">
        <v>169</v>
      </c>
    </row>
    <row r="120" spans="1:14" ht="15" customHeight="1">
      <c r="A120" t="s">
        <v>171</v>
      </c>
      <c r="B120">
        <v>15</v>
      </c>
      <c r="C120">
        <v>4</v>
      </c>
      <c r="D120">
        <v>2</v>
      </c>
      <c r="E120" s="6">
        <v>4</v>
      </c>
      <c r="F120">
        <v>0</v>
      </c>
      <c r="G120">
        <v>0</v>
      </c>
      <c r="H120">
        <v>0</v>
      </c>
      <c r="I120" t="s">
        <v>101</v>
      </c>
      <c r="J120" t="s">
        <v>101</v>
      </c>
      <c r="K120">
        <v>0</v>
      </c>
      <c r="L120">
        <v>0</v>
      </c>
      <c r="M120">
        <v>0</v>
      </c>
      <c r="N120" t="s">
        <v>169</v>
      </c>
    </row>
    <row r="121" spans="1:14" ht="15" customHeight="1">
      <c r="A121" t="s">
        <v>171</v>
      </c>
      <c r="B121">
        <v>16</v>
      </c>
      <c r="C121">
        <v>4</v>
      </c>
      <c r="D121">
        <v>3</v>
      </c>
      <c r="E121" s="6">
        <v>4</v>
      </c>
      <c r="F121">
        <v>0</v>
      </c>
      <c r="G121">
        <v>0</v>
      </c>
      <c r="H121">
        <v>0</v>
      </c>
      <c r="I121" t="s">
        <v>101</v>
      </c>
      <c r="J121" t="s">
        <v>101</v>
      </c>
      <c r="K121">
        <v>0</v>
      </c>
      <c r="L121">
        <v>0</v>
      </c>
      <c r="M121">
        <v>0</v>
      </c>
      <c r="N121" t="s">
        <v>169</v>
      </c>
    </row>
    <row r="122" spans="1:14" ht="15" customHeight="1">
      <c r="A122" t="s">
        <v>171</v>
      </c>
      <c r="B122">
        <v>17</v>
      </c>
      <c r="C122">
        <v>4</v>
      </c>
      <c r="D122">
        <v>4</v>
      </c>
      <c r="E122" s="6">
        <v>4</v>
      </c>
      <c r="F122">
        <v>0</v>
      </c>
      <c r="G122">
        <v>0</v>
      </c>
      <c r="H122">
        <v>0</v>
      </c>
      <c r="I122" t="s">
        <v>101</v>
      </c>
      <c r="J122" t="s">
        <v>101</v>
      </c>
      <c r="K122">
        <v>0</v>
      </c>
      <c r="L122">
        <v>0</v>
      </c>
      <c r="M122">
        <v>0</v>
      </c>
      <c r="N122" t="s">
        <v>169</v>
      </c>
    </row>
    <row r="123" spans="1:14" ht="15" customHeight="1">
      <c r="A123" t="s">
        <v>171</v>
      </c>
      <c r="B123">
        <v>18</v>
      </c>
      <c r="C123">
        <v>5</v>
      </c>
      <c r="D123">
        <v>1</v>
      </c>
      <c r="E123" s="6">
        <v>4</v>
      </c>
      <c r="F123">
        <v>0</v>
      </c>
      <c r="G123">
        <v>0</v>
      </c>
      <c r="H123">
        <v>0</v>
      </c>
      <c r="I123" t="s">
        <v>101</v>
      </c>
      <c r="J123" t="s">
        <v>101</v>
      </c>
      <c r="K123">
        <v>0</v>
      </c>
      <c r="L123">
        <v>0</v>
      </c>
      <c r="M123">
        <v>0</v>
      </c>
      <c r="N123" t="s">
        <v>169</v>
      </c>
    </row>
    <row r="124" spans="1:14" ht="15" customHeight="1">
      <c r="A124" t="s">
        <v>171</v>
      </c>
      <c r="B124">
        <v>19</v>
      </c>
      <c r="C124">
        <v>5</v>
      </c>
      <c r="D124">
        <v>2</v>
      </c>
      <c r="E124" s="6">
        <v>4</v>
      </c>
      <c r="F124">
        <v>0</v>
      </c>
      <c r="G124">
        <v>0</v>
      </c>
      <c r="H124">
        <v>0</v>
      </c>
      <c r="I124" t="s">
        <v>101</v>
      </c>
      <c r="J124" t="s">
        <v>101</v>
      </c>
      <c r="K124">
        <v>0</v>
      </c>
      <c r="L124">
        <v>0</v>
      </c>
      <c r="M124">
        <v>0</v>
      </c>
      <c r="N124" t="s">
        <v>169</v>
      </c>
    </row>
    <row r="125" spans="1:14" ht="15" customHeight="1">
      <c r="A125" t="s">
        <v>171</v>
      </c>
      <c r="B125">
        <v>20</v>
      </c>
      <c r="C125">
        <v>5</v>
      </c>
      <c r="D125">
        <v>3</v>
      </c>
      <c r="E125" s="6">
        <v>4</v>
      </c>
      <c r="F125">
        <v>0</v>
      </c>
      <c r="G125">
        <v>0</v>
      </c>
      <c r="H125">
        <v>0</v>
      </c>
      <c r="I125" t="s">
        <v>101</v>
      </c>
      <c r="J125" t="s">
        <v>101</v>
      </c>
      <c r="K125">
        <v>0</v>
      </c>
      <c r="L125">
        <v>0</v>
      </c>
      <c r="M125">
        <v>0</v>
      </c>
      <c r="N125" t="s">
        <v>169</v>
      </c>
    </row>
    <row r="126" spans="1:14" ht="15" customHeight="1">
      <c r="A126" t="s">
        <v>171</v>
      </c>
      <c r="B126">
        <v>21</v>
      </c>
      <c r="C126">
        <v>5</v>
      </c>
      <c r="D126">
        <v>4</v>
      </c>
      <c r="E126" s="6">
        <v>4</v>
      </c>
      <c r="F126">
        <v>0</v>
      </c>
      <c r="G126">
        <v>0</v>
      </c>
      <c r="H126">
        <v>0</v>
      </c>
      <c r="I126" t="s">
        <v>101</v>
      </c>
      <c r="J126" t="s">
        <v>101</v>
      </c>
      <c r="K126">
        <v>0</v>
      </c>
      <c r="L126">
        <v>0</v>
      </c>
      <c r="M126">
        <v>0</v>
      </c>
      <c r="N126" t="s">
        <v>169</v>
      </c>
    </row>
    <row r="127" spans="1:14" ht="15" customHeight="1">
      <c r="A127" t="s">
        <v>171</v>
      </c>
      <c r="B127">
        <v>22</v>
      </c>
      <c r="C127">
        <v>5</v>
      </c>
      <c r="D127">
        <v>5</v>
      </c>
      <c r="E127" s="6">
        <v>4</v>
      </c>
      <c r="F127">
        <v>0</v>
      </c>
      <c r="G127">
        <v>0</v>
      </c>
      <c r="H127">
        <v>0</v>
      </c>
      <c r="I127" t="s">
        <v>101</v>
      </c>
      <c r="J127" t="s">
        <v>101</v>
      </c>
      <c r="K127">
        <v>0</v>
      </c>
      <c r="L127">
        <v>0</v>
      </c>
      <c r="M127">
        <v>0</v>
      </c>
      <c r="N127" t="s">
        <v>169</v>
      </c>
    </row>
    <row r="128" spans="1:14" ht="15" customHeight="1">
      <c r="A128" t="s">
        <v>171</v>
      </c>
      <c r="B128">
        <v>23</v>
      </c>
      <c r="C128">
        <v>6</v>
      </c>
      <c r="D128">
        <v>1</v>
      </c>
      <c r="E128" s="6">
        <v>4</v>
      </c>
      <c r="F128">
        <v>0</v>
      </c>
      <c r="G128">
        <v>0</v>
      </c>
      <c r="H128">
        <v>0</v>
      </c>
      <c r="I128" t="s">
        <v>101</v>
      </c>
      <c r="J128" t="s">
        <v>101</v>
      </c>
      <c r="K128">
        <v>0</v>
      </c>
      <c r="L128">
        <v>0</v>
      </c>
      <c r="M128">
        <v>0</v>
      </c>
      <c r="N128" t="s">
        <v>169</v>
      </c>
    </row>
    <row r="129" spans="1:14" ht="15" customHeight="1">
      <c r="A129" t="s">
        <v>171</v>
      </c>
      <c r="B129">
        <v>24</v>
      </c>
      <c r="C129">
        <v>6</v>
      </c>
      <c r="D129">
        <v>2</v>
      </c>
      <c r="E129" s="6">
        <v>4</v>
      </c>
      <c r="F129">
        <v>0</v>
      </c>
      <c r="G129">
        <v>0</v>
      </c>
      <c r="H129">
        <v>0</v>
      </c>
      <c r="I129" t="s">
        <v>101</v>
      </c>
      <c r="J129" t="s">
        <v>101</v>
      </c>
      <c r="K129">
        <v>0</v>
      </c>
      <c r="L129">
        <v>0</v>
      </c>
      <c r="M129">
        <v>0</v>
      </c>
      <c r="N129" t="s">
        <v>169</v>
      </c>
    </row>
    <row r="130" spans="1:14" ht="15" customHeight="1">
      <c r="A130" t="s">
        <v>171</v>
      </c>
      <c r="B130">
        <v>25</v>
      </c>
      <c r="C130">
        <v>6</v>
      </c>
      <c r="D130">
        <v>3</v>
      </c>
      <c r="E130" s="6">
        <v>4</v>
      </c>
      <c r="F130">
        <v>0</v>
      </c>
      <c r="G130">
        <v>0</v>
      </c>
      <c r="H130">
        <v>0</v>
      </c>
      <c r="I130" t="s">
        <v>101</v>
      </c>
      <c r="J130" t="s">
        <v>101</v>
      </c>
      <c r="K130">
        <v>0</v>
      </c>
      <c r="L130">
        <v>0</v>
      </c>
      <c r="M130">
        <v>0</v>
      </c>
      <c r="N130" t="s">
        <v>169</v>
      </c>
    </row>
    <row r="131" spans="1:14" ht="15" customHeight="1">
      <c r="A131" t="s">
        <v>171</v>
      </c>
      <c r="B131">
        <v>26</v>
      </c>
      <c r="C131">
        <v>6</v>
      </c>
      <c r="D131">
        <v>4</v>
      </c>
      <c r="E131" s="6">
        <v>4</v>
      </c>
      <c r="F131">
        <v>0</v>
      </c>
      <c r="G131">
        <v>0</v>
      </c>
      <c r="H131">
        <v>0</v>
      </c>
      <c r="I131" t="s">
        <v>101</v>
      </c>
      <c r="J131" t="s">
        <v>101</v>
      </c>
      <c r="K131">
        <v>0</v>
      </c>
      <c r="L131">
        <v>0</v>
      </c>
      <c r="M131">
        <v>0</v>
      </c>
      <c r="N131" t="s">
        <v>169</v>
      </c>
    </row>
    <row r="132" spans="1:14" ht="15" customHeight="1">
      <c r="A132" t="s">
        <v>171</v>
      </c>
      <c r="B132">
        <v>27</v>
      </c>
      <c r="C132">
        <v>7</v>
      </c>
      <c r="D132">
        <v>1</v>
      </c>
      <c r="E132" s="6">
        <v>4</v>
      </c>
      <c r="F132">
        <v>0</v>
      </c>
      <c r="G132">
        <v>0</v>
      </c>
      <c r="H132">
        <v>0</v>
      </c>
      <c r="I132" t="s">
        <v>101</v>
      </c>
      <c r="J132" t="s">
        <v>101</v>
      </c>
      <c r="K132">
        <v>0</v>
      </c>
      <c r="L132">
        <v>0</v>
      </c>
      <c r="M132">
        <v>0</v>
      </c>
      <c r="N132" t="s">
        <v>169</v>
      </c>
    </row>
    <row r="133" spans="1:14" ht="15" customHeight="1">
      <c r="A133" t="s">
        <v>171</v>
      </c>
      <c r="B133">
        <v>28</v>
      </c>
      <c r="C133">
        <v>7</v>
      </c>
      <c r="D133">
        <v>2</v>
      </c>
      <c r="E133" s="6">
        <v>4</v>
      </c>
      <c r="F133">
        <v>0</v>
      </c>
      <c r="G133">
        <v>0</v>
      </c>
      <c r="H133">
        <v>0</v>
      </c>
      <c r="I133" t="s">
        <v>101</v>
      </c>
      <c r="J133" t="s">
        <v>101</v>
      </c>
      <c r="K133">
        <v>0</v>
      </c>
      <c r="L133">
        <v>0</v>
      </c>
      <c r="M133">
        <v>0</v>
      </c>
      <c r="N133" t="s">
        <v>169</v>
      </c>
    </row>
    <row r="134" spans="1:14" ht="15" customHeight="1">
      <c r="A134" t="s">
        <v>171</v>
      </c>
      <c r="B134">
        <v>29</v>
      </c>
      <c r="C134">
        <v>7</v>
      </c>
      <c r="D134">
        <v>3</v>
      </c>
      <c r="E134" s="6">
        <v>4</v>
      </c>
      <c r="F134">
        <v>0</v>
      </c>
      <c r="G134">
        <v>0</v>
      </c>
      <c r="H134">
        <v>0</v>
      </c>
      <c r="I134" t="s">
        <v>101</v>
      </c>
      <c r="J134" t="s">
        <v>101</v>
      </c>
      <c r="K134">
        <v>0</v>
      </c>
      <c r="L134">
        <v>0</v>
      </c>
      <c r="M134">
        <v>0</v>
      </c>
      <c r="N134" t="s">
        <v>169</v>
      </c>
    </row>
    <row r="135" spans="1:14" ht="15" customHeight="1">
      <c r="A135" t="s">
        <v>171</v>
      </c>
      <c r="B135">
        <v>30</v>
      </c>
      <c r="C135">
        <v>7</v>
      </c>
      <c r="D135">
        <v>4</v>
      </c>
      <c r="E135" s="6">
        <v>4</v>
      </c>
      <c r="F135">
        <v>0</v>
      </c>
      <c r="G135">
        <v>0</v>
      </c>
      <c r="H135">
        <v>0</v>
      </c>
      <c r="I135" t="s">
        <v>101</v>
      </c>
      <c r="J135" t="s">
        <v>101</v>
      </c>
      <c r="K135">
        <v>0</v>
      </c>
      <c r="L135">
        <v>0</v>
      </c>
      <c r="M135">
        <v>0</v>
      </c>
      <c r="N135" t="s">
        <v>169</v>
      </c>
    </row>
    <row r="136" spans="1:14" ht="15" customHeight="1">
      <c r="A136" t="s">
        <v>171</v>
      </c>
      <c r="B136">
        <v>31</v>
      </c>
      <c r="C136">
        <v>8</v>
      </c>
      <c r="D136">
        <v>1</v>
      </c>
      <c r="E136" s="6">
        <v>4</v>
      </c>
      <c r="F136">
        <v>0</v>
      </c>
      <c r="G136">
        <v>0</v>
      </c>
      <c r="H136">
        <v>0</v>
      </c>
      <c r="I136" t="s">
        <v>101</v>
      </c>
      <c r="J136" t="s">
        <v>101</v>
      </c>
      <c r="K136">
        <v>0</v>
      </c>
      <c r="L136">
        <v>0</v>
      </c>
      <c r="M136">
        <v>0</v>
      </c>
      <c r="N136" t="s">
        <v>169</v>
      </c>
    </row>
    <row r="137" spans="1:14" ht="15" customHeight="1">
      <c r="A137" t="s">
        <v>171</v>
      </c>
      <c r="B137">
        <v>32</v>
      </c>
      <c r="C137">
        <v>8</v>
      </c>
      <c r="D137">
        <v>2</v>
      </c>
      <c r="E137" s="6">
        <v>4</v>
      </c>
      <c r="F137">
        <v>0</v>
      </c>
      <c r="G137">
        <v>0</v>
      </c>
      <c r="H137">
        <v>0</v>
      </c>
      <c r="I137" t="s">
        <v>101</v>
      </c>
      <c r="J137" t="s">
        <v>101</v>
      </c>
      <c r="K137">
        <v>0</v>
      </c>
      <c r="L137">
        <v>0</v>
      </c>
      <c r="M137">
        <v>0</v>
      </c>
      <c r="N137" t="s">
        <v>169</v>
      </c>
    </row>
    <row r="138" spans="1:14" ht="15" customHeight="1">
      <c r="A138" t="s">
        <v>171</v>
      </c>
      <c r="B138">
        <v>33</v>
      </c>
      <c r="C138">
        <v>8</v>
      </c>
      <c r="D138">
        <v>3</v>
      </c>
      <c r="E138" s="6">
        <v>4</v>
      </c>
      <c r="F138">
        <v>0</v>
      </c>
      <c r="G138">
        <v>0</v>
      </c>
      <c r="H138">
        <v>0</v>
      </c>
      <c r="I138" t="s">
        <v>101</v>
      </c>
      <c r="J138" t="s">
        <v>101</v>
      </c>
      <c r="K138">
        <v>0</v>
      </c>
      <c r="L138">
        <v>0</v>
      </c>
      <c r="M138">
        <v>0</v>
      </c>
      <c r="N138" t="s">
        <v>169</v>
      </c>
    </row>
    <row r="139" spans="1:14" ht="15" customHeight="1">
      <c r="A139" t="s">
        <v>171</v>
      </c>
      <c r="B139">
        <v>34</v>
      </c>
      <c r="C139">
        <v>8</v>
      </c>
      <c r="D139">
        <v>4</v>
      </c>
      <c r="E139" s="6">
        <v>4</v>
      </c>
      <c r="F139">
        <v>0</v>
      </c>
      <c r="G139">
        <v>0</v>
      </c>
      <c r="H139">
        <v>0</v>
      </c>
      <c r="I139" t="s">
        <v>101</v>
      </c>
      <c r="J139" t="s">
        <v>101</v>
      </c>
      <c r="K139">
        <v>0</v>
      </c>
      <c r="L139">
        <v>0</v>
      </c>
      <c r="M139">
        <v>0</v>
      </c>
      <c r="N139" t="s">
        <v>169</v>
      </c>
    </row>
    <row r="140" spans="1:14" ht="15" customHeight="1">
      <c r="A140" t="s">
        <v>171</v>
      </c>
      <c r="B140">
        <v>35</v>
      </c>
      <c r="C140">
        <v>8</v>
      </c>
      <c r="D140">
        <v>5</v>
      </c>
      <c r="E140" s="6">
        <v>4</v>
      </c>
      <c r="F140">
        <v>0</v>
      </c>
      <c r="G140">
        <v>0</v>
      </c>
      <c r="H140">
        <v>0</v>
      </c>
      <c r="I140" t="s">
        <v>101</v>
      </c>
      <c r="J140" t="s">
        <v>101</v>
      </c>
      <c r="K140">
        <v>0</v>
      </c>
      <c r="L140">
        <v>0</v>
      </c>
      <c r="M140">
        <v>0</v>
      </c>
      <c r="N140" t="s">
        <v>169</v>
      </c>
    </row>
    <row r="141" spans="1:14" ht="15" customHeight="1">
      <c r="A141" t="s">
        <v>171</v>
      </c>
      <c r="B141">
        <v>36</v>
      </c>
      <c r="C141">
        <v>9</v>
      </c>
      <c r="D141">
        <v>1</v>
      </c>
      <c r="E141" s="6">
        <v>4</v>
      </c>
      <c r="F141">
        <v>0</v>
      </c>
      <c r="G141">
        <v>0</v>
      </c>
      <c r="H141">
        <v>0</v>
      </c>
      <c r="I141" t="s">
        <v>101</v>
      </c>
      <c r="J141" t="s">
        <v>101</v>
      </c>
      <c r="K141">
        <v>0</v>
      </c>
      <c r="L141">
        <v>0</v>
      </c>
      <c r="M141">
        <v>0</v>
      </c>
      <c r="N141" t="s">
        <v>169</v>
      </c>
    </row>
    <row r="142" spans="1:14" ht="15" customHeight="1">
      <c r="A142" t="s">
        <v>171</v>
      </c>
      <c r="B142">
        <v>37</v>
      </c>
      <c r="C142">
        <v>9</v>
      </c>
      <c r="D142">
        <v>2</v>
      </c>
      <c r="E142" s="6">
        <v>4</v>
      </c>
      <c r="F142">
        <v>0</v>
      </c>
      <c r="G142">
        <v>0</v>
      </c>
      <c r="H142">
        <v>0</v>
      </c>
      <c r="I142" t="s">
        <v>101</v>
      </c>
      <c r="J142" t="s">
        <v>101</v>
      </c>
      <c r="K142">
        <v>0</v>
      </c>
      <c r="L142">
        <v>0</v>
      </c>
      <c r="M142">
        <v>0</v>
      </c>
      <c r="N142" t="s">
        <v>169</v>
      </c>
    </row>
    <row r="143" spans="1:14" ht="15" customHeight="1">
      <c r="A143" t="s">
        <v>171</v>
      </c>
      <c r="B143">
        <v>38</v>
      </c>
      <c r="C143">
        <v>9</v>
      </c>
      <c r="D143">
        <v>3</v>
      </c>
      <c r="E143" s="6">
        <v>4</v>
      </c>
      <c r="F143">
        <v>0</v>
      </c>
      <c r="G143">
        <v>0</v>
      </c>
      <c r="H143">
        <v>0</v>
      </c>
      <c r="I143" t="s">
        <v>101</v>
      </c>
      <c r="J143" t="s">
        <v>101</v>
      </c>
      <c r="K143">
        <v>0</v>
      </c>
      <c r="L143">
        <v>0</v>
      </c>
      <c r="M143">
        <v>0</v>
      </c>
      <c r="N143" t="s">
        <v>169</v>
      </c>
    </row>
    <row r="144" spans="1:14" ht="15" customHeight="1">
      <c r="A144" t="s">
        <v>171</v>
      </c>
      <c r="B144">
        <v>39</v>
      </c>
      <c r="C144">
        <v>9</v>
      </c>
      <c r="D144">
        <v>4</v>
      </c>
      <c r="E144" s="6">
        <v>4</v>
      </c>
      <c r="F144">
        <v>0</v>
      </c>
      <c r="G144">
        <v>0</v>
      </c>
      <c r="H144">
        <v>0</v>
      </c>
      <c r="I144" t="s">
        <v>101</v>
      </c>
      <c r="J144" t="s">
        <v>101</v>
      </c>
      <c r="K144">
        <v>0</v>
      </c>
      <c r="L144">
        <v>0</v>
      </c>
      <c r="M144">
        <v>0</v>
      </c>
      <c r="N144" t="s">
        <v>169</v>
      </c>
    </row>
    <row r="145" spans="1:14" ht="15" customHeight="1">
      <c r="A145" t="s">
        <v>171</v>
      </c>
      <c r="B145">
        <v>40</v>
      </c>
      <c r="C145">
        <v>10</v>
      </c>
      <c r="D145">
        <v>1</v>
      </c>
      <c r="E145" s="6">
        <v>4</v>
      </c>
      <c r="F145">
        <v>0</v>
      </c>
      <c r="G145">
        <v>0</v>
      </c>
      <c r="H145">
        <v>0</v>
      </c>
      <c r="I145" t="s">
        <v>101</v>
      </c>
      <c r="J145" t="s">
        <v>101</v>
      </c>
      <c r="K145">
        <v>0</v>
      </c>
      <c r="L145">
        <v>0</v>
      </c>
      <c r="M145">
        <v>0</v>
      </c>
      <c r="N145" t="s">
        <v>169</v>
      </c>
    </row>
    <row r="146" spans="1:14" ht="15" customHeight="1">
      <c r="A146" t="s">
        <v>171</v>
      </c>
      <c r="B146">
        <v>41</v>
      </c>
      <c r="C146">
        <v>10</v>
      </c>
      <c r="D146">
        <v>2</v>
      </c>
      <c r="E146" s="6">
        <v>4</v>
      </c>
      <c r="F146">
        <v>0</v>
      </c>
      <c r="G146">
        <v>0</v>
      </c>
      <c r="H146">
        <v>0</v>
      </c>
      <c r="I146" t="s">
        <v>101</v>
      </c>
      <c r="J146" t="s">
        <v>101</v>
      </c>
      <c r="K146">
        <v>0</v>
      </c>
      <c r="L146">
        <v>0</v>
      </c>
      <c r="M146">
        <v>0</v>
      </c>
      <c r="N146" t="s">
        <v>169</v>
      </c>
    </row>
    <row r="147" spans="1:14" ht="15" customHeight="1">
      <c r="A147" t="s">
        <v>171</v>
      </c>
      <c r="B147">
        <v>42</v>
      </c>
      <c r="C147">
        <v>10</v>
      </c>
      <c r="D147">
        <v>3</v>
      </c>
      <c r="E147" s="6">
        <v>4</v>
      </c>
      <c r="F147">
        <v>0</v>
      </c>
      <c r="G147">
        <v>0</v>
      </c>
      <c r="H147">
        <v>0</v>
      </c>
      <c r="I147" t="s">
        <v>101</v>
      </c>
      <c r="J147" t="s">
        <v>101</v>
      </c>
      <c r="K147">
        <v>0</v>
      </c>
      <c r="L147">
        <v>0</v>
      </c>
      <c r="M147">
        <v>0</v>
      </c>
      <c r="N147" t="s">
        <v>169</v>
      </c>
    </row>
    <row r="148" spans="1:14" ht="15" customHeight="1">
      <c r="A148" t="s">
        <v>171</v>
      </c>
      <c r="B148">
        <v>43</v>
      </c>
      <c r="C148">
        <v>10</v>
      </c>
      <c r="D148">
        <v>4</v>
      </c>
      <c r="E148" s="6">
        <v>4</v>
      </c>
      <c r="F148">
        <v>0</v>
      </c>
      <c r="G148">
        <v>0</v>
      </c>
      <c r="H148">
        <v>0</v>
      </c>
      <c r="I148" t="s">
        <v>101</v>
      </c>
      <c r="J148" t="s">
        <v>101</v>
      </c>
      <c r="K148">
        <v>0</v>
      </c>
      <c r="L148">
        <v>0</v>
      </c>
      <c r="M148">
        <v>0</v>
      </c>
      <c r="N148" t="s">
        <v>169</v>
      </c>
    </row>
    <row r="149" spans="1:14" ht="15" customHeight="1">
      <c r="A149" t="s">
        <v>171</v>
      </c>
      <c r="B149">
        <v>44</v>
      </c>
      <c r="C149">
        <v>10</v>
      </c>
      <c r="D149">
        <v>5</v>
      </c>
      <c r="E149" s="6">
        <v>4</v>
      </c>
      <c r="F149">
        <v>0</v>
      </c>
      <c r="G149">
        <v>0</v>
      </c>
      <c r="H149">
        <v>0</v>
      </c>
      <c r="I149" t="s">
        <v>101</v>
      </c>
      <c r="J149" t="s">
        <v>101</v>
      </c>
      <c r="K149">
        <v>0</v>
      </c>
      <c r="L149">
        <v>0</v>
      </c>
      <c r="M149">
        <v>0</v>
      </c>
      <c r="N149" t="s">
        <v>169</v>
      </c>
    </row>
    <row r="150" spans="1:14" ht="15" customHeight="1">
      <c r="A150" t="s">
        <v>171</v>
      </c>
      <c r="B150">
        <v>45</v>
      </c>
      <c r="C150">
        <v>11</v>
      </c>
      <c r="D150">
        <v>1</v>
      </c>
      <c r="E150" s="6">
        <v>4</v>
      </c>
      <c r="F150">
        <v>0</v>
      </c>
      <c r="G150">
        <v>0</v>
      </c>
      <c r="H150">
        <v>0</v>
      </c>
      <c r="I150" t="s">
        <v>101</v>
      </c>
      <c r="J150" t="s">
        <v>101</v>
      </c>
      <c r="K150">
        <v>0</v>
      </c>
      <c r="L150">
        <v>0</v>
      </c>
      <c r="M150">
        <v>0</v>
      </c>
      <c r="N150" t="s">
        <v>169</v>
      </c>
    </row>
    <row r="151" spans="1:14" ht="15" customHeight="1">
      <c r="A151" t="s">
        <v>171</v>
      </c>
      <c r="B151">
        <v>46</v>
      </c>
      <c r="C151">
        <v>11</v>
      </c>
      <c r="D151">
        <v>2</v>
      </c>
      <c r="E151" s="6">
        <v>4</v>
      </c>
      <c r="F151">
        <v>0</v>
      </c>
      <c r="G151">
        <v>0</v>
      </c>
      <c r="H151">
        <v>0</v>
      </c>
      <c r="I151" t="s">
        <v>101</v>
      </c>
      <c r="J151" t="s">
        <v>101</v>
      </c>
      <c r="K151">
        <v>0</v>
      </c>
      <c r="L151">
        <v>0</v>
      </c>
      <c r="M151">
        <v>0</v>
      </c>
      <c r="N151" t="s">
        <v>169</v>
      </c>
    </row>
    <row r="152" spans="1:14" ht="15" customHeight="1">
      <c r="A152" t="s">
        <v>171</v>
      </c>
      <c r="B152">
        <v>47</v>
      </c>
      <c r="C152">
        <v>11</v>
      </c>
      <c r="D152">
        <v>3</v>
      </c>
      <c r="E152" s="6">
        <v>4</v>
      </c>
      <c r="F152">
        <v>0</v>
      </c>
      <c r="G152">
        <v>0</v>
      </c>
      <c r="H152">
        <v>0</v>
      </c>
      <c r="I152" t="s">
        <v>101</v>
      </c>
      <c r="J152" t="s">
        <v>101</v>
      </c>
      <c r="K152">
        <v>0</v>
      </c>
      <c r="L152">
        <v>0</v>
      </c>
      <c r="M152">
        <v>0</v>
      </c>
      <c r="N152" t="s">
        <v>169</v>
      </c>
    </row>
    <row r="153" spans="1:14" ht="15" customHeight="1">
      <c r="A153" t="s">
        <v>171</v>
      </c>
      <c r="B153">
        <v>48</v>
      </c>
      <c r="C153">
        <v>11</v>
      </c>
      <c r="D153">
        <v>4</v>
      </c>
      <c r="E153" s="6">
        <v>4</v>
      </c>
      <c r="F153">
        <v>0</v>
      </c>
      <c r="G153">
        <v>0</v>
      </c>
      <c r="H153">
        <v>0</v>
      </c>
      <c r="I153" t="s">
        <v>101</v>
      </c>
      <c r="J153" t="s">
        <v>101</v>
      </c>
      <c r="K153">
        <v>0</v>
      </c>
      <c r="L153">
        <v>0</v>
      </c>
      <c r="M153">
        <v>0</v>
      </c>
      <c r="N153" t="s">
        <v>169</v>
      </c>
    </row>
    <row r="154" spans="1:14" ht="15" customHeight="1">
      <c r="A154" t="s">
        <v>171</v>
      </c>
      <c r="B154">
        <v>49</v>
      </c>
      <c r="C154">
        <v>12</v>
      </c>
      <c r="D154">
        <v>1</v>
      </c>
      <c r="E154" s="6">
        <v>4</v>
      </c>
      <c r="F154">
        <v>0</v>
      </c>
      <c r="G154">
        <v>0</v>
      </c>
      <c r="H154">
        <v>0</v>
      </c>
      <c r="I154" t="s">
        <v>101</v>
      </c>
      <c r="J154" t="s">
        <v>101</v>
      </c>
      <c r="K154">
        <v>0</v>
      </c>
      <c r="L154">
        <v>0</v>
      </c>
      <c r="M154">
        <v>0</v>
      </c>
      <c r="N154" t="s">
        <v>169</v>
      </c>
    </row>
    <row r="155" spans="1:14" ht="15" customHeight="1">
      <c r="A155" t="s">
        <v>171</v>
      </c>
      <c r="B155">
        <v>50</v>
      </c>
      <c r="C155">
        <v>12</v>
      </c>
      <c r="D155">
        <v>2</v>
      </c>
      <c r="E155" s="6">
        <v>4</v>
      </c>
      <c r="F155">
        <v>0</v>
      </c>
      <c r="G155">
        <v>0</v>
      </c>
      <c r="H155">
        <v>0</v>
      </c>
      <c r="I155" t="s">
        <v>101</v>
      </c>
      <c r="J155" t="s">
        <v>101</v>
      </c>
      <c r="K155">
        <v>0</v>
      </c>
      <c r="L155">
        <v>0</v>
      </c>
      <c r="M155">
        <v>0</v>
      </c>
      <c r="N155" t="s">
        <v>169</v>
      </c>
    </row>
    <row r="156" spans="1:14" ht="15" customHeight="1">
      <c r="A156" t="s">
        <v>171</v>
      </c>
      <c r="B156">
        <v>51</v>
      </c>
      <c r="C156">
        <v>12</v>
      </c>
      <c r="D156">
        <v>3</v>
      </c>
      <c r="E156" s="6">
        <v>4</v>
      </c>
      <c r="F156">
        <v>0</v>
      </c>
      <c r="G156">
        <v>0</v>
      </c>
      <c r="H156">
        <v>0</v>
      </c>
      <c r="I156" t="s">
        <v>101</v>
      </c>
      <c r="J156" t="s">
        <v>101</v>
      </c>
      <c r="K156">
        <v>0</v>
      </c>
      <c r="L156">
        <v>0</v>
      </c>
      <c r="M156">
        <v>0</v>
      </c>
      <c r="N156" t="s">
        <v>169</v>
      </c>
    </row>
    <row r="157" spans="1:14" ht="15" customHeight="1">
      <c r="A157" t="s">
        <v>171</v>
      </c>
      <c r="B157">
        <v>52</v>
      </c>
      <c r="C157">
        <v>12</v>
      </c>
      <c r="D157">
        <v>4</v>
      </c>
      <c r="E157" s="6">
        <v>4</v>
      </c>
      <c r="F157">
        <v>0</v>
      </c>
      <c r="G157">
        <v>0</v>
      </c>
      <c r="H157">
        <v>0</v>
      </c>
      <c r="I157" t="s">
        <v>101</v>
      </c>
      <c r="J157" t="s">
        <v>101</v>
      </c>
      <c r="K157">
        <v>0</v>
      </c>
      <c r="L157">
        <v>0</v>
      </c>
      <c r="M157">
        <v>0</v>
      </c>
      <c r="N157" t="s">
        <v>169</v>
      </c>
    </row>
    <row r="158" spans="1:14" ht="15" customHeight="1">
      <c r="A158" t="s">
        <v>172</v>
      </c>
      <c r="B158">
        <v>1</v>
      </c>
      <c r="C158">
        <v>1</v>
      </c>
      <c r="D158">
        <v>1</v>
      </c>
      <c r="E158" s="6">
        <v>4</v>
      </c>
      <c r="F158">
        <v>0</v>
      </c>
      <c r="G158">
        <v>0</v>
      </c>
      <c r="H158">
        <v>0</v>
      </c>
      <c r="I158" t="s">
        <v>101</v>
      </c>
      <c r="J158" t="s">
        <v>101</v>
      </c>
      <c r="K158">
        <v>0</v>
      </c>
      <c r="L158">
        <v>0</v>
      </c>
      <c r="M158">
        <v>0</v>
      </c>
      <c r="N158" t="s">
        <v>169</v>
      </c>
    </row>
    <row r="159" spans="1:14" ht="15" customHeight="1">
      <c r="A159" t="s">
        <v>172</v>
      </c>
      <c r="B159">
        <v>2</v>
      </c>
      <c r="C159">
        <v>1</v>
      </c>
      <c r="D159">
        <v>2</v>
      </c>
      <c r="E159" s="6">
        <v>4</v>
      </c>
      <c r="F159">
        <v>0</v>
      </c>
      <c r="G159">
        <v>0</v>
      </c>
      <c r="H159">
        <v>0</v>
      </c>
      <c r="I159" t="s">
        <v>101</v>
      </c>
      <c r="J159" t="s">
        <v>101</v>
      </c>
      <c r="K159">
        <v>0</v>
      </c>
      <c r="L159">
        <v>0</v>
      </c>
      <c r="M159">
        <v>0</v>
      </c>
      <c r="N159" t="s">
        <v>169</v>
      </c>
    </row>
    <row r="160" spans="1:14" ht="15" customHeight="1">
      <c r="A160" t="s">
        <v>172</v>
      </c>
      <c r="B160">
        <v>3</v>
      </c>
      <c r="C160">
        <v>1</v>
      </c>
      <c r="D160">
        <v>3</v>
      </c>
      <c r="E160" s="6">
        <v>4</v>
      </c>
      <c r="F160">
        <v>0</v>
      </c>
      <c r="G160">
        <v>0</v>
      </c>
      <c r="H160">
        <v>0</v>
      </c>
      <c r="I160" t="s">
        <v>101</v>
      </c>
      <c r="J160" t="s">
        <v>101</v>
      </c>
      <c r="K160">
        <v>0</v>
      </c>
      <c r="L160">
        <v>0</v>
      </c>
      <c r="M160">
        <v>0</v>
      </c>
      <c r="N160" t="s">
        <v>169</v>
      </c>
    </row>
    <row r="161" spans="1:14" ht="15" customHeight="1">
      <c r="A161" t="s">
        <v>172</v>
      </c>
      <c r="B161">
        <v>4</v>
      </c>
      <c r="C161">
        <v>1</v>
      </c>
      <c r="D161">
        <v>4</v>
      </c>
      <c r="E161" s="6">
        <v>4</v>
      </c>
      <c r="F161">
        <v>0</v>
      </c>
      <c r="G161">
        <v>0</v>
      </c>
      <c r="H161">
        <v>0</v>
      </c>
      <c r="I161" t="s">
        <v>101</v>
      </c>
      <c r="J161" t="s">
        <v>101</v>
      </c>
      <c r="K161">
        <v>0</v>
      </c>
      <c r="L161">
        <v>0</v>
      </c>
      <c r="M161">
        <v>0</v>
      </c>
      <c r="N161" t="s">
        <v>169</v>
      </c>
    </row>
    <row r="162" spans="1:14" ht="15" customHeight="1">
      <c r="A162" t="s">
        <v>172</v>
      </c>
      <c r="B162">
        <v>5</v>
      </c>
      <c r="C162">
        <v>1</v>
      </c>
      <c r="D162">
        <v>5</v>
      </c>
      <c r="E162" s="6">
        <v>4</v>
      </c>
      <c r="F162">
        <v>0</v>
      </c>
      <c r="G162">
        <v>0</v>
      </c>
      <c r="H162">
        <v>0</v>
      </c>
      <c r="I162" t="s">
        <v>101</v>
      </c>
      <c r="J162" t="s">
        <v>101</v>
      </c>
      <c r="K162">
        <v>0</v>
      </c>
      <c r="L162">
        <v>0</v>
      </c>
      <c r="M162">
        <v>0</v>
      </c>
      <c r="N162" t="s">
        <v>169</v>
      </c>
    </row>
    <row r="163" spans="1:14" ht="15" customHeight="1">
      <c r="A163" t="s">
        <v>172</v>
      </c>
      <c r="B163">
        <v>6</v>
      </c>
      <c r="C163">
        <v>2</v>
      </c>
      <c r="D163">
        <v>1</v>
      </c>
      <c r="E163" s="6">
        <v>4</v>
      </c>
      <c r="F163">
        <v>0</v>
      </c>
      <c r="G163">
        <v>0</v>
      </c>
      <c r="H163">
        <v>0</v>
      </c>
      <c r="I163" t="s">
        <v>101</v>
      </c>
      <c r="J163" t="s">
        <v>101</v>
      </c>
      <c r="K163">
        <v>0</v>
      </c>
      <c r="L163">
        <v>0</v>
      </c>
      <c r="M163">
        <v>0</v>
      </c>
      <c r="N163" t="s">
        <v>169</v>
      </c>
    </row>
    <row r="164" spans="1:14" ht="15" customHeight="1">
      <c r="A164" t="s">
        <v>172</v>
      </c>
      <c r="B164">
        <v>7</v>
      </c>
      <c r="C164">
        <v>2</v>
      </c>
      <c r="D164">
        <v>2</v>
      </c>
      <c r="E164" s="6">
        <v>4</v>
      </c>
      <c r="F164">
        <v>0</v>
      </c>
      <c r="G164">
        <v>0</v>
      </c>
      <c r="H164">
        <v>0</v>
      </c>
      <c r="I164" t="s">
        <v>101</v>
      </c>
      <c r="J164" t="s">
        <v>101</v>
      </c>
      <c r="K164">
        <v>0</v>
      </c>
      <c r="L164">
        <v>0</v>
      </c>
      <c r="M164">
        <v>0</v>
      </c>
      <c r="N164" t="s">
        <v>169</v>
      </c>
    </row>
    <row r="165" spans="1:14" ht="15" customHeight="1">
      <c r="A165" t="s">
        <v>172</v>
      </c>
      <c r="B165">
        <v>8</v>
      </c>
      <c r="C165">
        <v>2</v>
      </c>
      <c r="D165">
        <v>3</v>
      </c>
      <c r="E165" s="6">
        <v>4</v>
      </c>
      <c r="F165">
        <v>0</v>
      </c>
      <c r="G165">
        <v>0</v>
      </c>
      <c r="H165">
        <v>0</v>
      </c>
      <c r="I165" t="s">
        <v>101</v>
      </c>
      <c r="J165" t="s">
        <v>101</v>
      </c>
      <c r="K165">
        <v>0</v>
      </c>
      <c r="L165">
        <v>0</v>
      </c>
      <c r="M165">
        <v>0</v>
      </c>
      <c r="N165" t="s">
        <v>169</v>
      </c>
    </row>
    <row r="166" spans="1:14" ht="15" customHeight="1">
      <c r="A166" t="s">
        <v>172</v>
      </c>
      <c r="B166">
        <v>9</v>
      </c>
      <c r="C166">
        <v>2</v>
      </c>
      <c r="D166">
        <v>4</v>
      </c>
      <c r="E166" s="6">
        <v>4</v>
      </c>
      <c r="F166">
        <v>0</v>
      </c>
      <c r="G166">
        <v>0</v>
      </c>
      <c r="H166">
        <v>0</v>
      </c>
      <c r="I166" t="s">
        <v>101</v>
      </c>
      <c r="J166" t="s">
        <v>101</v>
      </c>
      <c r="K166">
        <v>0</v>
      </c>
      <c r="L166">
        <v>0</v>
      </c>
      <c r="M166">
        <v>0</v>
      </c>
      <c r="N166" t="s">
        <v>169</v>
      </c>
    </row>
    <row r="167" spans="1:14" ht="15" customHeight="1">
      <c r="A167" t="s">
        <v>172</v>
      </c>
      <c r="B167">
        <v>10</v>
      </c>
      <c r="C167">
        <v>3</v>
      </c>
      <c r="D167">
        <v>1</v>
      </c>
      <c r="E167" s="6">
        <v>4</v>
      </c>
      <c r="F167">
        <v>0</v>
      </c>
      <c r="G167">
        <v>0</v>
      </c>
      <c r="H167">
        <v>0</v>
      </c>
      <c r="I167" t="s">
        <v>101</v>
      </c>
      <c r="J167" t="s">
        <v>101</v>
      </c>
      <c r="K167">
        <v>0</v>
      </c>
      <c r="L167">
        <v>0</v>
      </c>
      <c r="M167">
        <v>0</v>
      </c>
      <c r="N167" t="s">
        <v>169</v>
      </c>
    </row>
    <row r="168" spans="1:14" ht="15" customHeight="1">
      <c r="A168" t="s">
        <v>172</v>
      </c>
      <c r="B168">
        <v>11</v>
      </c>
      <c r="C168">
        <v>3</v>
      </c>
      <c r="D168">
        <v>2</v>
      </c>
      <c r="E168" s="6">
        <v>4</v>
      </c>
      <c r="F168">
        <v>0</v>
      </c>
      <c r="G168">
        <v>0</v>
      </c>
      <c r="H168">
        <v>0</v>
      </c>
      <c r="I168" t="s">
        <v>101</v>
      </c>
      <c r="J168" t="s">
        <v>101</v>
      </c>
      <c r="K168">
        <v>0</v>
      </c>
      <c r="L168">
        <v>0</v>
      </c>
      <c r="M168">
        <v>0</v>
      </c>
      <c r="N168" t="s">
        <v>169</v>
      </c>
    </row>
    <row r="169" spans="1:14" ht="15" customHeight="1">
      <c r="A169" t="s">
        <v>172</v>
      </c>
      <c r="B169">
        <v>12</v>
      </c>
      <c r="C169">
        <v>3</v>
      </c>
      <c r="D169">
        <v>3</v>
      </c>
      <c r="E169" s="6">
        <v>4</v>
      </c>
      <c r="F169">
        <v>0</v>
      </c>
      <c r="G169">
        <v>0</v>
      </c>
      <c r="H169">
        <v>0</v>
      </c>
      <c r="I169" t="s">
        <v>101</v>
      </c>
      <c r="J169" t="s">
        <v>101</v>
      </c>
      <c r="K169">
        <v>0</v>
      </c>
      <c r="L169">
        <v>0</v>
      </c>
      <c r="M169">
        <v>0</v>
      </c>
      <c r="N169" t="s">
        <v>169</v>
      </c>
    </row>
    <row r="170" spans="1:14" ht="15" customHeight="1">
      <c r="A170" t="s">
        <v>172</v>
      </c>
      <c r="B170">
        <v>13</v>
      </c>
      <c r="C170">
        <v>3</v>
      </c>
      <c r="D170">
        <v>4</v>
      </c>
      <c r="E170" s="6">
        <v>4</v>
      </c>
      <c r="F170">
        <v>0</v>
      </c>
      <c r="G170">
        <v>0</v>
      </c>
      <c r="H170">
        <v>0</v>
      </c>
      <c r="I170" t="s">
        <v>101</v>
      </c>
      <c r="J170" t="s">
        <v>101</v>
      </c>
      <c r="K170">
        <v>0</v>
      </c>
      <c r="L170">
        <v>0</v>
      </c>
      <c r="M170">
        <v>0</v>
      </c>
      <c r="N170" t="s">
        <v>169</v>
      </c>
    </row>
    <row r="171" spans="1:14" ht="15" customHeight="1">
      <c r="A171" t="s">
        <v>172</v>
      </c>
      <c r="B171">
        <v>14</v>
      </c>
      <c r="C171">
        <v>4</v>
      </c>
      <c r="D171">
        <v>1</v>
      </c>
      <c r="E171" s="6">
        <v>4</v>
      </c>
      <c r="F171">
        <v>0</v>
      </c>
      <c r="G171">
        <v>0</v>
      </c>
      <c r="H171">
        <v>0</v>
      </c>
      <c r="I171" t="s">
        <v>101</v>
      </c>
      <c r="J171" t="s">
        <v>101</v>
      </c>
      <c r="K171">
        <v>0</v>
      </c>
      <c r="L171">
        <v>0</v>
      </c>
      <c r="M171">
        <v>0</v>
      </c>
      <c r="N171" t="s">
        <v>169</v>
      </c>
    </row>
    <row r="172" spans="1:14" ht="15" customHeight="1">
      <c r="A172" t="s">
        <v>172</v>
      </c>
      <c r="B172">
        <v>15</v>
      </c>
      <c r="C172">
        <v>4</v>
      </c>
      <c r="D172">
        <v>2</v>
      </c>
      <c r="E172" s="6">
        <v>4</v>
      </c>
      <c r="F172">
        <v>0</v>
      </c>
      <c r="G172">
        <v>0</v>
      </c>
      <c r="H172">
        <v>0</v>
      </c>
      <c r="I172" t="s">
        <v>101</v>
      </c>
      <c r="J172" t="s">
        <v>101</v>
      </c>
      <c r="K172">
        <v>0</v>
      </c>
      <c r="L172">
        <v>0</v>
      </c>
      <c r="M172">
        <v>0</v>
      </c>
      <c r="N172" t="s">
        <v>169</v>
      </c>
    </row>
    <row r="173" spans="1:14" ht="15" customHeight="1">
      <c r="A173" t="s">
        <v>172</v>
      </c>
      <c r="B173">
        <v>16</v>
      </c>
      <c r="C173">
        <v>4</v>
      </c>
      <c r="D173">
        <v>3</v>
      </c>
      <c r="E173" s="6">
        <v>4</v>
      </c>
      <c r="F173">
        <v>0</v>
      </c>
      <c r="G173">
        <v>0</v>
      </c>
      <c r="H173">
        <v>0</v>
      </c>
      <c r="I173" t="s">
        <v>101</v>
      </c>
      <c r="J173" t="s">
        <v>101</v>
      </c>
      <c r="K173">
        <v>0</v>
      </c>
      <c r="L173">
        <v>0</v>
      </c>
      <c r="M173">
        <v>0</v>
      </c>
      <c r="N173" t="s">
        <v>169</v>
      </c>
    </row>
    <row r="174" spans="1:14" ht="15" customHeight="1">
      <c r="A174" t="s">
        <v>172</v>
      </c>
      <c r="B174">
        <v>17</v>
      </c>
      <c r="C174">
        <v>4</v>
      </c>
      <c r="D174">
        <v>4</v>
      </c>
      <c r="E174" s="6">
        <v>4</v>
      </c>
      <c r="F174">
        <v>0</v>
      </c>
      <c r="G174">
        <v>0</v>
      </c>
      <c r="H174">
        <v>0</v>
      </c>
      <c r="I174" t="s">
        <v>101</v>
      </c>
      <c r="J174" t="s">
        <v>101</v>
      </c>
      <c r="K174">
        <v>0</v>
      </c>
      <c r="L174">
        <v>0</v>
      </c>
      <c r="M174">
        <v>0</v>
      </c>
      <c r="N174" t="s">
        <v>169</v>
      </c>
    </row>
    <row r="175" spans="1:14" ht="15" customHeight="1">
      <c r="A175" t="s">
        <v>172</v>
      </c>
      <c r="B175">
        <v>18</v>
      </c>
      <c r="C175">
        <v>5</v>
      </c>
      <c r="D175">
        <v>1</v>
      </c>
      <c r="E175" s="6">
        <v>4</v>
      </c>
      <c r="F175">
        <v>0</v>
      </c>
      <c r="G175">
        <v>0</v>
      </c>
      <c r="H175">
        <v>0</v>
      </c>
      <c r="I175" t="s">
        <v>101</v>
      </c>
      <c r="J175" t="s">
        <v>101</v>
      </c>
      <c r="K175">
        <v>0</v>
      </c>
      <c r="L175">
        <v>0</v>
      </c>
      <c r="M175">
        <v>0</v>
      </c>
      <c r="N175" t="s">
        <v>169</v>
      </c>
    </row>
    <row r="176" spans="1:14" ht="15" customHeight="1">
      <c r="A176" t="s">
        <v>172</v>
      </c>
      <c r="B176">
        <v>19</v>
      </c>
      <c r="C176">
        <v>5</v>
      </c>
      <c r="D176">
        <v>2</v>
      </c>
      <c r="E176" s="6">
        <v>4</v>
      </c>
      <c r="F176">
        <v>0</v>
      </c>
      <c r="G176">
        <v>0</v>
      </c>
      <c r="H176">
        <v>0</v>
      </c>
      <c r="I176" t="s">
        <v>101</v>
      </c>
      <c r="J176" t="s">
        <v>101</v>
      </c>
      <c r="K176">
        <v>0</v>
      </c>
      <c r="L176">
        <v>0</v>
      </c>
      <c r="M176">
        <v>0</v>
      </c>
      <c r="N176" t="s">
        <v>169</v>
      </c>
    </row>
    <row r="177" spans="1:14" ht="15" customHeight="1">
      <c r="A177" t="s">
        <v>172</v>
      </c>
      <c r="B177">
        <v>20</v>
      </c>
      <c r="C177">
        <v>5</v>
      </c>
      <c r="D177">
        <v>3</v>
      </c>
      <c r="E177" s="6">
        <v>4</v>
      </c>
      <c r="F177">
        <v>0</v>
      </c>
      <c r="G177">
        <v>0</v>
      </c>
      <c r="H177">
        <v>0</v>
      </c>
      <c r="I177" t="s">
        <v>101</v>
      </c>
      <c r="J177" t="s">
        <v>101</v>
      </c>
      <c r="K177">
        <v>0</v>
      </c>
      <c r="L177">
        <v>0</v>
      </c>
      <c r="M177">
        <v>0</v>
      </c>
      <c r="N177" t="s">
        <v>169</v>
      </c>
    </row>
    <row r="178" spans="1:14" ht="15" customHeight="1">
      <c r="A178" t="s">
        <v>172</v>
      </c>
      <c r="B178">
        <v>21</v>
      </c>
      <c r="C178">
        <v>5</v>
      </c>
      <c r="D178">
        <v>4</v>
      </c>
      <c r="E178" s="6">
        <v>4</v>
      </c>
      <c r="F178">
        <v>0</v>
      </c>
      <c r="G178">
        <v>0</v>
      </c>
      <c r="H178">
        <v>0</v>
      </c>
      <c r="I178" t="s">
        <v>101</v>
      </c>
      <c r="J178" t="s">
        <v>101</v>
      </c>
      <c r="K178">
        <v>0</v>
      </c>
      <c r="L178">
        <v>0</v>
      </c>
      <c r="M178">
        <v>0</v>
      </c>
      <c r="N178" t="s">
        <v>169</v>
      </c>
    </row>
    <row r="179" spans="1:14" ht="15" customHeight="1">
      <c r="A179" t="s">
        <v>172</v>
      </c>
      <c r="B179">
        <v>22</v>
      </c>
      <c r="C179">
        <v>5</v>
      </c>
      <c r="D179">
        <v>5</v>
      </c>
      <c r="E179" s="6">
        <v>4</v>
      </c>
      <c r="F179">
        <v>0</v>
      </c>
      <c r="G179">
        <v>0</v>
      </c>
      <c r="H179">
        <v>0</v>
      </c>
      <c r="I179" t="s">
        <v>101</v>
      </c>
      <c r="J179" t="s">
        <v>101</v>
      </c>
      <c r="K179">
        <v>0</v>
      </c>
      <c r="L179">
        <v>0</v>
      </c>
      <c r="M179">
        <v>0</v>
      </c>
      <c r="N179" t="s">
        <v>169</v>
      </c>
    </row>
    <row r="180" spans="1:14" ht="15" customHeight="1">
      <c r="A180" t="s">
        <v>172</v>
      </c>
      <c r="B180">
        <v>23</v>
      </c>
      <c r="C180">
        <v>6</v>
      </c>
      <c r="D180">
        <v>1</v>
      </c>
      <c r="E180" s="6">
        <v>4</v>
      </c>
      <c r="F180">
        <v>0</v>
      </c>
      <c r="G180">
        <v>0</v>
      </c>
      <c r="H180">
        <v>0</v>
      </c>
      <c r="I180" t="s">
        <v>101</v>
      </c>
      <c r="J180" t="s">
        <v>101</v>
      </c>
      <c r="K180">
        <v>0</v>
      </c>
      <c r="L180">
        <v>0</v>
      </c>
      <c r="M180">
        <v>0</v>
      </c>
      <c r="N180" t="s">
        <v>169</v>
      </c>
    </row>
    <row r="181" spans="1:14" ht="15" customHeight="1">
      <c r="A181" t="s">
        <v>172</v>
      </c>
      <c r="B181">
        <v>24</v>
      </c>
      <c r="C181">
        <v>6</v>
      </c>
      <c r="D181">
        <v>2</v>
      </c>
      <c r="E181" s="6">
        <v>4</v>
      </c>
      <c r="F181">
        <v>0</v>
      </c>
      <c r="G181">
        <v>0</v>
      </c>
      <c r="H181">
        <v>0</v>
      </c>
      <c r="I181" t="s">
        <v>101</v>
      </c>
      <c r="J181" t="s">
        <v>101</v>
      </c>
      <c r="K181">
        <v>0</v>
      </c>
      <c r="L181">
        <v>0</v>
      </c>
      <c r="M181">
        <v>0</v>
      </c>
      <c r="N181" t="s">
        <v>169</v>
      </c>
    </row>
    <row r="182" spans="1:14" ht="15" customHeight="1">
      <c r="A182" t="s">
        <v>172</v>
      </c>
      <c r="B182">
        <v>25</v>
      </c>
      <c r="C182">
        <v>6</v>
      </c>
      <c r="D182">
        <v>3</v>
      </c>
      <c r="E182" s="6">
        <v>4</v>
      </c>
      <c r="F182">
        <v>0</v>
      </c>
      <c r="G182">
        <v>0</v>
      </c>
      <c r="H182">
        <v>0</v>
      </c>
      <c r="I182" t="s">
        <v>101</v>
      </c>
      <c r="J182" t="s">
        <v>101</v>
      </c>
      <c r="K182">
        <v>0</v>
      </c>
      <c r="L182">
        <v>0</v>
      </c>
      <c r="M182">
        <v>0</v>
      </c>
      <c r="N182" t="s">
        <v>169</v>
      </c>
    </row>
    <row r="183" spans="1:14" ht="15" customHeight="1">
      <c r="A183" t="s">
        <v>172</v>
      </c>
      <c r="B183">
        <v>26</v>
      </c>
      <c r="C183">
        <v>6</v>
      </c>
      <c r="D183">
        <v>4</v>
      </c>
      <c r="E183" s="6">
        <v>4</v>
      </c>
      <c r="F183">
        <v>0</v>
      </c>
      <c r="G183">
        <v>0</v>
      </c>
      <c r="H183">
        <v>0</v>
      </c>
      <c r="I183" t="s">
        <v>101</v>
      </c>
      <c r="J183" t="s">
        <v>101</v>
      </c>
      <c r="K183">
        <v>0</v>
      </c>
      <c r="L183">
        <v>0</v>
      </c>
      <c r="M183">
        <v>0</v>
      </c>
      <c r="N183" t="s">
        <v>169</v>
      </c>
    </row>
    <row r="184" spans="1:14" ht="15" customHeight="1">
      <c r="A184" t="s">
        <v>172</v>
      </c>
      <c r="B184">
        <v>27</v>
      </c>
      <c r="C184">
        <v>7</v>
      </c>
      <c r="D184">
        <v>1</v>
      </c>
      <c r="E184" s="6">
        <v>4</v>
      </c>
      <c r="F184">
        <v>0</v>
      </c>
      <c r="G184">
        <v>0</v>
      </c>
      <c r="H184">
        <v>0</v>
      </c>
      <c r="I184" t="s">
        <v>101</v>
      </c>
      <c r="J184" t="s">
        <v>101</v>
      </c>
      <c r="K184">
        <v>0</v>
      </c>
      <c r="L184">
        <v>0</v>
      </c>
      <c r="M184">
        <v>0</v>
      </c>
      <c r="N184" t="s">
        <v>169</v>
      </c>
    </row>
    <row r="185" spans="1:14" ht="15" customHeight="1">
      <c r="A185" t="s">
        <v>172</v>
      </c>
      <c r="B185">
        <v>28</v>
      </c>
      <c r="C185">
        <v>7</v>
      </c>
      <c r="D185">
        <v>2</v>
      </c>
      <c r="E185" s="6">
        <v>4</v>
      </c>
      <c r="F185">
        <v>0</v>
      </c>
      <c r="G185">
        <v>0</v>
      </c>
      <c r="H185">
        <v>0</v>
      </c>
      <c r="I185" t="s">
        <v>101</v>
      </c>
      <c r="J185" t="s">
        <v>101</v>
      </c>
      <c r="K185">
        <v>0</v>
      </c>
      <c r="L185">
        <v>0</v>
      </c>
      <c r="M185">
        <v>0</v>
      </c>
      <c r="N185" t="s">
        <v>169</v>
      </c>
    </row>
    <row r="186" spans="1:14" ht="15" customHeight="1">
      <c r="A186" t="s">
        <v>172</v>
      </c>
      <c r="B186">
        <v>29</v>
      </c>
      <c r="C186">
        <v>7</v>
      </c>
      <c r="D186">
        <v>3</v>
      </c>
      <c r="E186" s="6">
        <v>4</v>
      </c>
      <c r="F186">
        <v>0</v>
      </c>
      <c r="G186">
        <v>0</v>
      </c>
      <c r="H186">
        <v>0</v>
      </c>
      <c r="I186" t="s">
        <v>101</v>
      </c>
      <c r="J186" t="s">
        <v>101</v>
      </c>
      <c r="K186">
        <v>0</v>
      </c>
      <c r="L186">
        <v>0</v>
      </c>
      <c r="M186">
        <v>0</v>
      </c>
      <c r="N186" t="s">
        <v>169</v>
      </c>
    </row>
    <row r="187" spans="1:14" ht="15" customHeight="1">
      <c r="A187" t="s">
        <v>172</v>
      </c>
      <c r="B187">
        <v>30</v>
      </c>
      <c r="C187">
        <v>7</v>
      </c>
      <c r="D187">
        <v>4</v>
      </c>
      <c r="E187" s="6">
        <v>4</v>
      </c>
      <c r="F187">
        <v>0</v>
      </c>
      <c r="G187">
        <v>0</v>
      </c>
      <c r="H187">
        <v>0</v>
      </c>
      <c r="I187" t="s">
        <v>101</v>
      </c>
      <c r="J187" t="s">
        <v>101</v>
      </c>
      <c r="K187">
        <v>0</v>
      </c>
      <c r="L187">
        <v>0</v>
      </c>
      <c r="M187">
        <v>0</v>
      </c>
      <c r="N187" t="s">
        <v>169</v>
      </c>
    </row>
    <row r="188" spans="1:14" ht="15" customHeight="1">
      <c r="A188" t="s">
        <v>172</v>
      </c>
      <c r="B188">
        <v>31</v>
      </c>
      <c r="C188">
        <v>8</v>
      </c>
      <c r="D188">
        <v>1</v>
      </c>
      <c r="E188" s="6">
        <v>4</v>
      </c>
      <c r="F188">
        <v>0</v>
      </c>
      <c r="G188">
        <v>0</v>
      </c>
      <c r="H188">
        <v>0</v>
      </c>
      <c r="I188" t="s">
        <v>101</v>
      </c>
      <c r="J188" t="s">
        <v>101</v>
      </c>
      <c r="K188">
        <v>0</v>
      </c>
      <c r="L188">
        <v>0</v>
      </c>
      <c r="M188">
        <v>0</v>
      </c>
      <c r="N188" t="s">
        <v>169</v>
      </c>
    </row>
    <row r="189" spans="1:14" ht="15" customHeight="1">
      <c r="A189" t="s">
        <v>172</v>
      </c>
      <c r="B189">
        <v>32</v>
      </c>
      <c r="C189">
        <v>8</v>
      </c>
      <c r="D189">
        <v>2</v>
      </c>
      <c r="E189" s="6">
        <v>4</v>
      </c>
      <c r="F189">
        <v>0</v>
      </c>
      <c r="G189">
        <v>0</v>
      </c>
      <c r="H189">
        <v>0</v>
      </c>
      <c r="I189" t="s">
        <v>101</v>
      </c>
      <c r="J189" t="s">
        <v>101</v>
      </c>
      <c r="K189">
        <v>0</v>
      </c>
      <c r="L189">
        <v>0</v>
      </c>
      <c r="M189">
        <v>0</v>
      </c>
      <c r="N189" t="s">
        <v>169</v>
      </c>
    </row>
    <row r="190" spans="1:14" ht="15" customHeight="1">
      <c r="A190" t="s">
        <v>172</v>
      </c>
      <c r="B190">
        <v>33</v>
      </c>
      <c r="C190">
        <v>8</v>
      </c>
      <c r="D190">
        <v>3</v>
      </c>
      <c r="E190" s="6">
        <v>4</v>
      </c>
      <c r="F190">
        <v>0</v>
      </c>
      <c r="G190">
        <v>0</v>
      </c>
      <c r="H190">
        <v>0</v>
      </c>
      <c r="I190" t="s">
        <v>101</v>
      </c>
      <c r="J190" t="s">
        <v>101</v>
      </c>
      <c r="K190">
        <v>0</v>
      </c>
      <c r="L190">
        <v>0</v>
      </c>
      <c r="M190">
        <v>0</v>
      </c>
      <c r="N190" t="s">
        <v>169</v>
      </c>
    </row>
    <row r="191" spans="1:14" ht="15" customHeight="1">
      <c r="A191" t="s">
        <v>172</v>
      </c>
      <c r="B191">
        <v>34</v>
      </c>
      <c r="C191">
        <v>8</v>
      </c>
      <c r="D191">
        <v>4</v>
      </c>
      <c r="E191" s="6">
        <v>4</v>
      </c>
      <c r="F191">
        <v>0</v>
      </c>
      <c r="G191">
        <v>0</v>
      </c>
      <c r="H191">
        <v>0</v>
      </c>
      <c r="I191" t="s">
        <v>101</v>
      </c>
      <c r="J191" t="s">
        <v>101</v>
      </c>
      <c r="K191">
        <v>0</v>
      </c>
      <c r="L191">
        <v>0</v>
      </c>
      <c r="M191">
        <v>0</v>
      </c>
      <c r="N191" t="s">
        <v>169</v>
      </c>
    </row>
    <row r="192" spans="1:14" ht="15" customHeight="1">
      <c r="A192" t="s">
        <v>172</v>
      </c>
      <c r="B192">
        <v>35</v>
      </c>
      <c r="C192">
        <v>8</v>
      </c>
      <c r="D192">
        <v>5</v>
      </c>
      <c r="E192" s="6">
        <v>4</v>
      </c>
      <c r="F192">
        <v>0</v>
      </c>
      <c r="G192">
        <v>0</v>
      </c>
      <c r="H192">
        <v>0</v>
      </c>
      <c r="I192" t="s">
        <v>101</v>
      </c>
      <c r="J192" t="s">
        <v>101</v>
      </c>
      <c r="K192">
        <v>0</v>
      </c>
      <c r="L192">
        <v>0</v>
      </c>
      <c r="M192">
        <v>0</v>
      </c>
      <c r="N192" t="s">
        <v>169</v>
      </c>
    </row>
    <row r="193" spans="1:14" ht="15" customHeight="1">
      <c r="A193" t="s">
        <v>172</v>
      </c>
      <c r="B193">
        <v>36</v>
      </c>
      <c r="C193">
        <v>9</v>
      </c>
      <c r="D193">
        <v>1</v>
      </c>
      <c r="E193" s="6">
        <v>4</v>
      </c>
      <c r="F193">
        <v>0</v>
      </c>
      <c r="G193">
        <v>0</v>
      </c>
      <c r="H193">
        <v>0</v>
      </c>
      <c r="I193" t="s">
        <v>101</v>
      </c>
      <c r="J193" t="s">
        <v>101</v>
      </c>
      <c r="K193">
        <v>0</v>
      </c>
      <c r="L193">
        <v>0</v>
      </c>
      <c r="M193">
        <v>0</v>
      </c>
      <c r="N193" t="s">
        <v>169</v>
      </c>
    </row>
    <row r="194" spans="1:14" ht="15" customHeight="1">
      <c r="A194" t="s">
        <v>172</v>
      </c>
      <c r="B194">
        <v>37</v>
      </c>
      <c r="C194">
        <v>9</v>
      </c>
      <c r="D194">
        <v>2</v>
      </c>
      <c r="E194" s="6">
        <v>4</v>
      </c>
      <c r="F194">
        <v>0</v>
      </c>
      <c r="G194">
        <v>0</v>
      </c>
      <c r="H194">
        <v>0</v>
      </c>
      <c r="I194" t="s">
        <v>101</v>
      </c>
      <c r="J194" t="s">
        <v>101</v>
      </c>
      <c r="K194">
        <v>0</v>
      </c>
      <c r="L194">
        <v>0</v>
      </c>
      <c r="M194">
        <v>0</v>
      </c>
      <c r="N194" t="s">
        <v>169</v>
      </c>
    </row>
    <row r="195" spans="1:14" ht="15" customHeight="1">
      <c r="A195" t="s">
        <v>172</v>
      </c>
      <c r="B195">
        <v>38</v>
      </c>
      <c r="C195">
        <v>9</v>
      </c>
      <c r="D195">
        <v>3</v>
      </c>
      <c r="E195" s="6">
        <v>4</v>
      </c>
      <c r="F195">
        <v>0</v>
      </c>
      <c r="G195">
        <v>0</v>
      </c>
      <c r="H195">
        <v>0</v>
      </c>
      <c r="I195" t="s">
        <v>101</v>
      </c>
      <c r="J195" t="s">
        <v>101</v>
      </c>
      <c r="K195">
        <v>0</v>
      </c>
      <c r="L195">
        <v>0</v>
      </c>
      <c r="M195">
        <v>0</v>
      </c>
      <c r="N195" t="s">
        <v>169</v>
      </c>
    </row>
    <row r="196" spans="1:14" ht="15" customHeight="1">
      <c r="A196" t="s">
        <v>172</v>
      </c>
      <c r="B196">
        <v>39</v>
      </c>
      <c r="C196">
        <v>9</v>
      </c>
      <c r="D196">
        <v>4</v>
      </c>
      <c r="E196" s="6">
        <v>4</v>
      </c>
      <c r="F196">
        <v>0</v>
      </c>
      <c r="G196">
        <v>0</v>
      </c>
      <c r="H196">
        <v>0</v>
      </c>
      <c r="I196" t="s">
        <v>101</v>
      </c>
      <c r="J196" t="s">
        <v>101</v>
      </c>
      <c r="K196">
        <v>0</v>
      </c>
      <c r="L196">
        <v>0</v>
      </c>
      <c r="M196">
        <v>0</v>
      </c>
      <c r="N196" t="s">
        <v>169</v>
      </c>
    </row>
    <row r="197" spans="1:14" ht="15" customHeight="1">
      <c r="A197" t="s">
        <v>172</v>
      </c>
      <c r="B197">
        <v>40</v>
      </c>
      <c r="C197">
        <v>10</v>
      </c>
      <c r="D197">
        <v>1</v>
      </c>
      <c r="E197" s="6">
        <v>4</v>
      </c>
      <c r="F197">
        <v>0</v>
      </c>
      <c r="G197">
        <v>0</v>
      </c>
      <c r="H197">
        <v>0</v>
      </c>
      <c r="I197" t="s">
        <v>101</v>
      </c>
      <c r="J197" t="s">
        <v>101</v>
      </c>
      <c r="K197">
        <v>0</v>
      </c>
      <c r="L197">
        <v>0</v>
      </c>
      <c r="M197">
        <v>0</v>
      </c>
      <c r="N197" t="s">
        <v>169</v>
      </c>
    </row>
    <row r="198" spans="1:14" ht="15" customHeight="1">
      <c r="A198" t="s">
        <v>172</v>
      </c>
      <c r="B198">
        <v>41</v>
      </c>
      <c r="C198">
        <v>10</v>
      </c>
      <c r="D198">
        <v>2</v>
      </c>
      <c r="E198" s="6">
        <v>4</v>
      </c>
      <c r="F198">
        <v>0</v>
      </c>
      <c r="G198">
        <v>0</v>
      </c>
      <c r="H198">
        <v>0</v>
      </c>
      <c r="I198" t="s">
        <v>101</v>
      </c>
      <c r="J198" t="s">
        <v>101</v>
      </c>
      <c r="K198">
        <v>0</v>
      </c>
      <c r="L198">
        <v>0</v>
      </c>
      <c r="M198">
        <v>0</v>
      </c>
      <c r="N198" t="s">
        <v>169</v>
      </c>
    </row>
    <row r="199" spans="1:14" ht="15" customHeight="1">
      <c r="A199" t="s">
        <v>172</v>
      </c>
      <c r="B199">
        <v>42</v>
      </c>
      <c r="C199">
        <v>10</v>
      </c>
      <c r="D199">
        <v>3</v>
      </c>
      <c r="E199" s="6">
        <v>4</v>
      </c>
      <c r="F199">
        <v>0</v>
      </c>
      <c r="G199">
        <v>0</v>
      </c>
      <c r="H199">
        <v>0</v>
      </c>
      <c r="I199" t="s">
        <v>101</v>
      </c>
      <c r="J199" t="s">
        <v>101</v>
      </c>
      <c r="K199">
        <v>0</v>
      </c>
      <c r="L199">
        <v>0</v>
      </c>
      <c r="M199">
        <v>0</v>
      </c>
      <c r="N199" t="s">
        <v>169</v>
      </c>
    </row>
    <row r="200" spans="1:14" ht="15" customHeight="1">
      <c r="A200" t="s">
        <v>172</v>
      </c>
      <c r="B200">
        <v>43</v>
      </c>
      <c r="C200">
        <v>10</v>
      </c>
      <c r="D200">
        <v>4</v>
      </c>
      <c r="E200" s="6">
        <v>4</v>
      </c>
      <c r="F200">
        <v>0</v>
      </c>
      <c r="G200">
        <v>0</v>
      </c>
      <c r="H200">
        <v>0</v>
      </c>
      <c r="I200" t="s">
        <v>101</v>
      </c>
      <c r="J200" t="s">
        <v>101</v>
      </c>
      <c r="K200">
        <v>0</v>
      </c>
      <c r="L200">
        <v>0</v>
      </c>
      <c r="M200">
        <v>0</v>
      </c>
      <c r="N200" t="s">
        <v>169</v>
      </c>
    </row>
    <row r="201" spans="1:14" ht="15" customHeight="1">
      <c r="A201" t="s">
        <v>172</v>
      </c>
      <c r="B201">
        <v>44</v>
      </c>
      <c r="C201">
        <v>10</v>
      </c>
      <c r="D201">
        <v>5</v>
      </c>
      <c r="E201" s="6">
        <v>4</v>
      </c>
      <c r="F201">
        <v>0</v>
      </c>
      <c r="G201">
        <v>0</v>
      </c>
      <c r="H201">
        <v>0</v>
      </c>
      <c r="I201" t="s">
        <v>101</v>
      </c>
      <c r="J201" t="s">
        <v>101</v>
      </c>
      <c r="K201">
        <v>0</v>
      </c>
      <c r="L201">
        <v>0</v>
      </c>
      <c r="M201">
        <v>0</v>
      </c>
      <c r="N201" t="s">
        <v>169</v>
      </c>
    </row>
    <row r="202" spans="1:14" ht="15" customHeight="1">
      <c r="A202" t="s">
        <v>172</v>
      </c>
      <c r="B202">
        <v>45</v>
      </c>
      <c r="C202">
        <v>11</v>
      </c>
      <c r="D202">
        <v>1</v>
      </c>
      <c r="E202" s="6">
        <v>4</v>
      </c>
      <c r="F202">
        <v>0</v>
      </c>
      <c r="G202">
        <v>0</v>
      </c>
      <c r="H202">
        <v>0</v>
      </c>
      <c r="I202" t="s">
        <v>101</v>
      </c>
      <c r="J202" t="s">
        <v>101</v>
      </c>
      <c r="K202">
        <v>0</v>
      </c>
      <c r="L202">
        <v>0</v>
      </c>
      <c r="M202">
        <v>0</v>
      </c>
      <c r="N202" t="s">
        <v>169</v>
      </c>
    </row>
    <row r="203" spans="1:14" ht="15" customHeight="1">
      <c r="A203" t="s">
        <v>172</v>
      </c>
      <c r="B203">
        <v>46</v>
      </c>
      <c r="C203">
        <v>11</v>
      </c>
      <c r="D203">
        <v>2</v>
      </c>
      <c r="E203" s="6">
        <v>4</v>
      </c>
      <c r="F203">
        <v>0</v>
      </c>
      <c r="G203">
        <v>0</v>
      </c>
      <c r="H203">
        <v>0</v>
      </c>
      <c r="I203" t="s">
        <v>101</v>
      </c>
      <c r="J203" t="s">
        <v>101</v>
      </c>
      <c r="K203">
        <v>0</v>
      </c>
      <c r="L203">
        <v>0</v>
      </c>
      <c r="M203">
        <v>0</v>
      </c>
      <c r="N203" t="s">
        <v>169</v>
      </c>
    </row>
    <row r="204" spans="1:14" ht="15" customHeight="1">
      <c r="A204" t="s">
        <v>172</v>
      </c>
      <c r="B204">
        <v>47</v>
      </c>
      <c r="C204">
        <v>11</v>
      </c>
      <c r="D204">
        <v>3</v>
      </c>
      <c r="E204" s="6">
        <v>4</v>
      </c>
      <c r="F204">
        <v>0</v>
      </c>
      <c r="G204">
        <v>0</v>
      </c>
      <c r="H204">
        <v>0</v>
      </c>
      <c r="I204" t="s">
        <v>101</v>
      </c>
      <c r="J204" t="s">
        <v>101</v>
      </c>
      <c r="K204">
        <v>0</v>
      </c>
      <c r="L204">
        <v>0</v>
      </c>
      <c r="M204">
        <v>0</v>
      </c>
      <c r="N204" t="s">
        <v>169</v>
      </c>
    </row>
    <row r="205" spans="1:14" ht="15" customHeight="1">
      <c r="A205" t="s">
        <v>172</v>
      </c>
      <c r="B205">
        <v>48</v>
      </c>
      <c r="C205">
        <v>11</v>
      </c>
      <c r="D205">
        <v>4</v>
      </c>
      <c r="E205" s="6">
        <v>4</v>
      </c>
      <c r="F205">
        <v>0</v>
      </c>
      <c r="G205">
        <v>0</v>
      </c>
      <c r="H205">
        <v>0</v>
      </c>
      <c r="I205" t="s">
        <v>101</v>
      </c>
      <c r="J205" t="s">
        <v>101</v>
      </c>
      <c r="K205">
        <v>0</v>
      </c>
      <c r="L205">
        <v>0</v>
      </c>
      <c r="M205">
        <v>0</v>
      </c>
      <c r="N205" t="s">
        <v>169</v>
      </c>
    </row>
    <row r="206" spans="1:14" ht="15" customHeight="1">
      <c r="A206" t="s">
        <v>172</v>
      </c>
      <c r="B206">
        <v>49</v>
      </c>
      <c r="C206">
        <v>12</v>
      </c>
      <c r="D206">
        <v>1</v>
      </c>
      <c r="E206" s="6">
        <v>4</v>
      </c>
      <c r="F206">
        <v>0</v>
      </c>
      <c r="G206">
        <v>0</v>
      </c>
      <c r="H206">
        <v>0</v>
      </c>
      <c r="I206" t="s">
        <v>101</v>
      </c>
      <c r="J206" t="s">
        <v>101</v>
      </c>
      <c r="K206">
        <v>0</v>
      </c>
      <c r="L206">
        <v>0</v>
      </c>
      <c r="M206">
        <v>0</v>
      </c>
      <c r="N206" t="s">
        <v>169</v>
      </c>
    </row>
    <row r="207" spans="1:14" ht="15" customHeight="1">
      <c r="A207" t="s">
        <v>172</v>
      </c>
      <c r="B207">
        <v>50</v>
      </c>
      <c r="C207">
        <v>12</v>
      </c>
      <c r="D207">
        <v>2</v>
      </c>
      <c r="E207" s="6">
        <v>4</v>
      </c>
      <c r="F207">
        <v>0</v>
      </c>
      <c r="G207">
        <v>0</v>
      </c>
      <c r="H207">
        <v>0</v>
      </c>
      <c r="I207" t="s">
        <v>101</v>
      </c>
      <c r="J207" t="s">
        <v>101</v>
      </c>
      <c r="K207">
        <v>0</v>
      </c>
      <c r="L207">
        <v>0</v>
      </c>
      <c r="M207">
        <v>0</v>
      </c>
      <c r="N207" t="s">
        <v>169</v>
      </c>
    </row>
    <row r="208" spans="1:14" ht="15" customHeight="1">
      <c r="A208" t="s">
        <v>172</v>
      </c>
      <c r="B208">
        <v>51</v>
      </c>
      <c r="C208">
        <v>12</v>
      </c>
      <c r="D208">
        <v>3</v>
      </c>
      <c r="E208" s="6">
        <v>4</v>
      </c>
      <c r="F208">
        <v>0</v>
      </c>
      <c r="G208">
        <v>0</v>
      </c>
      <c r="H208">
        <v>0</v>
      </c>
      <c r="I208" t="s">
        <v>101</v>
      </c>
      <c r="J208" t="s">
        <v>101</v>
      </c>
      <c r="K208">
        <v>0</v>
      </c>
      <c r="L208">
        <v>0</v>
      </c>
      <c r="M208">
        <v>0</v>
      </c>
      <c r="N208" t="s">
        <v>169</v>
      </c>
    </row>
    <row r="209" spans="1:14" ht="15" customHeight="1">
      <c r="A209" t="s">
        <v>172</v>
      </c>
      <c r="B209">
        <v>52</v>
      </c>
      <c r="C209">
        <v>12</v>
      </c>
      <c r="D209">
        <v>4</v>
      </c>
      <c r="E209" s="6">
        <v>4</v>
      </c>
      <c r="F209">
        <v>0</v>
      </c>
      <c r="G209">
        <v>0</v>
      </c>
      <c r="H209">
        <v>0</v>
      </c>
      <c r="I209" t="s">
        <v>101</v>
      </c>
      <c r="J209" t="s">
        <v>101</v>
      </c>
      <c r="K209">
        <v>0</v>
      </c>
      <c r="L209">
        <v>0</v>
      </c>
      <c r="M209">
        <v>0</v>
      </c>
      <c r="N209" t="s">
        <v>169</v>
      </c>
    </row>
    <row r="210" spans="1:14" ht="15" customHeight="1"/>
    <row r="211" spans="1:14" ht="15" customHeight="1"/>
    <row r="212" spans="1:14" ht="15" customHeight="1"/>
    <row r="213" spans="1:14" ht="15" customHeight="1"/>
    <row r="214" spans="1:14" ht="15" customHeight="1"/>
    <row r="215" spans="1:14" ht="15" customHeight="1"/>
    <row r="216" spans="1:14" ht="15" customHeight="1"/>
    <row r="217" spans="1:14" ht="15" customHeight="1"/>
    <row r="218" spans="1:14" ht="15" customHeight="1"/>
    <row r="219" spans="1:14" ht="15" customHeight="1"/>
    <row r="220" spans="1:14" ht="15" customHeight="1"/>
    <row r="221" spans="1:14" ht="15" customHeight="1"/>
    <row r="222" spans="1:14" ht="15" customHeight="1"/>
    <row r="223" spans="1:14" ht="15" customHeight="1"/>
    <row r="224" spans="1:1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</sheetData>
  <dataValidations count="2">
    <dataValidation type="list" allowBlank="1" sqref="I210:J512" xr:uid="{00000000-0002-0000-0700-000000000000}">
      <formula1>"At Risk,On Track,Pending"</formula1>
      <formula2>0</formula2>
    </dataValidation>
    <dataValidation type="list" allowBlank="1" sqref="I2:J209" xr:uid="{00000000-0002-0000-0700-000001000000}">
      <formula1>"Not Started,No Deviation,Moderate Deviation,Critical Deviation,Stopped"</formula1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Footer>&amp;L&amp;"Aptos"&amp;8 &amp;K000000_x000D_# Statkraft Internal_x000D_&amp;1#&amp;"Aptos"&amp;8&amp;K000000 Statkraft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"/>
  <sheetViews>
    <sheetView zoomScaleNormal="100" workbookViewId="0">
      <pane ySplit="1" topLeftCell="C2" activePane="bottomLeft" state="frozen"/>
      <selection pane="bottomLeft" activeCell="I9" sqref="I9"/>
    </sheetView>
  </sheetViews>
  <sheetFormatPr defaultColWidth="8.7109375" defaultRowHeight="15"/>
  <cols>
    <col min="1" max="1" width="21" customWidth="1"/>
    <col min="2" max="3" width="30" customWidth="1"/>
    <col min="4" max="5" width="12" customWidth="1"/>
    <col min="6" max="6" width="18.7109375" customWidth="1"/>
    <col min="7" max="9" width="23.7109375" customWidth="1"/>
    <col min="10" max="10" width="16.28515625" customWidth="1"/>
    <col min="12" max="13" width="28" customWidth="1"/>
    <col min="14" max="14" width="12.5703125" customWidth="1"/>
  </cols>
  <sheetData>
    <row r="1" spans="1:14" ht="15" customHeight="1">
      <c r="A1" s="7" t="s">
        <v>156</v>
      </c>
      <c r="B1" s="7" t="s">
        <v>173</v>
      </c>
      <c r="C1" s="7" t="s">
        <v>54</v>
      </c>
      <c r="D1" s="7" t="s">
        <v>174</v>
      </c>
      <c r="E1" s="7" t="s">
        <v>175</v>
      </c>
      <c r="F1" s="7" t="s">
        <v>176</v>
      </c>
      <c r="G1" s="7" t="s">
        <v>177</v>
      </c>
      <c r="H1" s="7" t="s">
        <v>178</v>
      </c>
      <c r="I1" s="8" t="s">
        <v>179</v>
      </c>
      <c r="J1" s="2" t="s">
        <v>55</v>
      </c>
      <c r="K1" s="2" t="s">
        <v>180</v>
      </c>
      <c r="L1" s="2" t="s">
        <v>181</v>
      </c>
      <c r="M1" s="2" t="s">
        <v>182</v>
      </c>
      <c r="N1" s="2" t="s">
        <v>183</v>
      </c>
    </row>
    <row r="2" spans="1:14" ht="15" customHeight="1">
      <c r="A2" t="s">
        <v>171</v>
      </c>
      <c r="B2" t="s">
        <v>184</v>
      </c>
      <c r="D2" t="s">
        <v>185</v>
      </c>
      <c r="E2" t="s">
        <v>186</v>
      </c>
      <c r="J2" t="s">
        <v>171</v>
      </c>
      <c r="K2" t="s">
        <v>187</v>
      </c>
    </row>
    <row r="3" spans="1:14" ht="15" customHeight="1">
      <c r="A3" t="s">
        <v>170</v>
      </c>
      <c r="B3" t="s">
        <v>188</v>
      </c>
      <c r="D3" t="s">
        <v>185</v>
      </c>
      <c r="E3" t="s">
        <v>186</v>
      </c>
      <c r="J3" t="s">
        <v>170</v>
      </c>
      <c r="K3" t="s">
        <v>189</v>
      </c>
    </row>
    <row r="4" spans="1:14" ht="15" customHeight="1">
      <c r="A4" t="s">
        <v>167</v>
      </c>
      <c r="B4" t="s">
        <v>190</v>
      </c>
      <c r="D4" t="s">
        <v>185</v>
      </c>
      <c r="E4" t="s">
        <v>191</v>
      </c>
      <c r="J4" t="s">
        <v>167</v>
      </c>
      <c r="K4" t="s">
        <v>192</v>
      </c>
      <c r="L4" t="s">
        <v>193</v>
      </c>
    </row>
    <row r="5" spans="1:14" ht="15" customHeight="1">
      <c r="A5" t="s">
        <v>171</v>
      </c>
      <c r="B5" t="s">
        <v>194</v>
      </c>
      <c r="D5" t="s">
        <v>195</v>
      </c>
      <c r="E5" t="s">
        <v>186</v>
      </c>
    </row>
    <row r="6" spans="1:14" ht="31.9" customHeight="1">
      <c r="A6" t="s">
        <v>167</v>
      </c>
      <c r="B6" t="s">
        <v>196</v>
      </c>
      <c r="D6" t="s">
        <v>185</v>
      </c>
      <c r="E6" t="s">
        <v>186</v>
      </c>
      <c r="L6" t="s">
        <v>197</v>
      </c>
      <c r="M6" t="s">
        <v>198</v>
      </c>
      <c r="N6" s="9">
        <v>5.0000000000000001E-3</v>
      </c>
    </row>
    <row r="7" spans="1:14" ht="30.6" customHeight="1">
      <c r="A7" t="s">
        <v>172</v>
      </c>
      <c r="B7" t="s">
        <v>199</v>
      </c>
      <c r="D7" t="s">
        <v>185</v>
      </c>
      <c r="E7" t="s">
        <v>186</v>
      </c>
      <c r="J7" t="s">
        <v>172</v>
      </c>
      <c r="N7" t="s">
        <v>200</v>
      </c>
    </row>
    <row r="8" spans="1:14" ht="15" customHeight="1">
      <c r="A8" t="s">
        <v>172</v>
      </c>
      <c r="B8" t="s">
        <v>201</v>
      </c>
      <c r="D8" t="s">
        <v>195</v>
      </c>
      <c r="E8" t="s">
        <v>191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Footer>&amp;L&amp;"Aptos"&amp;8 &amp;K000000_x000D_# Statkraft Internal_x000D_&amp;1#&amp;"Aptos"&amp;8&amp;K000000 Statkraft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.7109375" customWidth="1"/>
    <col min="2" max="2" width="27.140625" customWidth="1"/>
    <col min="3" max="3" width="18.85546875" customWidth="1"/>
  </cols>
  <sheetData>
    <row r="1" spans="1:3" ht="15" customHeight="1">
      <c r="A1" s="2" t="s">
        <v>156</v>
      </c>
      <c r="B1" s="2" t="s">
        <v>202</v>
      </c>
      <c r="C1" s="2" t="s">
        <v>203</v>
      </c>
    </row>
    <row r="2" spans="1:3" ht="15" customHeight="1">
      <c r="A2" t="s">
        <v>170</v>
      </c>
    </row>
    <row r="3" spans="1:3" ht="15" customHeight="1">
      <c r="A3" t="s">
        <v>172</v>
      </c>
    </row>
    <row r="4" spans="1:3" ht="15" customHeight="1">
      <c r="A4" t="s">
        <v>167</v>
      </c>
    </row>
    <row r="5" spans="1:3" ht="15" customHeight="1">
      <c r="A5" t="s">
        <v>171</v>
      </c>
    </row>
  </sheetData>
  <dataValidations count="1">
    <dataValidation type="list" allowBlank="1" sqref="B2:B20" xr:uid="{00000000-0002-0000-0900-000000000000}">
      <formula1>"0,1,2,3,4"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zoomScaleNormal="100" workbookViewId="0">
      <pane ySplit="1" topLeftCell="A2" activePane="bottomLeft" state="frozen"/>
      <selection pane="bottomLeft" activeCell="E5" sqref="E5"/>
    </sheetView>
  </sheetViews>
  <sheetFormatPr defaultColWidth="8.7109375" defaultRowHeight="14.45"/>
  <cols>
    <col min="2" max="2" width="19.85546875" customWidth="1"/>
    <col min="3" max="3" width="24.28515625" customWidth="1"/>
    <col min="4" max="4" width="40" customWidth="1"/>
    <col min="6" max="6" width="19.42578125" customWidth="1"/>
  </cols>
  <sheetData>
    <row r="1" spans="1:6" ht="15" customHeight="1">
      <c r="A1" s="2" t="s">
        <v>204</v>
      </c>
      <c r="B1" s="2" t="s">
        <v>125</v>
      </c>
      <c r="C1" s="2" t="s">
        <v>205</v>
      </c>
      <c r="D1" s="2" t="s">
        <v>53</v>
      </c>
      <c r="E1" s="2" t="s">
        <v>126</v>
      </c>
      <c r="F1" s="2" t="s">
        <v>206</v>
      </c>
    </row>
    <row r="2" spans="1:6" ht="15" customHeight="1">
      <c r="A2">
        <v>1</v>
      </c>
      <c r="B2" t="s">
        <v>207</v>
      </c>
      <c r="C2">
        <v>0</v>
      </c>
      <c r="D2" t="s">
        <v>208</v>
      </c>
      <c r="E2" t="s">
        <v>129</v>
      </c>
      <c r="F2">
        <v>0</v>
      </c>
    </row>
    <row r="3" spans="1:6" ht="15" customHeight="1">
      <c r="A3">
        <v>2</v>
      </c>
      <c r="B3" t="s">
        <v>209</v>
      </c>
      <c r="C3">
        <v>14</v>
      </c>
      <c r="D3" t="s">
        <v>210</v>
      </c>
      <c r="E3" t="s">
        <v>129</v>
      </c>
      <c r="F3">
        <v>14</v>
      </c>
    </row>
    <row r="4" spans="1:6" ht="15" customHeight="1">
      <c r="A4">
        <v>3</v>
      </c>
      <c r="B4" t="s">
        <v>211</v>
      </c>
      <c r="C4">
        <v>15</v>
      </c>
      <c r="D4" t="s">
        <v>212</v>
      </c>
      <c r="E4" t="s">
        <v>129</v>
      </c>
      <c r="F4">
        <v>15</v>
      </c>
    </row>
    <row r="5" spans="1:6" ht="15" customHeight="1">
      <c r="A5">
        <v>4</v>
      </c>
      <c r="B5" t="s">
        <v>213</v>
      </c>
      <c r="C5">
        <v>15</v>
      </c>
      <c r="D5" t="s">
        <v>214</v>
      </c>
      <c r="E5" t="s">
        <v>129</v>
      </c>
    </row>
    <row r="6" spans="1:6" ht="15" customHeight="1">
      <c r="A6">
        <v>5</v>
      </c>
      <c r="B6" t="s">
        <v>215</v>
      </c>
      <c r="C6">
        <v>30</v>
      </c>
      <c r="D6" t="s">
        <v>216</v>
      </c>
      <c r="E6" t="s">
        <v>133</v>
      </c>
    </row>
    <row r="7" spans="1:6" ht="15" customHeight="1"/>
    <row r="8" spans="1:6" ht="15" customHeight="1"/>
    <row r="9" spans="1:6" ht="15" customHeight="1"/>
    <row r="10" spans="1:6" ht="15" customHeight="1"/>
    <row r="11" spans="1:6" ht="15" customHeight="1"/>
    <row r="12" spans="1:6" ht="15" customHeight="1"/>
    <row r="13" spans="1:6" ht="15" customHeight="1"/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</sheetData>
  <dataValidations count="1">
    <dataValidation type="list" allowBlank="1" sqref="E2:E20" xr:uid="{00000000-0002-0000-0A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Normal="100" workbookViewId="0">
      <pane ySplit="1" topLeftCell="A2" activePane="bottomLeft" state="frozen"/>
      <selection pane="bottomLeft" activeCell="D12" sqref="D12"/>
    </sheetView>
  </sheetViews>
  <sheetFormatPr defaultColWidth="8.7109375" defaultRowHeight="14.45"/>
  <cols>
    <col min="1" max="1" width="10" customWidth="1"/>
    <col min="2" max="2" width="12" customWidth="1"/>
    <col min="3" max="3" width="11" customWidth="1"/>
    <col min="4" max="4" width="17" customWidth="1"/>
    <col min="5" max="5" width="19" customWidth="1"/>
    <col min="6" max="6" width="14" customWidth="1"/>
  </cols>
  <sheetData>
    <row r="1" spans="1:6" ht="15" customHeight="1">
      <c r="A1" s="1" t="s">
        <v>84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</row>
    <row r="2" spans="1:6" ht="15" customHeight="1">
      <c r="A2" t="s">
        <v>222</v>
      </c>
      <c r="B2">
        <v>0</v>
      </c>
      <c r="C2">
        <v>0</v>
      </c>
    </row>
    <row r="3" spans="1:6" ht="15" customHeight="1">
      <c r="A3" t="s">
        <v>223</v>
      </c>
      <c r="B3">
        <v>14</v>
      </c>
      <c r="C3">
        <v>14</v>
      </c>
      <c r="D3" t="s">
        <v>129</v>
      </c>
      <c r="E3" t="s">
        <v>129</v>
      </c>
      <c r="F3" t="s">
        <v>129</v>
      </c>
    </row>
    <row r="4" spans="1:6" ht="15" customHeight="1">
      <c r="A4" t="s">
        <v>224</v>
      </c>
      <c r="B4">
        <v>14</v>
      </c>
      <c r="C4">
        <v>16</v>
      </c>
      <c r="D4" t="s">
        <v>129</v>
      </c>
      <c r="E4" t="s">
        <v>129</v>
      </c>
      <c r="F4" t="s">
        <v>129</v>
      </c>
    </row>
    <row r="5" spans="1:6" ht="15" customHeight="1">
      <c r="A5" t="s">
        <v>225</v>
      </c>
      <c r="B5">
        <v>14</v>
      </c>
      <c r="C5">
        <v>15</v>
      </c>
      <c r="D5" t="s">
        <v>129</v>
      </c>
      <c r="E5" t="s">
        <v>129</v>
      </c>
      <c r="F5" t="s">
        <v>129</v>
      </c>
    </row>
    <row r="6" spans="1:6" ht="15" customHeight="1">
      <c r="A6" t="s">
        <v>226</v>
      </c>
      <c r="B6">
        <v>14</v>
      </c>
      <c r="C6">
        <v>14</v>
      </c>
      <c r="D6" t="s">
        <v>129</v>
      </c>
      <c r="E6" t="s">
        <v>129</v>
      </c>
      <c r="F6" t="s">
        <v>129</v>
      </c>
    </row>
    <row r="7" spans="1:6" ht="15" customHeight="1">
      <c r="A7" t="s">
        <v>227</v>
      </c>
      <c r="B7">
        <v>14</v>
      </c>
      <c r="C7">
        <v>14</v>
      </c>
      <c r="D7" t="s">
        <v>129</v>
      </c>
      <c r="E7" t="s">
        <v>129</v>
      </c>
      <c r="F7" t="s">
        <v>129</v>
      </c>
    </row>
    <row r="8" spans="1:6" ht="15" customHeight="1">
      <c r="A8" t="s">
        <v>228</v>
      </c>
      <c r="B8">
        <v>12</v>
      </c>
      <c r="C8">
        <v>12</v>
      </c>
      <c r="D8" t="s">
        <v>129</v>
      </c>
      <c r="E8" t="s">
        <v>129</v>
      </c>
      <c r="F8" t="s">
        <v>129</v>
      </c>
    </row>
    <row r="9" spans="1:6" ht="15" customHeight="1">
      <c r="A9" t="s">
        <v>229</v>
      </c>
      <c r="B9">
        <v>14</v>
      </c>
      <c r="C9">
        <v>14</v>
      </c>
      <c r="D9" t="s">
        <v>129</v>
      </c>
      <c r="E9" t="s">
        <v>129</v>
      </c>
      <c r="F9" t="s">
        <v>133</v>
      </c>
    </row>
    <row r="10" spans="1:6" ht="15" customHeight="1">
      <c r="A10" t="s">
        <v>230</v>
      </c>
      <c r="B10">
        <v>0</v>
      </c>
      <c r="C10">
        <v>0</v>
      </c>
    </row>
    <row r="11" spans="1:6" ht="15" customHeight="1">
      <c r="A11" t="s">
        <v>231</v>
      </c>
      <c r="B11">
        <v>0</v>
      </c>
      <c r="C11">
        <v>0</v>
      </c>
    </row>
    <row r="12" spans="1:6" ht="15" customHeight="1">
      <c r="A12" t="s">
        <v>232</v>
      </c>
      <c r="B12">
        <v>0</v>
      </c>
      <c r="C12">
        <v>0</v>
      </c>
    </row>
    <row r="13" spans="1:6" ht="15" customHeight="1">
      <c r="A13" t="s">
        <v>233</v>
      </c>
      <c r="B13">
        <v>0</v>
      </c>
      <c r="C13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sheetData>
    <row r="1" spans="1:4" ht="15" customHeight="1">
      <c r="A1" s="2" t="s">
        <v>84</v>
      </c>
      <c r="B1" s="2" t="s">
        <v>234</v>
      </c>
      <c r="C1" s="2" t="s">
        <v>235</v>
      </c>
      <c r="D1" s="2" t="s">
        <v>236</v>
      </c>
    </row>
    <row r="2" spans="1:4" ht="15" customHeight="1">
      <c r="A2" t="s">
        <v>237</v>
      </c>
      <c r="B2" t="s">
        <v>238</v>
      </c>
      <c r="C2" t="s">
        <v>129</v>
      </c>
    </row>
    <row r="3" spans="1:4" ht="15" customHeight="1"/>
    <row r="4" spans="1:4" ht="15" customHeight="1"/>
    <row r="5" spans="1:4" ht="15" customHeight="1"/>
    <row r="6" spans="1:4" ht="15" customHeight="1"/>
    <row r="7" spans="1:4" ht="15" customHeight="1"/>
    <row r="8" spans="1:4" ht="15" customHeight="1"/>
    <row r="9" spans="1:4" ht="15" customHeight="1"/>
    <row r="10" spans="1:4" ht="15" customHeight="1"/>
    <row r="11" spans="1:4" ht="15" customHeight="1"/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dataValidations count="1">
    <dataValidation type="list" allowBlank="1" sqref="C2:C200" xr:uid="{00000000-0002-0000-0C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2" max="2" width="40" customWidth="1"/>
  </cols>
  <sheetData>
    <row r="1" spans="1:5" ht="15" customHeight="1">
      <c r="A1" s="2" t="s">
        <v>84</v>
      </c>
      <c r="B1" s="2" t="s">
        <v>53</v>
      </c>
      <c r="C1" s="2" t="s">
        <v>239</v>
      </c>
      <c r="D1" s="2" t="s">
        <v>240</v>
      </c>
      <c r="E1" s="2" t="s">
        <v>146</v>
      </c>
    </row>
    <row r="2" spans="1:5" ht="15" customHeight="1">
      <c r="A2" t="s">
        <v>237</v>
      </c>
      <c r="B2" t="s">
        <v>241</v>
      </c>
      <c r="D2" t="s">
        <v>195</v>
      </c>
      <c r="E2" t="s">
        <v>242</v>
      </c>
    </row>
    <row r="3" spans="1:5" ht="15" customHeight="1"/>
    <row r="4" spans="1:5" ht="15" customHeight="1"/>
    <row r="5" spans="1:5" ht="15" customHeight="1"/>
    <row r="6" spans="1:5" ht="15" customHeight="1"/>
    <row r="7" spans="1:5" ht="15" customHeight="1"/>
    <row r="8" spans="1:5" ht="15" customHeight="1"/>
    <row r="9" spans="1:5" ht="15" customHeight="1"/>
    <row r="10" spans="1:5" ht="15" customHeight="1"/>
    <row r="11" spans="1:5" ht="15" customHeight="1"/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dataValidations count="2">
    <dataValidation type="list" allowBlank="1" sqref="D2:D200" xr:uid="{00000000-0002-0000-0D00-000000000000}">
      <formula1>"Low,Medium,High"</formula1>
      <formula2>0</formula2>
    </dataValidation>
    <dataValidation type="list" allowBlank="1" sqref="E2:E200" xr:uid="{00000000-0002-0000-0D00-000001000000}">
      <formula1>"Open,Closed"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>
      <pane ySplit="1" topLeftCell="A2" activePane="bottomLeft" state="frozen"/>
      <selection pane="bottomLeft" activeCell="E6" sqref="E6"/>
    </sheetView>
  </sheetViews>
  <sheetFormatPr defaultColWidth="8.85546875" defaultRowHeight="14.45"/>
  <cols>
    <col min="1" max="1" width="8" customWidth="1"/>
    <col min="2" max="2" width="32" customWidth="1"/>
    <col min="3" max="4" width="11" customWidth="1"/>
    <col min="5" max="5" width="40" customWidth="1"/>
  </cols>
  <sheetData>
    <row r="1" spans="1:5" ht="15" customHeight="1">
      <c r="A1" s="2" t="s">
        <v>204</v>
      </c>
      <c r="B1" s="2" t="s">
        <v>243</v>
      </c>
      <c r="C1" s="2" t="s">
        <v>244</v>
      </c>
      <c r="D1" s="2" t="s">
        <v>245</v>
      </c>
      <c r="E1" s="2" t="s">
        <v>166</v>
      </c>
    </row>
    <row r="2" spans="1:5">
      <c r="A2">
        <v>1</v>
      </c>
      <c r="B2" t="s">
        <v>246</v>
      </c>
      <c r="C2" t="s">
        <v>129</v>
      </c>
      <c r="D2" t="s">
        <v>129</v>
      </c>
    </row>
    <row r="3" spans="1:5">
      <c r="A3">
        <v>2</v>
      </c>
      <c r="B3" t="s">
        <v>247</v>
      </c>
      <c r="C3" t="s">
        <v>129</v>
      </c>
      <c r="D3" t="s">
        <v>129</v>
      </c>
    </row>
    <row r="4" spans="1:5">
      <c r="A4">
        <v>3</v>
      </c>
      <c r="B4" t="s">
        <v>248</v>
      </c>
      <c r="C4" t="s">
        <v>129</v>
      </c>
      <c r="D4" t="s">
        <v>129</v>
      </c>
    </row>
    <row r="5" spans="1:5">
      <c r="A5">
        <v>4</v>
      </c>
      <c r="B5" t="s">
        <v>190</v>
      </c>
      <c r="C5" t="s">
        <v>129</v>
      </c>
      <c r="D5" t="s">
        <v>129</v>
      </c>
    </row>
    <row r="6" spans="1:5">
      <c r="A6">
        <v>5</v>
      </c>
      <c r="B6" t="s">
        <v>249</v>
      </c>
      <c r="C6" t="s">
        <v>129</v>
      </c>
      <c r="D6" t="s">
        <v>129</v>
      </c>
    </row>
    <row r="7" spans="1:5">
      <c r="A7">
        <v>6</v>
      </c>
      <c r="B7" t="s">
        <v>250</v>
      </c>
      <c r="C7" t="s">
        <v>129</v>
      </c>
      <c r="D7" t="s">
        <v>129</v>
      </c>
    </row>
    <row r="8" spans="1:5">
      <c r="A8">
        <v>7</v>
      </c>
      <c r="B8" t="s">
        <v>251</v>
      </c>
      <c r="C8" t="s">
        <v>129</v>
      </c>
      <c r="D8" t="s">
        <v>129</v>
      </c>
    </row>
    <row r="9" spans="1:5">
      <c r="A9">
        <v>8</v>
      </c>
      <c r="B9" t="s">
        <v>252</v>
      </c>
      <c r="C9" t="s">
        <v>129</v>
      </c>
      <c r="D9" t="s">
        <v>129</v>
      </c>
    </row>
    <row r="10" spans="1:5">
      <c r="A10">
        <v>9</v>
      </c>
      <c r="B10" t="s">
        <v>253</v>
      </c>
      <c r="C10" t="s">
        <v>129</v>
      </c>
      <c r="D10" t="s">
        <v>129</v>
      </c>
    </row>
    <row r="11" spans="1:5">
      <c r="A11">
        <v>10</v>
      </c>
      <c r="B11" t="s">
        <v>254</v>
      </c>
      <c r="C11" t="s">
        <v>129</v>
      </c>
      <c r="D11" t="s">
        <v>129</v>
      </c>
    </row>
  </sheetData>
  <pageMargins left="0.75" right="0.75" top="1" bottom="1" header="0.5" footer="0.5"/>
  <headerFooter>
    <oddFooter>&amp;L_x000D_&amp;1#&amp;"Aptos"&amp;8&amp;K000000 Statkraft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3"/>
  <sheetViews>
    <sheetView zoomScaleNormal="100" workbookViewId="0">
      <pane ySplit="1" topLeftCell="A40" activePane="bottomLeft" state="frozen"/>
      <selection pane="bottomLeft"/>
    </sheetView>
  </sheetViews>
  <sheetFormatPr defaultColWidth="8.7109375" defaultRowHeight="14.45"/>
  <sheetData>
    <row r="1" spans="1:5" ht="15" customHeight="1">
      <c r="A1" s="2" t="s">
        <v>83</v>
      </c>
      <c r="B1" s="2" t="s">
        <v>255</v>
      </c>
      <c r="C1" s="2" t="s">
        <v>81</v>
      </c>
      <c r="D1" s="2" t="s">
        <v>89</v>
      </c>
      <c r="E1" s="2" t="s">
        <v>90</v>
      </c>
    </row>
    <row r="2" spans="1:5" ht="15" customHeight="1">
      <c r="A2">
        <v>25</v>
      </c>
      <c r="B2" t="s">
        <v>61</v>
      </c>
      <c r="C2" t="s">
        <v>93</v>
      </c>
      <c r="D2">
        <f>COUNTIFS(Tasks!$A:$A,$C2,Tasks!$F:$F,$B2,Tasks!$G:$G,"&lt;="&amp;INDEX(Weeks!$D:$D,MATCH($A2,Weeks!$A:$A,0)))-COUNTIFS(Tasks!$A:$A,$C2,Tasks!$F:$F,$B2,Tasks!$I:$I,"&lt;="&amp;INDEX(Weeks!$D:$D,MATCH($A2,Weeks!$A:$A,0)),Tasks!$I:$I,"&lt;&gt;")</f>
        <v>0</v>
      </c>
      <c r="E2">
        <f>COUNTIFS(Tasks!$A:$A,$C2,Tasks!$F:$F,$B2,Tasks!$I:$I,"&gt;"&amp;INDEX(Weeks!$D:$D,MATCH($A2-1,Weeks!$A:$A,0)),Tasks!$I:$I,"&lt;="&amp;INDEX(Weeks!$D:$D,MATCH($A2,Weeks!$A:$A,0)),Tasks!$I:$I,"&lt;&gt;")</f>
        <v>0</v>
      </c>
    </row>
    <row r="3" spans="1:5" ht="15" customHeight="1">
      <c r="A3">
        <v>25</v>
      </c>
      <c r="B3" t="s">
        <v>61</v>
      </c>
      <c r="C3" t="s">
        <v>97</v>
      </c>
      <c r="D3">
        <f>COUNTIFS(Tasks!$A:$A,$C3,Tasks!$F:$F,$B3,Tasks!$G:$G,"&lt;="&amp;INDEX(Weeks!$D:$D,MATCH($A3,Weeks!$A:$A,0)))-COUNTIFS(Tasks!$A:$A,$C3,Tasks!$F:$F,$B3,Tasks!$I:$I,"&lt;="&amp;INDEX(Weeks!$D:$D,MATCH($A3,Weeks!$A:$A,0)),Tasks!$I:$I,"&lt;&gt;")</f>
        <v>0</v>
      </c>
      <c r="E3">
        <f>COUNTIFS(Tasks!$A:$A,$C3,Tasks!$F:$F,$B3,Tasks!$I:$I,"&gt;"&amp;INDEX(Weeks!$D:$D,MATCH($A3-1,Weeks!$A:$A,0)),Tasks!$I:$I,"&lt;="&amp;INDEX(Weeks!$D:$D,MATCH($A3,Weeks!$A:$A,0)),Tasks!$I:$I,"&lt;&gt;")</f>
        <v>0</v>
      </c>
    </row>
    <row r="4" spans="1:5" ht="15" customHeight="1">
      <c r="A4">
        <v>25</v>
      </c>
      <c r="B4" t="s">
        <v>61</v>
      </c>
      <c r="C4" t="s">
        <v>102</v>
      </c>
      <c r="D4">
        <f>COUNTIFS(Tasks!$A:$A,$C4,Tasks!$F:$F,$B4,Tasks!$G:$G,"&lt;="&amp;INDEX(Weeks!$D:$D,MATCH($A4,Weeks!$A:$A,0)))-COUNTIFS(Tasks!$A:$A,$C4,Tasks!$F:$F,$B4,Tasks!$I:$I,"&lt;="&amp;INDEX(Weeks!$D:$D,MATCH($A4,Weeks!$A:$A,0)),Tasks!$I:$I,"&lt;&gt;")</f>
        <v>0</v>
      </c>
      <c r="E4">
        <f>COUNTIFS(Tasks!$A:$A,$C4,Tasks!$F:$F,$B4,Tasks!$I:$I,"&gt;"&amp;INDEX(Weeks!$D:$D,MATCH($A4-1,Weeks!$A:$A,0)),Tasks!$I:$I,"&lt;="&amp;INDEX(Weeks!$D:$D,MATCH($A4,Weeks!$A:$A,0)),Tasks!$I:$I,"&lt;&gt;")</f>
        <v>0</v>
      </c>
    </row>
    <row r="5" spans="1:5" ht="15" customHeight="1">
      <c r="A5">
        <v>25</v>
      </c>
      <c r="B5" t="s">
        <v>61</v>
      </c>
      <c r="C5" t="s">
        <v>107</v>
      </c>
      <c r="D5">
        <f>COUNTIFS(Tasks!$A:$A,$C5,Tasks!$F:$F,$B5,Tasks!$G:$G,"&lt;="&amp;INDEX(Weeks!$D:$D,MATCH($A5,Weeks!$A:$A,0)))-COUNTIFS(Tasks!$A:$A,$C5,Tasks!$F:$F,$B5,Tasks!$I:$I,"&lt;="&amp;INDEX(Weeks!$D:$D,MATCH($A5,Weeks!$A:$A,0)),Tasks!$I:$I,"&lt;&gt;")</f>
        <v>0</v>
      </c>
      <c r="E5">
        <f>COUNTIFS(Tasks!$A:$A,$C5,Tasks!$F:$F,$B5,Tasks!$I:$I,"&gt;"&amp;INDEX(Weeks!$D:$D,MATCH($A5-1,Weeks!$A:$A,0)),Tasks!$I:$I,"&lt;="&amp;INDEX(Weeks!$D:$D,MATCH($A5,Weeks!$A:$A,0)),Tasks!$I:$I,"&lt;&gt;")</f>
        <v>0</v>
      </c>
    </row>
    <row r="6" spans="1:5" ht="15" customHeight="1">
      <c r="A6">
        <v>25</v>
      </c>
      <c r="B6" t="s">
        <v>69</v>
      </c>
      <c r="C6" t="s">
        <v>93</v>
      </c>
      <c r="D6">
        <f>COUNTIFS(Tasks!$A:$A,$C6,Tasks!$F:$F,$B6,Tasks!$G:$G,"&lt;="&amp;INDEX(Weeks!$D:$D,MATCH($A6,Weeks!$A:$A,0)))-COUNTIFS(Tasks!$A:$A,$C6,Tasks!$F:$F,$B6,Tasks!$I:$I,"&lt;="&amp;INDEX(Weeks!$D:$D,MATCH($A6,Weeks!$A:$A,0)),Tasks!$I:$I,"&lt;&gt;")</f>
        <v>0</v>
      </c>
      <c r="E6">
        <f>COUNTIFS(Tasks!$A:$A,$C6,Tasks!$F:$F,$B6,Tasks!$I:$I,"&gt;"&amp;INDEX(Weeks!$D:$D,MATCH($A6-1,Weeks!$A:$A,0)),Tasks!$I:$I,"&lt;="&amp;INDEX(Weeks!$D:$D,MATCH($A6,Weeks!$A:$A,0)),Tasks!$I:$I,"&lt;&gt;")</f>
        <v>0</v>
      </c>
    </row>
    <row r="7" spans="1:5" ht="15" customHeight="1">
      <c r="A7">
        <v>25</v>
      </c>
      <c r="B7" t="s">
        <v>69</v>
      </c>
      <c r="C7" t="s">
        <v>97</v>
      </c>
      <c r="D7">
        <f>COUNTIFS(Tasks!$A:$A,$C7,Tasks!$F:$F,$B7,Tasks!$G:$G,"&lt;="&amp;INDEX(Weeks!$D:$D,MATCH($A7,Weeks!$A:$A,0)))-COUNTIFS(Tasks!$A:$A,$C7,Tasks!$F:$F,$B7,Tasks!$I:$I,"&lt;="&amp;INDEX(Weeks!$D:$D,MATCH($A7,Weeks!$A:$A,0)),Tasks!$I:$I,"&lt;&gt;")</f>
        <v>0</v>
      </c>
      <c r="E7">
        <f>COUNTIFS(Tasks!$A:$A,$C7,Tasks!$F:$F,$B7,Tasks!$I:$I,"&gt;"&amp;INDEX(Weeks!$D:$D,MATCH($A7-1,Weeks!$A:$A,0)),Tasks!$I:$I,"&lt;="&amp;INDEX(Weeks!$D:$D,MATCH($A7,Weeks!$A:$A,0)),Tasks!$I:$I,"&lt;&gt;")</f>
        <v>0</v>
      </c>
    </row>
    <row r="8" spans="1:5" ht="15" customHeight="1">
      <c r="A8">
        <v>25</v>
      </c>
      <c r="B8" t="s">
        <v>69</v>
      </c>
      <c r="C8" t="s">
        <v>102</v>
      </c>
      <c r="D8">
        <f>COUNTIFS(Tasks!$A:$A,$C8,Tasks!$F:$F,$B8,Tasks!$G:$G,"&lt;="&amp;INDEX(Weeks!$D:$D,MATCH($A8,Weeks!$A:$A,0)))-COUNTIFS(Tasks!$A:$A,$C8,Tasks!$F:$F,$B8,Tasks!$I:$I,"&lt;="&amp;INDEX(Weeks!$D:$D,MATCH($A8,Weeks!$A:$A,0)),Tasks!$I:$I,"&lt;&gt;")</f>
        <v>0</v>
      </c>
      <c r="E8">
        <f>COUNTIFS(Tasks!$A:$A,$C8,Tasks!$F:$F,$B8,Tasks!$I:$I,"&gt;"&amp;INDEX(Weeks!$D:$D,MATCH($A8-1,Weeks!$A:$A,0)),Tasks!$I:$I,"&lt;="&amp;INDEX(Weeks!$D:$D,MATCH($A8,Weeks!$A:$A,0)),Tasks!$I:$I,"&lt;&gt;")</f>
        <v>0</v>
      </c>
    </row>
    <row r="9" spans="1:5" ht="15" customHeight="1">
      <c r="A9">
        <v>25</v>
      </c>
      <c r="B9" t="s">
        <v>69</v>
      </c>
      <c r="C9" t="s">
        <v>107</v>
      </c>
      <c r="D9">
        <f>COUNTIFS(Tasks!$A:$A,$C9,Tasks!$F:$F,$B9,Tasks!$G:$G,"&lt;="&amp;INDEX(Weeks!$D:$D,MATCH($A9,Weeks!$A:$A,0)))-COUNTIFS(Tasks!$A:$A,$C9,Tasks!$F:$F,$B9,Tasks!$I:$I,"&lt;="&amp;INDEX(Weeks!$D:$D,MATCH($A9,Weeks!$A:$A,0)),Tasks!$I:$I,"&lt;&gt;")</f>
        <v>0</v>
      </c>
      <c r="E9">
        <f>COUNTIFS(Tasks!$A:$A,$C9,Tasks!$F:$F,$B9,Tasks!$I:$I,"&gt;"&amp;INDEX(Weeks!$D:$D,MATCH($A9-1,Weeks!$A:$A,0)),Tasks!$I:$I,"&lt;="&amp;INDEX(Weeks!$D:$D,MATCH($A9,Weeks!$A:$A,0)),Tasks!$I:$I,"&lt;&gt;")</f>
        <v>0</v>
      </c>
    </row>
    <row r="10" spans="1:5" ht="15" customHeight="1">
      <c r="A10">
        <v>26</v>
      </c>
      <c r="B10" t="s">
        <v>61</v>
      </c>
      <c r="C10" t="s">
        <v>93</v>
      </c>
      <c r="D10">
        <f>COUNTIFS(Tasks!$A:$A,$C10,Tasks!$F:$F,$B10,Tasks!$G:$G,"&lt;="&amp;INDEX(Weeks!$D:$D,MATCH($A10,Weeks!$A:$A,0)))-COUNTIFS(Tasks!$A:$A,$C10,Tasks!$F:$F,$B10,Tasks!$I:$I,"&lt;="&amp;INDEX(Weeks!$D:$D,MATCH($A10,Weeks!$A:$A,0)),Tasks!$I:$I,"&lt;&gt;")</f>
        <v>0</v>
      </c>
      <c r="E10">
        <f>COUNTIFS(Tasks!$A:$A,$C10,Tasks!$F:$F,$B10,Tasks!$I:$I,"&gt;"&amp;INDEX(Weeks!$D:$D,MATCH($A10-1,Weeks!$A:$A,0)),Tasks!$I:$I,"&lt;="&amp;INDEX(Weeks!$D:$D,MATCH($A10,Weeks!$A:$A,0)),Tasks!$I:$I,"&lt;&gt;")</f>
        <v>0</v>
      </c>
    </row>
    <row r="11" spans="1:5" ht="15" customHeight="1">
      <c r="A11">
        <v>26</v>
      </c>
      <c r="B11" t="s">
        <v>61</v>
      </c>
      <c r="C11" t="s">
        <v>97</v>
      </c>
      <c r="D11">
        <f>COUNTIFS(Tasks!$A:$A,$C11,Tasks!$F:$F,$B11,Tasks!$G:$G,"&lt;="&amp;INDEX(Weeks!$D:$D,MATCH($A11,Weeks!$A:$A,0)))-COUNTIFS(Tasks!$A:$A,$C11,Tasks!$F:$F,$B11,Tasks!$I:$I,"&lt;="&amp;INDEX(Weeks!$D:$D,MATCH($A11,Weeks!$A:$A,0)),Tasks!$I:$I,"&lt;&gt;")</f>
        <v>0</v>
      </c>
      <c r="E11">
        <f>COUNTIFS(Tasks!$A:$A,$C11,Tasks!$F:$F,$B11,Tasks!$I:$I,"&gt;"&amp;INDEX(Weeks!$D:$D,MATCH($A11-1,Weeks!$A:$A,0)),Tasks!$I:$I,"&lt;="&amp;INDEX(Weeks!$D:$D,MATCH($A11,Weeks!$A:$A,0)),Tasks!$I:$I,"&lt;&gt;")</f>
        <v>0</v>
      </c>
    </row>
    <row r="12" spans="1:5" ht="15" customHeight="1">
      <c r="A12">
        <v>26</v>
      </c>
      <c r="B12" t="s">
        <v>61</v>
      </c>
      <c r="C12" t="s">
        <v>102</v>
      </c>
      <c r="D12">
        <f>COUNTIFS(Tasks!$A:$A,$C12,Tasks!$F:$F,$B12,Tasks!$G:$G,"&lt;="&amp;INDEX(Weeks!$D:$D,MATCH($A12,Weeks!$A:$A,0)))-COUNTIFS(Tasks!$A:$A,$C12,Tasks!$F:$F,$B12,Tasks!$I:$I,"&lt;="&amp;INDEX(Weeks!$D:$D,MATCH($A12,Weeks!$A:$A,0)),Tasks!$I:$I,"&lt;&gt;")</f>
        <v>0</v>
      </c>
      <c r="E12">
        <f>COUNTIFS(Tasks!$A:$A,$C12,Tasks!$F:$F,$B12,Tasks!$I:$I,"&gt;"&amp;INDEX(Weeks!$D:$D,MATCH($A12-1,Weeks!$A:$A,0)),Tasks!$I:$I,"&lt;="&amp;INDEX(Weeks!$D:$D,MATCH($A12,Weeks!$A:$A,0)),Tasks!$I:$I,"&lt;&gt;")</f>
        <v>0</v>
      </c>
    </row>
    <row r="13" spans="1:5" ht="15" customHeight="1">
      <c r="A13">
        <v>26</v>
      </c>
      <c r="B13" t="s">
        <v>61</v>
      </c>
      <c r="C13" t="s">
        <v>107</v>
      </c>
      <c r="D13">
        <f>COUNTIFS(Tasks!$A:$A,$C13,Tasks!$F:$F,$B13,Tasks!$G:$G,"&lt;="&amp;INDEX(Weeks!$D:$D,MATCH($A13,Weeks!$A:$A,0)))-COUNTIFS(Tasks!$A:$A,$C13,Tasks!$F:$F,$B13,Tasks!$I:$I,"&lt;="&amp;INDEX(Weeks!$D:$D,MATCH($A13,Weeks!$A:$A,0)),Tasks!$I:$I,"&lt;&gt;")</f>
        <v>0</v>
      </c>
      <c r="E13">
        <f>COUNTIFS(Tasks!$A:$A,$C13,Tasks!$F:$F,$B13,Tasks!$I:$I,"&gt;"&amp;INDEX(Weeks!$D:$D,MATCH($A13-1,Weeks!$A:$A,0)),Tasks!$I:$I,"&lt;="&amp;INDEX(Weeks!$D:$D,MATCH($A13,Weeks!$A:$A,0)),Tasks!$I:$I,"&lt;&gt;")</f>
        <v>0</v>
      </c>
    </row>
    <row r="14" spans="1:5" ht="15" customHeight="1">
      <c r="A14">
        <v>26</v>
      </c>
      <c r="B14" t="s">
        <v>69</v>
      </c>
      <c r="C14" t="s">
        <v>93</v>
      </c>
      <c r="D14">
        <f>COUNTIFS(Tasks!$A:$A,$C14,Tasks!$F:$F,$B14,Tasks!$G:$G,"&lt;="&amp;INDEX(Weeks!$D:$D,MATCH($A14,Weeks!$A:$A,0)))-COUNTIFS(Tasks!$A:$A,$C14,Tasks!$F:$F,$B14,Tasks!$I:$I,"&lt;="&amp;INDEX(Weeks!$D:$D,MATCH($A14,Weeks!$A:$A,0)),Tasks!$I:$I,"&lt;&gt;")</f>
        <v>0</v>
      </c>
      <c r="E14">
        <f>COUNTIFS(Tasks!$A:$A,$C14,Tasks!$F:$F,$B14,Tasks!$I:$I,"&gt;"&amp;INDEX(Weeks!$D:$D,MATCH($A14-1,Weeks!$A:$A,0)),Tasks!$I:$I,"&lt;="&amp;INDEX(Weeks!$D:$D,MATCH($A14,Weeks!$A:$A,0)),Tasks!$I:$I,"&lt;&gt;")</f>
        <v>0</v>
      </c>
    </row>
    <row r="15" spans="1:5" ht="15" customHeight="1">
      <c r="A15">
        <v>26</v>
      </c>
      <c r="B15" t="s">
        <v>69</v>
      </c>
      <c r="C15" t="s">
        <v>97</v>
      </c>
      <c r="D15">
        <f>COUNTIFS(Tasks!$A:$A,$C15,Tasks!$F:$F,$B15,Tasks!$G:$G,"&lt;="&amp;INDEX(Weeks!$D:$D,MATCH($A15,Weeks!$A:$A,0)))-COUNTIFS(Tasks!$A:$A,$C15,Tasks!$F:$F,$B15,Tasks!$I:$I,"&lt;="&amp;INDEX(Weeks!$D:$D,MATCH($A15,Weeks!$A:$A,0)),Tasks!$I:$I,"&lt;&gt;")</f>
        <v>0</v>
      </c>
      <c r="E15">
        <f>COUNTIFS(Tasks!$A:$A,$C15,Tasks!$F:$F,$B15,Tasks!$I:$I,"&gt;"&amp;INDEX(Weeks!$D:$D,MATCH($A15-1,Weeks!$A:$A,0)),Tasks!$I:$I,"&lt;="&amp;INDEX(Weeks!$D:$D,MATCH($A15,Weeks!$A:$A,0)),Tasks!$I:$I,"&lt;&gt;")</f>
        <v>0</v>
      </c>
    </row>
    <row r="16" spans="1:5" ht="15" customHeight="1">
      <c r="A16">
        <v>26</v>
      </c>
      <c r="B16" t="s">
        <v>69</v>
      </c>
      <c r="C16" t="s">
        <v>102</v>
      </c>
      <c r="D16">
        <f>COUNTIFS(Tasks!$A:$A,$C16,Tasks!$F:$F,$B16,Tasks!$G:$G,"&lt;="&amp;INDEX(Weeks!$D:$D,MATCH($A16,Weeks!$A:$A,0)))-COUNTIFS(Tasks!$A:$A,$C16,Tasks!$F:$F,$B16,Tasks!$I:$I,"&lt;="&amp;INDEX(Weeks!$D:$D,MATCH($A16,Weeks!$A:$A,0)),Tasks!$I:$I,"&lt;&gt;")</f>
        <v>0</v>
      </c>
      <c r="E16">
        <f>COUNTIFS(Tasks!$A:$A,$C16,Tasks!$F:$F,$B16,Tasks!$I:$I,"&gt;"&amp;INDEX(Weeks!$D:$D,MATCH($A16-1,Weeks!$A:$A,0)),Tasks!$I:$I,"&lt;="&amp;INDEX(Weeks!$D:$D,MATCH($A16,Weeks!$A:$A,0)),Tasks!$I:$I,"&lt;&gt;")</f>
        <v>0</v>
      </c>
    </row>
    <row r="17" spans="1:5" ht="15" customHeight="1">
      <c r="A17">
        <v>26</v>
      </c>
      <c r="B17" t="s">
        <v>69</v>
      </c>
      <c r="C17" t="s">
        <v>107</v>
      </c>
      <c r="D17">
        <f>COUNTIFS(Tasks!$A:$A,$C17,Tasks!$F:$F,$B17,Tasks!$G:$G,"&lt;="&amp;INDEX(Weeks!$D:$D,MATCH($A17,Weeks!$A:$A,0)))-COUNTIFS(Tasks!$A:$A,$C17,Tasks!$F:$F,$B17,Tasks!$I:$I,"&lt;="&amp;INDEX(Weeks!$D:$D,MATCH($A17,Weeks!$A:$A,0)),Tasks!$I:$I,"&lt;&gt;")</f>
        <v>0</v>
      </c>
      <c r="E17">
        <f>COUNTIFS(Tasks!$A:$A,$C17,Tasks!$F:$F,$B17,Tasks!$I:$I,"&gt;"&amp;INDEX(Weeks!$D:$D,MATCH($A17-1,Weeks!$A:$A,0)),Tasks!$I:$I,"&lt;="&amp;INDEX(Weeks!$D:$D,MATCH($A17,Weeks!$A:$A,0)),Tasks!$I:$I,"&lt;&gt;")</f>
        <v>0</v>
      </c>
    </row>
    <row r="18" spans="1:5" ht="15" customHeight="1">
      <c r="A18">
        <v>27</v>
      </c>
      <c r="B18" t="s">
        <v>61</v>
      </c>
      <c r="C18" t="s">
        <v>93</v>
      </c>
      <c r="D18">
        <f>COUNTIFS(Tasks!$A:$A,$C18,Tasks!$F:$F,$B18,Tasks!$G:$G,"&lt;="&amp;INDEX(Weeks!$D:$D,MATCH($A18,Weeks!$A:$A,0)))-COUNTIFS(Tasks!$A:$A,$C18,Tasks!$F:$F,$B18,Tasks!$I:$I,"&lt;="&amp;INDEX(Weeks!$D:$D,MATCH($A18,Weeks!$A:$A,0)),Tasks!$I:$I,"&lt;&gt;")</f>
        <v>0</v>
      </c>
      <c r="E18">
        <f>COUNTIFS(Tasks!$A:$A,$C18,Tasks!$F:$F,$B18,Tasks!$I:$I,"&gt;"&amp;INDEX(Weeks!$D:$D,MATCH($A18-1,Weeks!$A:$A,0)),Tasks!$I:$I,"&lt;="&amp;INDEX(Weeks!$D:$D,MATCH($A18,Weeks!$A:$A,0)),Tasks!$I:$I,"&lt;&gt;")</f>
        <v>0</v>
      </c>
    </row>
    <row r="19" spans="1:5" ht="15" customHeight="1">
      <c r="A19">
        <v>27</v>
      </c>
      <c r="B19" t="s">
        <v>61</v>
      </c>
      <c r="C19" t="s">
        <v>97</v>
      </c>
      <c r="D19">
        <f>COUNTIFS(Tasks!$A:$A,$C19,Tasks!$F:$F,$B19,Tasks!$G:$G,"&lt;="&amp;INDEX(Weeks!$D:$D,MATCH($A19,Weeks!$A:$A,0)))-COUNTIFS(Tasks!$A:$A,$C19,Tasks!$F:$F,$B19,Tasks!$I:$I,"&lt;="&amp;INDEX(Weeks!$D:$D,MATCH($A19,Weeks!$A:$A,0)),Tasks!$I:$I,"&lt;&gt;")</f>
        <v>0</v>
      </c>
      <c r="E19">
        <f>COUNTIFS(Tasks!$A:$A,$C19,Tasks!$F:$F,$B19,Tasks!$I:$I,"&gt;"&amp;INDEX(Weeks!$D:$D,MATCH($A19-1,Weeks!$A:$A,0)),Tasks!$I:$I,"&lt;="&amp;INDEX(Weeks!$D:$D,MATCH($A19,Weeks!$A:$A,0)),Tasks!$I:$I,"&lt;&gt;")</f>
        <v>0</v>
      </c>
    </row>
    <row r="20" spans="1:5" ht="15" customHeight="1">
      <c r="A20">
        <v>27</v>
      </c>
      <c r="B20" t="s">
        <v>61</v>
      </c>
      <c r="C20" t="s">
        <v>102</v>
      </c>
      <c r="D20">
        <f>COUNTIFS(Tasks!$A:$A,$C20,Tasks!$F:$F,$B20,Tasks!$G:$G,"&lt;="&amp;INDEX(Weeks!$D:$D,MATCH($A20,Weeks!$A:$A,0)))-COUNTIFS(Tasks!$A:$A,$C20,Tasks!$F:$F,$B20,Tasks!$I:$I,"&lt;="&amp;INDEX(Weeks!$D:$D,MATCH($A20,Weeks!$A:$A,0)),Tasks!$I:$I,"&lt;&gt;")</f>
        <v>0</v>
      </c>
      <c r="E20">
        <f>COUNTIFS(Tasks!$A:$A,$C20,Tasks!$F:$F,$B20,Tasks!$I:$I,"&gt;"&amp;INDEX(Weeks!$D:$D,MATCH($A20-1,Weeks!$A:$A,0)),Tasks!$I:$I,"&lt;="&amp;INDEX(Weeks!$D:$D,MATCH($A20,Weeks!$A:$A,0)),Tasks!$I:$I,"&lt;&gt;")</f>
        <v>0</v>
      </c>
    </row>
    <row r="21" spans="1:5" ht="15" customHeight="1">
      <c r="A21">
        <v>27</v>
      </c>
      <c r="B21" t="s">
        <v>61</v>
      </c>
      <c r="C21" t="s">
        <v>107</v>
      </c>
      <c r="D21">
        <f>COUNTIFS(Tasks!$A:$A,$C21,Tasks!$F:$F,$B21,Tasks!$G:$G,"&lt;="&amp;INDEX(Weeks!$D:$D,MATCH($A21,Weeks!$A:$A,0)))-COUNTIFS(Tasks!$A:$A,$C21,Tasks!$F:$F,$B21,Tasks!$I:$I,"&lt;="&amp;INDEX(Weeks!$D:$D,MATCH($A21,Weeks!$A:$A,0)),Tasks!$I:$I,"&lt;&gt;")</f>
        <v>0</v>
      </c>
      <c r="E21">
        <f>COUNTIFS(Tasks!$A:$A,$C21,Tasks!$F:$F,$B21,Tasks!$I:$I,"&gt;"&amp;INDEX(Weeks!$D:$D,MATCH($A21-1,Weeks!$A:$A,0)),Tasks!$I:$I,"&lt;="&amp;INDEX(Weeks!$D:$D,MATCH($A21,Weeks!$A:$A,0)),Tasks!$I:$I,"&lt;&gt;")</f>
        <v>0</v>
      </c>
    </row>
    <row r="22" spans="1:5" ht="15" customHeight="1">
      <c r="A22">
        <v>27</v>
      </c>
      <c r="B22" t="s">
        <v>69</v>
      </c>
      <c r="C22" t="s">
        <v>93</v>
      </c>
      <c r="D22">
        <f>COUNTIFS(Tasks!$A:$A,$C22,Tasks!$F:$F,$B22,Tasks!$G:$G,"&lt;="&amp;INDEX(Weeks!$D:$D,MATCH($A22,Weeks!$A:$A,0)))-COUNTIFS(Tasks!$A:$A,$C22,Tasks!$F:$F,$B22,Tasks!$I:$I,"&lt;="&amp;INDEX(Weeks!$D:$D,MATCH($A22,Weeks!$A:$A,0)),Tasks!$I:$I,"&lt;&gt;")</f>
        <v>0</v>
      </c>
      <c r="E22">
        <f>COUNTIFS(Tasks!$A:$A,$C22,Tasks!$F:$F,$B22,Tasks!$I:$I,"&gt;"&amp;INDEX(Weeks!$D:$D,MATCH($A22-1,Weeks!$A:$A,0)),Tasks!$I:$I,"&lt;="&amp;INDEX(Weeks!$D:$D,MATCH($A22,Weeks!$A:$A,0)),Tasks!$I:$I,"&lt;&gt;")</f>
        <v>0</v>
      </c>
    </row>
    <row r="23" spans="1:5" ht="15" customHeight="1">
      <c r="A23">
        <v>27</v>
      </c>
      <c r="B23" t="s">
        <v>69</v>
      </c>
      <c r="C23" t="s">
        <v>97</v>
      </c>
      <c r="D23">
        <f>COUNTIFS(Tasks!$A:$A,$C23,Tasks!$F:$F,$B23,Tasks!$G:$G,"&lt;="&amp;INDEX(Weeks!$D:$D,MATCH($A23,Weeks!$A:$A,0)))-COUNTIFS(Tasks!$A:$A,$C23,Tasks!$F:$F,$B23,Tasks!$I:$I,"&lt;="&amp;INDEX(Weeks!$D:$D,MATCH($A23,Weeks!$A:$A,0)),Tasks!$I:$I,"&lt;&gt;")</f>
        <v>0</v>
      </c>
      <c r="E23">
        <f>COUNTIFS(Tasks!$A:$A,$C23,Tasks!$F:$F,$B23,Tasks!$I:$I,"&gt;"&amp;INDEX(Weeks!$D:$D,MATCH($A23-1,Weeks!$A:$A,0)),Tasks!$I:$I,"&lt;="&amp;INDEX(Weeks!$D:$D,MATCH($A23,Weeks!$A:$A,0)),Tasks!$I:$I,"&lt;&gt;")</f>
        <v>0</v>
      </c>
    </row>
    <row r="24" spans="1:5" ht="15" customHeight="1">
      <c r="A24">
        <v>27</v>
      </c>
      <c r="B24" t="s">
        <v>69</v>
      </c>
      <c r="C24" t="s">
        <v>102</v>
      </c>
      <c r="D24">
        <f>COUNTIFS(Tasks!$A:$A,$C24,Tasks!$F:$F,$B24,Tasks!$G:$G,"&lt;="&amp;INDEX(Weeks!$D:$D,MATCH($A24,Weeks!$A:$A,0)))-COUNTIFS(Tasks!$A:$A,$C24,Tasks!$F:$F,$B24,Tasks!$I:$I,"&lt;="&amp;INDEX(Weeks!$D:$D,MATCH($A24,Weeks!$A:$A,0)),Tasks!$I:$I,"&lt;&gt;")</f>
        <v>0</v>
      </c>
      <c r="E24">
        <f>COUNTIFS(Tasks!$A:$A,$C24,Tasks!$F:$F,$B24,Tasks!$I:$I,"&gt;"&amp;INDEX(Weeks!$D:$D,MATCH($A24-1,Weeks!$A:$A,0)),Tasks!$I:$I,"&lt;="&amp;INDEX(Weeks!$D:$D,MATCH($A24,Weeks!$A:$A,0)),Tasks!$I:$I,"&lt;&gt;")</f>
        <v>0</v>
      </c>
    </row>
    <row r="25" spans="1:5" ht="15" customHeight="1">
      <c r="A25">
        <v>27</v>
      </c>
      <c r="B25" t="s">
        <v>69</v>
      </c>
      <c r="C25" t="s">
        <v>107</v>
      </c>
      <c r="D25">
        <f>COUNTIFS(Tasks!$A:$A,$C25,Tasks!$F:$F,$B25,Tasks!$G:$G,"&lt;="&amp;INDEX(Weeks!$D:$D,MATCH($A25,Weeks!$A:$A,0)))-COUNTIFS(Tasks!$A:$A,$C25,Tasks!$F:$F,$B25,Tasks!$I:$I,"&lt;="&amp;INDEX(Weeks!$D:$D,MATCH($A25,Weeks!$A:$A,0)),Tasks!$I:$I,"&lt;&gt;")</f>
        <v>0</v>
      </c>
      <c r="E25">
        <f>COUNTIFS(Tasks!$A:$A,$C25,Tasks!$F:$F,$B25,Tasks!$I:$I,"&gt;"&amp;INDEX(Weeks!$D:$D,MATCH($A25-1,Weeks!$A:$A,0)),Tasks!$I:$I,"&lt;="&amp;INDEX(Weeks!$D:$D,MATCH($A25,Weeks!$A:$A,0)),Tasks!$I:$I,"&lt;&gt;")</f>
        <v>0</v>
      </c>
    </row>
    <row r="26" spans="1:5" ht="15" customHeight="1">
      <c r="A26">
        <v>28</v>
      </c>
      <c r="B26" t="s">
        <v>61</v>
      </c>
      <c r="C26" t="s">
        <v>93</v>
      </c>
      <c r="D26">
        <f>COUNTIFS(Tasks!$A:$A,$C26,Tasks!$F:$F,$B26,Tasks!$G:$G,"&lt;="&amp;INDEX(Weeks!$D:$D,MATCH($A26,Weeks!$A:$A,0)))-COUNTIFS(Tasks!$A:$A,$C26,Tasks!$F:$F,$B26,Tasks!$I:$I,"&lt;="&amp;INDEX(Weeks!$D:$D,MATCH($A26,Weeks!$A:$A,0)),Tasks!$I:$I,"&lt;&gt;")</f>
        <v>0</v>
      </c>
      <c r="E26">
        <f>COUNTIFS(Tasks!$A:$A,$C26,Tasks!$F:$F,$B26,Tasks!$I:$I,"&gt;"&amp;INDEX(Weeks!$D:$D,MATCH($A26-1,Weeks!$A:$A,0)),Tasks!$I:$I,"&lt;="&amp;INDEX(Weeks!$D:$D,MATCH($A26,Weeks!$A:$A,0)),Tasks!$I:$I,"&lt;&gt;")</f>
        <v>0</v>
      </c>
    </row>
    <row r="27" spans="1:5" ht="15" customHeight="1">
      <c r="A27">
        <v>28</v>
      </c>
      <c r="B27" t="s">
        <v>61</v>
      </c>
      <c r="C27" t="s">
        <v>97</v>
      </c>
      <c r="D27">
        <f>COUNTIFS(Tasks!$A:$A,$C27,Tasks!$F:$F,$B27,Tasks!$G:$G,"&lt;="&amp;INDEX(Weeks!$D:$D,MATCH($A27,Weeks!$A:$A,0)))-COUNTIFS(Tasks!$A:$A,$C27,Tasks!$F:$F,$B27,Tasks!$I:$I,"&lt;="&amp;INDEX(Weeks!$D:$D,MATCH($A27,Weeks!$A:$A,0)),Tasks!$I:$I,"&lt;&gt;")</f>
        <v>0</v>
      </c>
      <c r="E27">
        <f>COUNTIFS(Tasks!$A:$A,$C27,Tasks!$F:$F,$B27,Tasks!$I:$I,"&gt;"&amp;INDEX(Weeks!$D:$D,MATCH($A27-1,Weeks!$A:$A,0)),Tasks!$I:$I,"&lt;="&amp;INDEX(Weeks!$D:$D,MATCH($A27,Weeks!$A:$A,0)),Tasks!$I:$I,"&lt;&gt;")</f>
        <v>0</v>
      </c>
    </row>
    <row r="28" spans="1:5" ht="15" customHeight="1">
      <c r="A28">
        <v>28</v>
      </c>
      <c r="B28" t="s">
        <v>61</v>
      </c>
      <c r="C28" t="s">
        <v>102</v>
      </c>
      <c r="D28">
        <f>COUNTIFS(Tasks!$A:$A,$C28,Tasks!$F:$F,$B28,Tasks!$G:$G,"&lt;="&amp;INDEX(Weeks!$D:$D,MATCH($A28,Weeks!$A:$A,0)))-COUNTIFS(Tasks!$A:$A,$C28,Tasks!$F:$F,$B28,Tasks!$I:$I,"&lt;="&amp;INDEX(Weeks!$D:$D,MATCH($A28,Weeks!$A:$A,0)),Tasks!$I:$I,"&lt;&gt;")</f>
        <v>0</v>
      </c>
      <c r="E28">
        <f>COUNTIFS(Tasks!$A:$A,$C28,Tasks!$F:$F,$B28,Tasks!$I:$I,"&gt;"&amp;INDEX(Weeks!$D:$D,MATCH($A28-1,Weeks!$A:$A,0)),Tasks!$I:$I,"&lt;="&amp;INDEX(Weeks!$D:$D,MATCH($A28,Weeks!$A:$A,0)),Tasks!$I:$I,"&lt;&gt;")</f>
        <v>0</v>
      </c>
    </row>
    <row r="29" spans="1:5" ht="15" customHeight="1">
      <c r="A29">
        <v>28</v>
      </c>
      <c r="B29" t="s">
        <v>61</v>
      </c>
      <c r="C29" t="s">
        <v>107</v>
      </c>
      <c r="D29">
        <f>COUNTIFS(Tasks!$A:$A,$C29,Tasks!$F:$F,$B29,Tasks!$G:$G,"&lt;="&amp;INDEX(Weeks!$D:$D,MATCH($A29,Weeks!$A:$A,0)))-COUNTIFS(Tasks!$A:$A,$C29,Tasks!$F:$F,$B29,Tasks!$I:$I,"&lt;="&amp;INDEX(Weeks!$D:$D,MATCH($A29,Weeks!$A:$A,0)),Tasks!$I:$I,"&lt;&gt;")</f>
        <v>0</v>
      </c>
      <c r="E29">
        <f>COUNTIFS(Tasks!$A:$A,$C29,Tasks!$F:$F,$B29,Tasks!$I:$I,"&gt;"&amp;INDEX(Weeks!$D:$D,MATCH($A29-1,Weeks!$A:$A,0)),Tasks!$I:$I,"&lt;="&amp;INDEX(Weeks!$D:$D,MATCH($A29,Weeks!$A:$A,0)),Tasks!$I:$I,"&lt;&gt;")</f>
        <v>0</v>
      </c>
    </row>
    <row r="30" spans="1:5" ht="15" customHeight="1">
      <c r="A30">
        <v>28</v>
      </c>
      <c r="B30" t="s">
        <v>69</v>
      </c>
      <c r="C30" t="s">
        <v>93</v>
      </c>
      <c r="D30">
        <f>COUNTIFS(Tasks!$A:$A,$C30,Tasks!$F:$F,$B30,Tasks!$G:$G,"&lt;="&amp;INDEX(Weeks!$D:$D,MATCH($A30,Weeks!$A:$A,0)))-COUNTIFS(Tasks!$A:$A,$C30,Tasks!$F:$F,$B30,Tasks!$I:$I,"&lt;="&amp;INDEX(Weeks!$D:$D,MATCH($A30,Weeks!$A:$A,0)),Tasks!$I:$I,"&lt;&gt;")</f>
        <v>0</v>
      </c>
      <c r="E30">
        <f>COUNTIFS(Tasks!$A:$A,$C30,Tasks!$F:$F,$B30,Tasks!$I:$I,"&gt;"&amp;INDEX(Weeks!$D:$D,MATCH($A30-1,Weeks!$A:$A,0)),Tasks!$I:$I,"&lt;="&amp;INDEX(Weeks!$D:$D,MATCH($A30,Weeks!$A:$A,0)),Tasks!$I:$I,"&lt;&gt;")</f>
        <v>0</v>
      </c>
    </row>
    <row r="31" spans="1:5" ht="15" customHeight="1">
      <c r="A31">
        <v>28</v>
      </c>
      <c r="B31" t="s">
        <v>69</v>
      </c>
      <c r="C31" t="s">
        <v>97</v>
      </c>
      <c r="D31">
        <f>COUNTIFS(Tasks!$A:$A,$C31,Tasks!$F:$F,$B31,Tasks!$G:$G,"&lt;="&amp;INDEX(Weeks!$D:$D,MATCH($A31,Weeks!$A:$A,0)))-COUNTIFS(Tasks!$A:$A,$C31,Tasks!$F:$F,$B31,Tasks!$I:$I,"&lt;="&amp;INDEX(Weeks!$D:$D,MATCH($A31,Weeks!$A:$A,0)),Tasks!$I:$I,"&lt;&gt;")</f>
        <v>0</v>
      </c>
      <c r="E31">
        <f>COUNTIFS(Tasks!$A:$A,$C31,Tasks!$F:$F,$B31,Tasks!$I:$I,"&gt;"&amp;INDEX(Weeks!$D:$D,MATCH($A31-1,Weeks!$A:$A,0)),Tasks!$I:$I,"&lt;="&amp;INDEX(Weeks!$D:$D,MATCH($A31,Weeks!$A:$A,0)),Tasks!$I:$I,"&lt;&gt;")</f>
        <v>0</v>
      </c>
    </row>
    <row r="32" spans="1:5" ht="15" customHeight="1">
      <c r="A32">
        <v>28</v>
      </c>
      <c r="B32" t="s">
        <v>69</v>
      </c>
      <c r="C32" t="s">
        <v>102</v>
      </c>
      <c r="D32">
        <f>COUNTIFS(Tasks!$A:$A,$C32,Tasks!$F:$F,$B32,Tasks!$G:$G,"&lt;="&amp;INDEX(Weeks!$D:$D,MATCH($A32,Weeks!$A:$A,0)))-COUNTIFS(Tasks!$A:$A,$C32,Tasks!$F:$F,$B32,Tasks!$I:$I,"&lt;="&amp;INDEX(Weeks!$D:$D,MATCH($A32,Weeks!$A:$A,0)),Tasks!$I:$I,"&lt;&gt;")</f>
        <v>0</v>
      </c>
      <c r="E32">
        <f>COUNTIFS(Tasks!$A:$A,$C32,Tasks!$F:$F,$B32,Tasks!$I:$I,"&gt;"&amp;INDEX(Weeks!$D:$D,MATCH($A32-1,Weeks!$A:$A,0)),Tasks!$I:$I,"&lt;="&amp;INDEX(Weeks!$D:$D,MATCH($A32,Weeks!$A:$A,0)),Tasks!$I:$I,"&lt;&gt;")</f>
        <v>0</v>
      </c>
    </row>
    <row r="33" spans="1:5" ht="15" customHeight="1">
      <c r="A33">
        <v>28</v>
      </c>
      <c r="B33" t="s">
        <v>69</v>
      </c>
      <c r="C33" t="s">
        <v>107</v>
      </c>
      <c r="D33">
        <f>COUNTIFS(Tasks!$A:$A,$C33,Tasks!$F:$F,$B33,Tasks!$G:$G,"&lt;="&amp;INDEX(Weeks!$D:$D,MATCH($A33,Weeks!$A:$A,0)))-COUNTIFS(Tasks!$A:$A,$C33,Tasks!$F:$F,$B33,Tasks!$I:$I,"&lt;="&amp;INDEX(Weeks!$D:$D,MATCH($A33,Weeks!$A:$A,0)),Tasks!$I:$I,"&lt;&gt;")</f>
        <v>0</v>
      </c>
      <c r="E33">
        <f>COUNTIFS(Tasks!$A:$A,$C33,Tasks!$F:$F,$B33,Tasks!$I:$I,"&gt;"&amp;INDEX(Weeks!$D:$D,MATCH($A33-1,Weeks!$A:$A,0)),Tasks!$I:$I,"&lt;="&amp;INDEX(Weeks!$D:$D,MATCH($A33,Weeks!$A:$A,0)),Tasks!$I:$I,"&lt;&gt;")</f>
        <v>0</v>
      </c>
    </row>
    <row r="34" spans="1:5" ht="15" customHeight="1">
      <c r="A34">
        <v>29</v>
      </c>
      <c r="B34" t="s">
        <v>61</v>
      </c>
      <c r="C34" t="s">
        <v>93</v>
      </c>
      <c r="D34">
        <f>COUNTIFS(Tasks!$A:$A,$C34,Tasks!$F:$F,$B34,Tasks!$G:$G,"&lt;="&amp;INDEX(Weeks!$D:$D,MATCH($A34,Weeks!$A:$A,0)))-COUNTIFS(Tasks!$A:$A,$C34,Tasks!$F:$F,$B34,Tasks!$I:$I,"&lt;="&amp;INDEX(Weeks!$D:$D,MATCH($A34,Weeks!$A:$A,0)),Tasks!$I:$I,"&lt;&gt;")</f>
        <v>0</v>
      </c>
      <c r="E34">
        <f>COUNTIFS(Tasks!$A:$A,$C34,Tasks!$F:$F,$B34,Tasks!$I:$I,"&gt;"&amp;INDEX(Weeks!$D:$D,MATCH($A34-1,Weeks!$A:$A,0)),Tasks!$I:$I,"&lt;="&amp;INDEX(Weeks!$D:$D,MATCH($A34,Weeks!$A:$A,0)),Tasks!$I:$I,"&lt;&gt;")</f>
        <v>0</v>
      </c>
    </row>
    <row r="35" spans="1:5" ht="15" customHeight="1">
      <c r="A35">
        <v>29</v>
      </c>
      <c r="B35" t="s">
        <v>61</v>
      </c>
      <c r="C35" t="s">
        <v>97</v>
      </c>
      <c r="D35">
        <f>COUNTIFS(Tasks!$A:$A,$C35,Tasks!$F:$F,$B35,Tasks!$G:$G,"&lt;="&amp;INDEX(Weeks!$D:$D,MATCH($A35,Weeks!$A:$A,0)))-COUNTIFS(Tasks!$A:$A,$C35,Tasks!$F:$F,$B35,Tasks!$I:$I,"&lt;="&amp;INDEX(Weeks!$D:$D,MATCH($A35,Weeks!$A:$A,0)),Tasks!$I:$I,"&lt;&gt;")</f>
        <v>0</v>
      </c>
      <c r="E35">
        <f>COUNTIFS(Tasks!$A:$A,$C35,Tasks!$F:$F,$B35,Tasks!$I:$I,"&gt;"&amp;INDEX(Weeks!$D:$D,MATCH($A35-1,Weeks!$A:$A,0)),Tasks!$I:$I,"&lt;="&amp;INDEX(Weeks!$D:$D,MATCH($A35,Weeks!$A:$A,0)),Tasks!$I:$I,"&lt;&gt;")</f>
        <v>0</v>
      </c>
    </row>
    <row r="36" spans="1:5" ht="15" customHeight="1">
      <c r="A36">
        <v>29</v>
      </c>
      <c r="B36" t="s">
        <v>61</v>
      </c>
      <c r="C36" t="s">
        <v>102</v>
      </c>
      <c r="D36">
        <f>COUNTIFS(Tasks!$A:$A,$C36,Tasks!$F:$F,$B36,Tasks!$G:$G,"&lt;="&amp;INDEX(Weeks!$D:$D,MATCH($A36,Weeks!$A:$A,0)))-COUNTIFS(Tasks!$A:$A,$C36,Tasks!$F:$F,$B36,Tasks!$I:$I,"&lt;="&amp;INDEX(Weeks!$D:$D,MATCH($A36,Weeks!$A:$A,0)),Tasks!$I:$I,"&lt;&gt;")</f>
        <v>0</v>
      </c>
      <c r="E36">
        <f>COUNTIFS(Tasks!$A:$A,$C36,Tasks!$F:$F,$B36,Tasks!$I:$I,"&gt;"&amp;INDEX(Weeks!$D:$D,MATCH($A36-1,Weeks!$A:$A,0)),Tasks!$I:$I,"&lt;="&amp;INDEX(Weeks!$D:$D,MATCH($A36,Weeks!$A:$A,0)),Tasks!$I:$I,"&lt;&gt;")</f>
        <v>0</v>
      </c>
    </row>
    <row r="37" spans="1:5" ht="15" customHeight="1">
      <c r="A37">
        <v>29</v>
      </c>
      <c r="B37" t="s">
        <v>61</v>
      </c>
      <c r="C37" t="s">
        <v>107</v>
      </c>
      <c r="D37">
        <f>COUNTIFS(Tasks!$A:$A,$C37,Tasks!$F:$F,$B37,Tasks!$G:$G,"&lt;="&amp;INDEX(Weeks!$D:$D,MATCH($A37,Weeks!$A:$A,0)))-COUNTIFS(Tasks!$A:$A,$C37,Tasks!$F:$F,$B37,Tasks!$I:$I,"&lt;="&amp;INDEX(Weeks!$D:$D,MATCH($A37,Weeks!$A:$A,0)),Tasks!$I:$I,"&lt;&gt;")</f>
        <v>0</v>
      </c>
      <c r="E37">
        <f>COUNTIFS(Tasks!$A:$A,$C37,Tasks!$F:$F,$B37,Tasks!$I:$I,"&gt;"&amp;INDEX(Weeks!$D:$D,MATCH($A37-1,Weeks!$A:$A,0)),Tasks!$I:$I,"&lt;="&amp;INDEX(Weeks!$D:$D,MATCH($A37,Weeks!$A:$A,0)),Tasks!$I:$I,"&lt;&gt;")</f>
        <v>0</v>
      </c>
    </row>
    <row r="38" spans="1:5" ht="15" customHeight="1">
      <c r="A38">
        <v>29</v>
      </c>
      <c r="B38" t="s">
        <v>69</v>
      </c>
      <c r="C38" t="s">
        <v>93</v>
      </c>
      <c r="D38">
        <f>COUNTIFS(Tasks!$A:$A,$C38,Tasks!$F:$F,$B38,Tasks!$G:$G,"&lt;="&amp;INDEX(Weeks!$D:$D,MATCH($A38,Weeks!$A:$A,0)))-COUNTIFS(Tasks!$A:$A,$C38,Tasks!$F:$F,$B38,Tasks!$I:$I,"&lt;="&amp;INDEX(Weeks!$D:$D,MATCH($A38,Weeks!$A:$A,0)),Tasks!$I:$I,"&lt;&gt;")</f>
        <v>0</v>
      </c>
      <c r="E38">
        <f>COUNTIFS(Tasks!$A:$A,$C38,Tasks!$F:$F,$B38,Tasks!$I:$I,"&gt;"&amp;INDEX(Weeks!$D:$D,MATCH($A38-1,Weeks!$A:$A,0)),Tasks!$I:$I,"&lt;="&amp;INDEX(Weeks!$D:$D,MATCH($A38,Weeks!$A:$A,0)),Tasks!$I:$I,"&lt;&gt;")</f>
        <v>0</v>
      </c>
    </row>
    <row r="39" spans="1:5" ht="15" customHeight="1">
      <c r="A39">
        <v>29</v>
      </c>
      <c r="B39" t="s">
        <v>69</v>
      </c>
      <c r="C39" t="s">
        <v>97</v>
      </c>
      <c r="D39">
        <f>COUNTIFS(Tasks!$A:$A,$C39,Tasks!$F:$F,$B39,Tasks!$G:$G,"&lt;="&amp;INDEX(Weeks!$D:$D,MATCH($A39,Weeks!$A:$A,0)))-COUNTIFS(Tasks!$A:$A,$C39,Tasks!$F:$F,$B39,Tasks!$I:$I,"&lt;="&amp;INDEX(Weeks!$D:$D,MATCH($A39,Weeks!$A:$A,0)),Tasks!$I:$I,"&lt;&gt;")</f>
        <v>0</v>
      </c>
      <c r="E39">
        <f>COUNTIFS(Tasks!$A:$A,$C39,Tasks!$F:$F,$B39,Tasks!$I:$I,"&gt;"&amp;INDEX(Weeks!$D:$D,MATCH($A39-1,Weeks!$A:$A,0)),Tasks!$I:$I,"&lt;="&amp;INDEX(Weeks!$D:$D,MATCH($A39,Weeks!$A:$A,0)),Tasks!$I:$I,"&lt;&gt;")</f>
        <v>0</v>
      </c>
    </row>
    <row r="40" spans="1:5" ht="15" customHeight="1">
      <c r="A40">
        <v>29</v>
      </c>
      <c r="B40" t="s">
        <v>69</v>
      </c>
      <c r="C40" t="s">
        <v>102</v>
      </c>
      <c r="D40">
        <f>COUNTIFS(Tasks!$A:$A,$C40,Tasks!$F:$F,$B40,Tasks!$G:$G,"&lt;="&amp;INDEX(Weeks!$D:$D,MATCH($A40,Weeks!$A:$A,0)))-COUNTIFS(Tasks!$A:$A,$C40,Tasks!$F:$F,$B40,Tasks!$I:$I,"&lt;="&amp;INDEX(Weeks!$D:$D,MATCH($A40,Weeks!$A:$A,0)),Tasks!$I:$I,"&lt;&gt;")</f>
        <v>0</v>
      </c>
      <c r="E40">
        <f>COUNTIFS(Tasks!$A:$A,$C40,Tasks!$F:$F,$B40,Tasks!$I:$I,"&gt;"&amp;INDEX(Weeks!$D:$D,MATCH($A40-1,Weeks!$A:$A,0)),Tasks!$I:$I,"&lt;="&amp;INDEX(Weeks!$D:$D,MATCH($A40,Weeks!$A:$A,0)),Tasks!$I:$I,"&lt;&gt;")</f>
        <v>0</v>
      </c>
    </row>
    <row r="41" spans="1:5" ht="15" customHeight="1">
      <c r="A41">
        <v>29</v>
      </c>
      <c r="B41" t="s">
        <v>69</v>
      </c>
      <c r="C41" t="s">
        <v>107</v>
      </c>
      <c r="D41">
        <f>COUNTIFS(Tasks!$A:$A,$C41,Tasks!$F:$F,$B41,Tasks!$G:$G,"&lt;="&amp;INDEX(Weeks!$D:$D,MATCH($A41,Weeks!$A:$A,0)))-COUNTIFS(Tasks!$A:$A,$C41,Tasks!$F:$F,$B41,Tasks!$I:$I,"&lt;="&amp;INDEX(Weeks!$D:$D,MATCH($A41,Weeks!$A:$A,0)),Tasks!$I:$I,"&lt;&gt;")</f>
        <v>0</v>
      </c>
      <c r="E41">
        <f>COUNTIFS(Tasks!$A:$A,$C41,Tasks!$F:$F,$B41,Tasks!$I:$I,"&gt;"&amp;INDEX(Weeks!$D:$D,MATCH($A41-1,Weeks!$A:$A,0)),Tasks!$I:$I,"&lt;="&amp;INDEX(Weeks!$D:$D,MATCH($A41,Weeks!$A:$A,0)),Tasks!$I:$I,"&lt;&gt;")</f>
        <v>0</v>
      </c>
    </row>
    <row r="42" spans="1:5" ht="15" customHeight="1">
      <c r="A42">
        <v>30</v>
      </c>
      <c r="B42" t="s">
        <v>61</v>
      </c>
      <c r="C42" t="s">
        <v>93</v>
      </c>
      <c r="D42">
        <f>COUNTIFS(Tasks!$A:$A,$C42,Tasks!$F:$F,$B42,Tasks!$G:$G,"&lt;="&amp;INDEX(Weeks!$D:$D,MATCH($A42,Weeks!$A:$A,0)))-COUNTIFS(Tasks!$A:$A,$C42,Tasks!$F:$F,$B42,Tasks!$I:$I,"&lt;="&amp;INDEX(Weeks!$D:$D,MATCH($A42,Weeks!$A:$A,0)),Tasks!$I:$I,"&lt;&gt;")</f>
        <v>0</v>
      </c>
      <c r="E42">
        <f>COUNTIFS(Tasks!$A:$A,$C42,Tasks!$F:$F,$B42,Tasks!$I:$I,"&gt;"&amp;INDEX(Weeks!$D:$D,MATCH($A42-1,Weeks!$A:$A,0)),Tasks!$I:$I,"&lt;="&amp;INDEX(Weeks!$D:$D,MATCH($A42,Weeks!$A:$A,0)),Tasks!$I:$I,"&lt;&gt;")</f>
        <v>0</v>
      </c>
    </row>
    <row r="43" spans="1:5" ht="15" customHeight="1">
      <c r="A43">
        <v>30</v>
      </c>
      <c r="B43" t="s">
        <v>61</v>
      </c>
      <c r="C43" t="s">
        <v>97</v>
      </c>
      <c r="D43">
        <f>COUNTIFS(Tasks!$A:$A,$C43,Tasks!$F:$F,$B43,Tasks!$G:$G,"&lt;="&amp;INDEX(Weeks!$D:$D,MATCH($A43,Weeks!$A:$A,0)))-COUNTIFS(Tasks!$A:$A,$C43,Tasks!$F:$F,$B43,Tasks!$I:$I,"&lt;="&amp;INDEX(Weeks!$D:$D,MATCH($A43,Weeks!$A:$A,0)),Tasks!$I:$I,"&lt;&gt;")</f>
        <v>0</v>
      </c>
      <c r="E43">
        <f>COUNTIFS(Tasks!$A:$A,$C43,Tasks!$F:$F,$B43,Tasks!$I:$I,"&gt;"&amp;INDEX(Weeks!$D:$D,MATCH($A43-1,Weeks!$A:$A,0)),Tasks!$I:$I,"&lt;="&amp;INDEX(Weeks!$D:$D,MATCH($A43,Weeks!$A:$A,0)),Tasks!$I:$I,"&lt;&gt;")</f>
        <v>0</v>
      </c>
    </row>
    <row r="44" spans="1:5" ht="15" customHeight="1">
      <c r="A44">
        <v>30</v>
      </c>
      <c r="B44" t="s">
        <v>61</v>
      </c>
      <c r="C44" t="s">
        <v>102</v>
      </c>
      <c r="D44">
        <f>COUNTIFS(Tasks!$A:$A,$C44,Tasks!$F:$F,$B44,Tasks!$G:$G,"&lt;="&amp;INDEX(Weeks!$D:$D,MATCH($A44,Weeks!$A:$A,0)))-COUNTIFS(Tasks!$A:$A,$C44,Tasks!$F:$F,$B44,Tasks!$I:$I,"&lt;="&amp;INDEX(Weeks!$D:$D,MATCH($A44,Weeks!$A:$A,0)),Tasks!$I:$I,"&lt;&gt;")</f>
        <v>0</v>
      </c>
      <c r="E44">
        <f>COUNTIFS(Tasks!$A:$A,$C44,Tasks!$F:$F,$B44,Tasks!$I:$I,"&gt;"&amp;INDEX(Weeks!$D:$D,MATCH($A44-1,Weeks!$A:$A,0)),Tasks!$I:$I,"&lt;="&amp;INDEX(Weeks!$D:$D,MATCH($A44,Weeks!$A:$A,0)),Tasks!$I:$I,"&lt;&gt;")</f>
        <v>0</v>
      </c>
    </row>
    <row r="45" spans="1:5" ht="15" customHeight="1">
      <c r="A45">
        <v>30</v>
      </c>
      <c r="B45" t="s">
        <v>61</v>
      </c>
      <c r="C45" t="s">
        <v>107</v>
      </c>
      <c r="D45">
        <f>COUNTIFS(Tasks!$A:$A,$C45,Tasks!$F:$F,$B45,Tasks!$G:$G,"&lt;="&amp;INDEX(Weeks!$D:$D,MATCH($A45,Weeks!$A:$A,0)))-COUNTIFS(Tasks!$A:$A,$C45,Tasks!$F:$F,$B45,Tasks!$I:$I,"&lt;="&amp;INDEX(Weeks!$D:$D,MATCH($A45,Weeks!$A:$A,0)),Tasks!$I:$I,"&lt;&gt;")</f>
        <v>0</v>
      </c>
      <c r="E45">
        <f>COUNTIFS(Tasks!$A:$A,$C45,Tasks!$F:$F,$B45,Tasks!$I:$I,"&gt;"&amp;INDEX(Weeks!$D:$D,MATCH($A45-1,Weeks!$A:$A,0)),Tasks!$I:$I,"&lt;="&amp;INDEX(Weeks!$D:$D,MATCH($A45,Weeks!$A:$A,0)),Tasks!$I:$I,"&lt;&gt;")</f>
        <v>0</v>
      </c>
    </row>
    <row r="46" spans="1:5" ht="15" customHeight="1">
      <c r="A46">
        <v>30</v>
      </c>
      <c r="B46" t="s">
        <v>69</v>
      </c>
      <c r="C46" t="s">
        <v>93</v>
      </c>
      <c r="D46">
        <f>COUNTIFS(Tasks!$A:$A,$C46,Tasks!$F:$F,$B46,Tasks!$G:$G,"&lt;="&amp;INDEX(Weeks!$D:$D,MATCH($A46,Weeks!$A:$A,0)))-COUNTIFS(Tasks!$A:$A,$C46,Tasks!$F:$F,$B46,Tasks!$I:$I,"&lt;="&amp;INDEX(Weeks!$D:$D,MATCH($A46,Weeks!$A:$A,0)),Tasks!$I:$I,"&lt;&gt;")</f>
        <v>0</v>
      </c>
      <c r="E46">
        <f>COUNTIFS(Tasks!$A:$A,$C46,Tasks!$F:$F,$B46,Tasks!$I:$I,"&gt;"&amp;INDEX(Weeks!$D:$D,MATCH($A46-1,Weeks!$A:$A,0)),Tasks!$I:$I,"&lt;="&amp;INDEX(Weeks!$D:$D,MATCH($A46,Weeks!$A:$A,0)),Tasks!$I:$I,"&lt;&gt;")</f>
        <v>0</v>
      </c>
    </row>
    <row r="47" spans="1:5" ht="15" customHeight="1">
      <c r="A47">
        <v>30</v>
      </c>
      <c r="B47" t="s">
        <v>69</v>
      </c>
      <c r="C47" t="s">
        <v>97</v>
      </c>
      <c r="D47">
        <f>COUNTIFS(Tasks!$A:$A,$C47,Tasks!$F:$F,$B47,Tasks!$G:$G,"&lt;="&amp;INDEX(Weeks!$D:$D,MATCH($A47,Weeks!$A:$A,0)))-COUNTIFS(Tasks!$A:$A,$C47,Tasks!$F:$F,$B47,Tasks!$I:$I,"&lt;="&amp;INDEX(Weeks!$D:$D,MATCH($A47,Weeks!$A:$A,0)),Tasks!$I:$I,"&lt;&gt;")</f>
        <v>0</v>
      </c>
      <c r="E47">
        <f>COUNTIFS(Tasks!$A:$A,$C47,Tasks!$F:$F,$B47,Tasks!$I:$I,"&gt;"&amp;INDEX(Weeks!$D:$D,MATCH($A47-1,Weeks!$A:$A,0)),Tasks!$I:$I,"&lt;="&amp;INDEX(Weeks!$D:$D,MATCH($A47,Weeks!$A:$A,0)),Tasks!$I:$I,"&lt;&gt;")</f>
        <v>0</v>
      </c>
    </row>
    <row r="48" spans="1:5" ht="15" customHeight="1">
      <c r="A48">
        <v>30</v>
      </c>
      <c r="B48" t="s">
        <v>69</v>
      </c>
      <c r="C48" t="s">
        <v>102</v>
      </c>
      <c r="D48">
        <f>COUNTIFS(Tasks!$A:$A,$C48,Tasks!$F:$F,$B48,Tasks!$G:$G,"&lt;="&amp;INDEX(Weeks!$D:$D,MATCH($A48,Weeks!$A:$A,0)))-COUNTIFS(Tasks!$A:$A,$C48,Tasks!$F:$F,$B48,Tasks!$I:$I,"&lt;="&amp;INDEX(Weeks!$D:$D,MATCH($A48,Weeks!$A:$A,0)),Tasks!$I:$I,"&lt;&gt;")</f>
        <v>0</v>
      </c>
      <c r="E48">
        <f>COUNTIFS(Tasks!$A:$A,$C48,Tasks!$F:$F,$B48,Tasks!$I:$I,"&gt;"&amp;INDEX(Weeks!$D:$D,MATCH($A48-1,Weeks!$A:$A,0)),Tasks!$I:$I,"&lt;="&amp;INDEX(Weeks!$D:$D,MATCH($A48,Weeks!$A:$A,0)),Tasks!$I:$I,"&lt;&gt;")</f>
        <v>0</v>
      </c>
    </row>
    <row r="49" spans="1:5" ht="15" customHeight="1">
      <c r="A49">
        <v>30</v>
      </c>
      <c r="B49" t="s">
        <v>69</v>
      </c>
      <c r="C49" t="s">
        <v>107</v>
      </c>
      <c r="D49">
        <f>COUNTIFS(Tasks!$A:$A,$C49,Tasks!$F:$F,$B49,Tasks!$G:$G,"&lt;="&amp;INDEX(Weeks!$D:$D,MATCH($A49,Weeks!$A:$A,0)))-COUNTIFS(Tasks!$A:$A,$C49,Tasks!$F:$F,$B49,Tasks!$I:$I,"&lt;="&amp;INDEX(Weeks!$D:$D,MATCH($A49,Weeks!$A:$A,0)),Tasks!$I:$I,"&lt;&gt;")</f>
        <v>0</v>
      </c>
      <c r="E49">
        <f>COUNTIFS(Tasks!$A:$A,$C49,Tasks!$F:$F,$B49,Tasks!$I:$I,"&gt;"&amp;INDEX(Weeks!$D:$D,MATCH($A49-1,Weeks!$A:$A,0)),Tasks!$I:$I,"&lt;="&amp;INDEX(Weeks!$D:$D,MATCH($A49,Weeks!$A:$A,0)),Tasks!$I:$I,"&lt;&gt;")</f>
        <v>0</v>
      </c>
    </row>
    <row r="50" spans="1:5" ht="15" customHeight="1">
      <c r="A50">
        <v>31</v>
      </c>
      <c r="B50" t="s">
        <v>61</v>
      </c>
      <c r="C50" t="s">
        <v>93</v>
      </c>
      <c r="D50">
        <f>COUNTIFS(Tasks!$A:$A,$C50,Tasks!$F:$F,$B50,Tasks!$G:$G,"&lt;="&amp;INDEX(Weeks!$D:$D,MATCH($A50,Weeks!$A:$A,0)))-COUNTIFS(Tasks!$A:$A,$C50,Tasks!$F:$F,$B50,Tasks!$I:$I,"&lt;="&amp;INDEX(Weeks!$D:$D,MATCH($A50,Weeks!$A:$A,0)),Tasks!$I:$I,"&lt;&gt;")</f>
        <v>0</v>
      </c>
      <c r="E50">
        <f>COUNTIFS(Tasks!$A:$A,$C50,Tasks!$F:$F,$B50,Tasks!$I:$I,"&gt;"&amp;INDEX(Weeks!$D:$D,MATCH($A50-1,Weeks!$A:$A,0)),Tasks!$I:$I,"&lt;="&amp;INDEX(Weeks!$D:$D,MATCH($A50,Weeks!$A:$A,0)),Tasks!$I:$I,"&lt;&gt;")</f>
        <v>0</v>
      </c>
    </row>
    <row r="51" spans="1:5" ht="15" customHeight="1">
      <c r="A51">
        <v>31</v>
      </c>
      <c r="B51" t="s">
        <v>61</v>
      </c>
      <c r="C51" t="s">
        <v>97</v>
      </c>
      <c r="D51">
        <f>COUNTIFS(Tasks!$A:$A,$C51,Tasks!$F:$F,$B51,Tasks!$G:$G,"&lt;="&amp;INDEX(Weeks!$D:$D,MATCH($A51,Weeks!$A:$A,0)))-COUNTIFS(Tasks!$A:$A,$C51,Tasks!$F:$F,$B51,Tasks!$I:$I,"&lt;="&amp;INDEX(Weeks!$D:$D,MATCH($A51,Weeks!$A:$A,0)),Tasks!$I:$I,"&lt;&gt;")</f>
        <v>0</v>
      </c>
      <c r="E51">
        <f>COUNTIFS(Tasks!$A:$A,$C51,Tasks!$F:$F,$B51,Tasks!$I:$I,"&gt;"&amp;INDEX(Weeks!$D:$D,MATCH($A51-1,Weeks!$A:$A,0)),Tasks!$I:$I,"&lt;="&amp;INDEX(Weeks!$D:$D,MATCH($A51,Weeks!$A:$A,0)),Tasks!$I:$I,"&lt;&gt;")</f>
        <v>0</v>
      </c>
    </row>
    <row r="52" spans="1:5" ht="15" customHeight="1">
      <c r="A52">
        <v>31</v>
      </c>
      <c r="B52" t="s">
        <v>61</v>
      </c>
      <c r="C52" t="s">
        <v>102</v>
      </c>
      <c r="D52">
        <f>COUNTIFS(Tasks!$A:$A,$C52,Tasks!$F:$F,$B52,Tasks!$G:$G,"&lt;="&amp;INDEX(Weeks!$D:$D,MATCH($A52,Weeks!$A:$A,0)))-COUNTIFS(Tasks!$A:$A,$C52,Tasks!$F:$F,$B52,Tasks!$I:$I,"&lt;="&amp;INDEX(Weeks!$D:$D,MATCH($A52,Weeks!$A:$A,0)),Tasks!$I:$I,"&lt;&gt;")</f>
        <v>0</v>
      </c>
      <c r="E52">
        <f>COUNTIFS(Tasks!$A:$A,$C52,Tasks!$F:$F,$B52,Tasks!$I:$I,"&gt;"&amp;INDEX(Weeks!$D:$D,MATCH($A52-1,Weeks!$A:$A,0)),Tasks!$I:$I,"&lt;="&amp;INDEX(Weeks!$D:$D,MATCH($A52,Weeks!$A:$A,0)),Tasks!$I:$I,"&lt;&gt;")</f>
        <v>0</v>
      </c>
    </row>
    <row r="53" spans="1:5" ht="15" customHeight="1">
      <c r="A53">
        <v>31</v>
      </c>
      <c r="B53" t="s">
        <v>61</v>
      </c>
      <c r="C53" t="s">
        <v>107</v>
      </c>
      <c r="D53">
        <f>COUNTIFS(Tasks!$A:$A,$C53,Tasks!$F:$F,$B53,Tasks!$G:$G,"&lt;="&amp;INDEX(Weeks!$D:$D,MATCH($A53,Weeks!$A:$A,0)))-COUNTIFS(Tasks!$A:$A,$C53,Tasks!$F:$F,$B53,Tasks!$I:$I,"&lt;="&amp;INDEX(Weeks!$D:$D,MATCH($A53,Weeks!$A:$A,0)),Tasks!$I:$I,"&lt;&gt;")</f>
        <v>0</v>
      </c>
      <c r="E53">
        <f>COUNTIFS(Tasks!$A:$A,$C53,Tasks!$F:$F,$B53,Tasks!$I:$I,"&gt;"&amp;INDEX(Weeks!$D:$D,MATCH($A53-1,Weeks!$A:$A,0)),Tasks!$I:$I,"&lt;="&amp;INDEX(Weeks!$D:$D,MATCH($A53,Weeks!$A:$A,0)),Tasks!$I:$I,"&lt;&gt;")</f>
        <v>0</v>
      </c>
    </row>
    <row r="54" spans="1:5" ht="15" customHeight="1">
      <c r="A54">
        <v>31</v>
      </c>
      <c r="B54" t="s">
        <v>69</v>
      </c>
      <c r="C54" t="s">
        <v>93</v>
      </c>
      <c r="D54">
        <f>COUNTIFS(Tasks!$A:$A,$C54,Tasks!$F:$F,$B54,Tasks!$G:$G,"&lt;="&amp;INDEX(Weeks!$D:$D,MATCH($A54,Weeks!$A:$A,0)))-COUNTIFS(Tasks!$A:$A,$C54,Tasks!$F:$F,$B54,Tasks!$I:$I,"&lt;="&amp;INDEX(Weeks!$D:$D,MATCH($A54,Weeks!$A:$A,0)),Tasks!$I:$I,"&lt;&gt;")</f>
        <v>0</v>
      </c>
      <c r="E54">
        <f>COUNTIFS(Tasks!$A:$A,$C54,Tasks!$F:$F,$B54,Tasks!$I:$I,"&gt;"&amp;INDEX(Weeks!$D:$D,MATCH($A54-1,Weeks!$A:$A,0)),Tasks!$I:$I,"&lt;="&amp;INDEX(Weeks!$D:$D,MATCH($A54,Weeks!$A:$A,0)),Tasks!$I:$I,"&lt;&gt;")</f>
        <v>0</v>
      </c>
    </row>
    <row r="55" spans="1:5" ht="15" customHeight="1">
      <c r="A55">
        <v>31</v>
      </c>
      <c r="B55" t="s">
        <v>69</v>
      </c>
      <c r="C55" t="s">
        <v>97</v>
      </c>
      <c r="D55">
        <f>COUNTIFS(Tasks!$A:$A,$C55,Tasks!$F:$F,$B55,Tasks!$G:$G,"&lt;="&amp;INDEX(Weeks!$D:$D,MATCH($A55,Weeks!$A:$A,0)))-COUNTIFS(Tasks!$A:$A,$C55,Tasks!$F:$F,$B55,Tasks!$I:$I,"&lt;="&amp;INDEX(Weeks!$D:$D,MATCH($A55,Weeks!$A:$A,0)),Tasks!$I:$I,"&lt;&gt;")</f>
        <v>0</v>
      </c>
      <c r="E55">
        <f>COUNTIFS(Tasks!$A:$A,$C55,Tasks!$F:$F,$B55,Tasks!$I:$I,"&gt;"&amp;INDEX(Weeks!$D:$D,MATCH($A55-1,Weeks!$A:$A,0)),Tasks!$I:$I,"&lt;="&amp;INDEX(Weeks!$D:$D,MATCH($A55,Weeks!$A:$A,0)),Tasks!$I:$I,"&lt;&gt;")</f>
        <v>0</v>
      </c>
    </row>
    <row r="56" spans="1:5" ht="15" customHeight="1">
      <c r="A56">
        <v>31</v>
      </c>
      <c r="B56" t="s">
        <v>69</v>
      </c>
      <c r="C56" t="s">
        <v>102</v>
      </c>
      <c r="D56">
        <f>COUNTIFS(Tasks!$A:$A,$C56,Tasks!$F:$F,$B56,Tasks!$G:$G,"&lt;="&amp;INDEX(Weeks!$D:$D,MATCH($A56,Weeks!$A:$A,0)))-COUNTIFS(Tasks!$A:$A,$C56,Tasks!$F:$F,$B56,Tasks!$I:$I,"&lt;="&amp;INDEX(Weeks!$D:$D,MATCH($A56,Weeks!$A:$A,0)),Tasks!$I:$I,"&lt;&gt;")</f>
        <v>0</v>
      </c>
      <c r="E56">
        <f>COUNTIFS(Tasks!$A:$A,$C56,Tasks!$F:$F,$B56,Tasks!$I:$I,"&gt;"&amp;INDEX(Weeks!$D:$D,MATCH($A56-1,Weeks!$A:$A,0)),Tasks!$I:$I,"&lt;="&amp;INDEX(Weeks!$D:$D,MATCH($A56,Weeks!$A:$A,0)),Tasks!$I:$I,"&lt;&gt;")</f>
        <v>0</v>
      </c>
    </row>
    <row r="57" spans="1:5" ht="15" customHeight="1">
      <c r="A57">
        <v>31</v>
      </c>
      <c r="B57" t="s">
        <v>69</v>
      </c>
      <c r="C57" t="s">
        <v>107</v>
      </c>
      <c r="D57">
        <f>COUNTIFS(Tasks!$A:$A,$C57,Tasks!$F:$F,$B57,Tasks!$G:$G,"&lt;="&amp;INDEX(Weeks!$D:$D,MATCH($A57,Weeks!$A:$A,0)))-COUNTIFS(Tasks!$A:$A,$C57,Tasks!$F:$F,$B57,Tasks!$I:$I,"&lt;="&amp;INDEX(Weeks!$D:$D,MATCH($A57,Weeks!$A:$A,0)),Tasks!$I:$I,"&lt;&gt;")</f>
        <v>0</v>
      </c>
      <c r="E57">
        <f>COUNTIFS(Tasks!$A:$A,$C57,Tasks!$F:$F,$B57,Tasks!$I:$I,"&gt;"&amp;INDEX(Weeks!$D:$D,MATCH($A57-1,Weeks!$A:$A,0)),Tasks!$I:$I,"&lt;="&amp;INDEX(Weeks!$D:$D,MATCH($A57,Weeks!$A:$A,0)),Tasks!$I:$I,"&lt;&gt;")</f>
        <v>0</v>
      </c>
    </row>
    <row r="58" spans="1:5" ht="15" customHeight="1">
      <c r="A58">
        <v>32</v>
      </c>
      <c r="B58" t="s">
        <v>61</v>
      </c>
      <c r="C58" t="s">
        <v>93</v>
      </c>
      <c r="D58">
        <f>COUNTIFS(Tasks!$A:$A,$C58,Tasks!$F:$F,$B58,Tasks!$G:$G,"&lt;="&amp;INDEX(Weeks!$D:$D,MATCH($A58,Weeks!$A:$A,0)))-COUNTIFS(Tasks!$A:$A,$C58,Tasks!$F:$F,$B58,Tasks!$I:$I,"&lt;="&amp;INDEX(Weeks!$D:$D,MATCH($A58,Weeks!$A:$A,0)),Tasks!$I:$I,"&lt;&gt;")</f>
        <v>0</v>
      </c>
      <c r="E58">
        <f>COUNTIFS(Tasks!$A:$A,$C58,Tasks!$F:$F,$B58,Tasks!$I:$I,"&gt;"&amp;INDEX(Weeks!$D:$D,MATCH($A58-1,Weeks!$A:$A,0)),Tasks!$I:$I,"&lt;="&amp;INDEX(Weeks!$D:$D,MATCH($A58,Weeks!$A:$A,0)),Tasks!$I:$I,"&lt;&gt;")</f>
        <v>0</v>
      </c>
    </row>
    <row r="59" spans="1:5" ht="15" customHeight="1">
      <c r="A59">
        <v>32</v>
      </c>
      <c r="B59" t="s">
        <v>61</v>
      </c>
      <c r="C59" t="s">
        <v>97</v>
      </c>
      <c r="D59">
        <f>COUNTIFS(Tasks!$A:$A,$C59,Tasks!$F:$F,$B59,Tasks!$G:$G,"&lt;="&amp;INDEX(Weeks!$D:$D,MATCH($A59,Weeks!$A:$A,0)))-COUNTIFS(Tasks!$A:$A,$C59,Tasks!$F:$F,$B59,Tasks!$I:$I,"&lt;="&amp;INDEX(Weeks!$D:$D,MATCH($A59,Weeks!$A:$A,0)),Tasks!$I:$I,"&lt;&gt;")</f>
        <v>0</v>
      </c>
      <c r="E59">
        <f>COUNTIFS(Tasks!$A:$A,$C59,Tasks!$F:$F,$B59,Tasks!$I:$I,"&gt;"&amp;INDEX(Weeks!$D:$D,MATCH($A59-1,Weeks!$A:$A,0)),Tasks!$I:$I,"&lt;="&amp;INDEX(Weeks!$D:$D,MATCH($A59,Weeks!$A:$A,0)),Tasks!$I:$I,"&lt;&gt;")</f>
        <v>0</v>
      </c>
    </row>
    <row r="60" spans="1:5" ht="15" customHeight="1">
      <c r="A60">
        <v>32</v>
      </c>
      <c r="B60" t="s">
        <v>61</v>
      </c>
      <c r="C60" t="s">
        <v>102</v>
      </c>
      <c r="D60">
        <f>COUNTIFS(Tasks!$A:$A,$C60,Tasks!$F:$F,$B60,Tasks!$G:$G,"&lt;="&amp;INDEX(Weeks!$D:$D,MATCH($A60,Weeks!$A:$A,0)))-COUNTIFS(Tasks!$A:$A,$C60,Tasks!$F:$F,$B60,Tasks!$I:$I,"&lt;="&amp;INDEX(Weeks!$D:$D,MATCH($A60,Weeks!$A:$A,0)),Tasks!$I:$I,"&lt;&gt;")</f>
        <v>0</v>
      </c>
      <c r="E60">
        <f>COUNTIFS(Tasks!$A:$A,$C60,Tasks!$F:$F,$B60,Tasks!$I:$I,"&gt;"&amp;INDEX(Weeks!$D:$D,MATCH($A60-1,Weeks!$A:$A,0)),Tasks!$I:$I,"&lt;="&amp;INDEX(Weeks!$D:$D,MATCH($A60,Weeks!$A:$A,0)),Tasks!$I:$I,"&lt;&gt;")</f>
        <v>0</v>
      </c>
    </row>
    <row r="61" spans="1:5" ht="15" customHeight="1">
      <c r="A61">
        <v>32</v>
      </c>
      <c r="B61" t="s">
        <v>61</v>
      </c>
      <c r="C61" t="s">
        <v>107</v>
      </c>
      <c r="D61">
        <f>COUNTIFS(Tasks!$A:$A,$C61,Tasks!$F:$F,$B61,Tasks!$G:$G,"&lt;="&amp;INDEX(Weeks!$D:$D,MATCH($A61,Weeks!$A:$A,0)))-COUNTIFS(Tasks!$A:$A,$C61,Tasks!$F:$F,$B61,Tasks!$I:$I,"&lt;="&amp;INDEX(Weeks!$D:$D,MATCH($A61,Weeks!$A:$A,0)),Tasks!$I:$I,"&lt;&gt;")</f>
        <v>0</v>
      </c>
      <c r="E61">
        <f>COUNTIFS(Tasks!$A:$A,$C61,Tasks!$F:$F,$B61,Tasks!$I:$I,"&gt;"&amp;INDEX(Weeks!$D:$D,MATCH($A61-1,Weeks!$A:$A,0)),Tasks!$I:$I,"&lt;="&amp;INDEX(Weeks!$D:$D,MATCH($A61,Weeks!$A:$A,0)),Tasks!$I:$I,"&lt;&gt;")</f>
        <v>0</v>
      </c>
    </row>
    <row r="62" spans="1:5" ht="15" customHeight="1">
      <c r="A62">
        <v>32</v>
      </c>
      <c r="B62" t="s">
        <v>69</v>
      </c>
      <c r="C62" t="s">
        <v>93</v>
      </c>
      <c r="D62">
        <f>COUNTIFS(Tasks!$A:$A,$C62,Tasks!$F:$F,$B62,Tasks!$G:$G,"&lt;="&amp;INDEX(Weeks!$D:$D,MATCH($A62,Weeks!$A:$A,0)))-COUNTIFS(Tasks!$A:$A,$C62,Tasks!$F:$F,$B62,Tasks!$I:$I,"&lt;="&amp;INDEX(Weeks!$D:$D,MATCH($A62,Weeks!$A:$A,0)),Tasks!$I:$I,"&lt;&gt;")</f>
        <v>0</v>
      </c>
      <c r="E62">
        <f>COUNTIFS(Tasks!$A:$A,$C62,Tasks!$F:$F,$B62,Tasks!$I:$I,"&gt;"&amp;INDEX(Weeks!$D:$D,MATCH($A62-1,Weeks!$A:$A,0)),Tasks!$I:$I,"&lt;="&amp;INDEX(Weeks!$D:$D,MATCH($A62,Weeks!$A:$A,0)),Tasks!$I:$I,"&lt;&gt;")</f>
        <v>0</v>
      </c>
    </row>
    <row r="63" spans="1:5" ht="15" customHeight="1">
      <c r="A63">
        <v>32</v>
      </c>
      <c r="B63" t="s">
        <v>69</v>
      </c>
      <c r="C63" t="s">
        <v>97</v>
      </c>
      <c r="D63">
        <f>COUNTIFS(Tasks!$A:$A,$C63,Tasks!$F:$F,$B63,Tasks!$G:$G,"&lt;="&amp;INDEX(Weeks!$D:$D,MATCH($A63,Weeks!$A:$A,0)))-COUNTIFS(Tasks!$A:$A,$C63,Tasks!$F:$F,$B63,Tasks!$I:$I,"&lt;="&amp;INDEX(Weeks!$D:$D,MATCH($A63,Weeks!$A:$A,0)),Tasks!$I:$I,"&lt;&gt;")</f>
        <v>0</v>
      </c>
      <c r="E63">
        <f>COUNTIFS(Tasks!$A:$A,$C63,Tasks!$F:$F,$B63,Tasks!$I:$I,"&gt;"&amp;INDEX(Weeks!$D:$D,MATCH($A63-1,Weeks!$A:$A,0)),Tasks!$I:$I,"&lt;="&amp;INDEX(Weeks!$D:$D,MATCH($A63,Weeks!$A:$A,0)),Tasks!$I:$I,"&lt;&gt;")</f>
        <v>0</v>
      </c>
    </row>
    <row r="64" spans="1:5" ht="15" customHeight="1">
      <c r="A64">
        <v>32</v>
      </c>
      <c r="B64" t="s">
        <v>69</v>
      </c>
      <c r="C64" t="s">
        <v>102</v>
      </c>
      <c r="D64">
        <f>COUNTIFS(Tasks!$A:$A,$C64,Tasks!$F:$F,$B64,Tasks!$G:$G,"&lt;="&amp;INDEX(Weeks!$D:$D,MATCH($A64,Weeks!$A:$A,0)))-COUNTIFS(Tasks!$A:$A,$C64,Tasks!$F:$F,$B64,Tasks!$I:$I,"&lt;="&amp;INDEX(Weeks!$D:$D,MATCH($A64,Weeks!$A:$A,0)),Tasks!$I:$I,"&lt;&gt;")</f>
        <v>0</v>
      </c>
      <c r="E64">
        <f>COUNTIFS(Tasks!$A:$A,$C64,Tasks!$F:$F,$B64,Tasks!$I:$I,"&gt;"&amp;INDEX(Weeks!$D:$D,MATCH($A64-1,Weeks!$A:$A,0)),Tasks!$I:$I,"&lt;="&amp;INDEX(Weeks!$D:$D,MATCH($A64,Weeks!$A:$A,0)),Tasks!$I:$I,"&lt;&gt;")</f>
        <v>0</v>
      </c>
    </row>
    <row r="65" spans="1:5" ht="15" customHeight="1">
      <c r="A65">
        <v>32</v>
      </c>
      <c r="B65" t="s">
        <v>69</v>
      </c>
      <c r="C65" t="s">
        <v>107</v>
      </c>
      <c r="D65">
        <f>COUNTIFS(Tasks!$A:$A,$C65,Tasks!$F:$F,$B65,Tasks!$G:$G,"&lt;="&amp;INDEX(Weeks!$D:$D,MATCH($A65,Weeks!$A:$A,0)))-COUNTIFS(Tasks!$A:$A,$C65,Tasks!$F:$F,$B65,Tasks!$I:$I,"&lt;="&amp;INDEX(Weeks!$D:$D,MATCH($A65,Weeks!$A:$A,0)),Tasks!$I:$I,"&lt;&gt;")</f>
        <v>0</v>
      </c>
      <c r="E65">
        <f>COUNTIFS(Tasks!$A:$A,$C65,Tasks!$F:$F,$B65,Tasks!$I:$I,"&gt;"&amp;INDEX(Weeks!$D:$D,MATCH($A65-1,Weeks!$A:$A,0)),Tasks!$I:$I,"&lt;="&amp;INDEX(Weeks!$D:$D,MATCH($A65,Weeks!$A:$A,0)),Tasks!$I:$I,"&lt;&gt;")</f>
        <v>0</v>
      </c>
    </row>
    <row r="66" spans="1:5" ht="15" customHeight="1">
      <c r="A66">
        <v>33</v>
      </c>
      <c r="B66" t="s">
        <v>61</v>
      </c>
      <c r="C66" t="s">
        <v>93</v>
      </c>
      <c r="D66">
        <f>COUNTIFS(Tasks!$A:$A,$C66,Tasks!$F:$F,$B66,Tasks!$G:$G,"&lt;="&amp;INDEX(Weeks!$D:$D,MATCH($A66,Weeks!$A:$A,0)))-COUNTIFS(Tasks!$A:$A,$C66,Tasks!$F:$F,$B66,Tasks!$I:$I,"&lt;="&amp;INDEX(Weeks!$D:$D,MATCH($A66,Weeks!$A:$A,0)),Tasks!$I:$I,"&lt;&gt;")</f>
        <v>0</v>
      </c>
      <c r="E66">
        <f>COUNTIFS(Tasks!$A:$A,$C66,Tasks!$F:$F,$B66,Tasks!$I:$I,"&gt;"&amp;INDEX(Weeks!$D:$D,MATCH($A66-1,Weeks!$A:$A,0)),Tasks!$I:$I,"&lt;="&amp;INDEX(Weeks!$D:$D,MATCH($A66,Weeks!$A:$A,0)),Tasks!$I:$I,"&lt;&gt;")</f>
        <v>0</v>
      </c>
    </row>
    <row r="67" spans="1:5" ht="15" customHeight="1">
      <c r="A67">
        <v>33</v>
      </c>
      <c r="B67" t="s">
        <v>61</v>
      </c>
      <c r="C67" t="s">
        <v>97</v>
      </c>
      <c r="D67">
        <f>COUNTIFS(Tasks!$A:$A,$C67,Tasks!$F:$F,$B67,Tasks!$G:$G,"&lt;="&amp;INDEX(Weeks!$D:$D,MATCH($A67,Weeks!$A:$A,0)))-COUNTIFS(Tasks!$A:$A,$C67,Tasks!$F:$F,$B67,Tasks!$I:$I,"&lt;="&amp;INDEX(Weeks!$D:$D,MATCH($A67,Weeks!$A:$A,0)),Tasks!$I:$I,"&lt;&gt;")</f>
        <v>0</v>
      </c>
      <c r="E67">
        <f>COUNTIFS(Tasks!$A:$A,$C67,Tasks!$F:$F,$B67,Tasks!$I:$I,"&gt;"&amp;INDEX(Weeks!$D:$D,MATCH($A67-1,Weeks!$A:$A,0)),Tasks!$I:$I,"&lt;="&amp;INDEX(Weeks!$D:$D,MATCH($A67,Weeks!$A:$A,0)),Tasks!$I:$I,"&lt;&gt;")</f>
        <v>0</v>
      </c>
    </row>
    <row r="68" spans="1:5" ht="15" customHeight="1">
      <c r="A68">
        <v>33</v>
      </c>
      <c r="B68" t="s">
        <v>61</v>
      </c>
      <c r="C68" t="s">
        <v>102</v>
      </c>
      <c r="D68">
        <f>COUNTIFS(Tasks!$A:$A,$C68,Tasks!$F:$F,$B68,Tasks!$G:$G,"&lt;="&amp;INDEX(Weeks!$D:$D,MATCH($A68,Weeks!$A:$A,0)))-COUNTIFS(Tasks!$A:$A,$C68,Tasks!$F:$F,$B68,Tasks!$I:$I,"&lt;="&amp;INDEX(Weeks!$D:$D,MATCH($A68,Weeks!$A:$A,0)),Tasks!$I:$I,"&lt;&gt;")</f>
        <v>0</v>
      </c>
      <c r="E68">
        <f>COUNTIFS(Tasks!$A:$A,$C68,Tasks!$F:$F,$B68,Tasks!$I:$I,"&gt;"&amp;INDEX(Weeks!$D:$D,MATCH($A68-1,Weeks!$A:$A,0)),Tasks!$I:$I,"&lt;="&amp;INDEX(Weeks!$D:$D,MATCH($A68,Weeks!$A:$A,0)),Tasks!$I:$I,"&lt;&gt;")</f>
        <v>0</v>
      </c>
    </row>
    <row r="69" spans="1:5" ht="15" customHeight="1">
      <c r="A69">
        <v>33</v>
      </c>
      <c r="B69" t="s">
        <v>61</v>
      </c>
      <c r="C69" t="s">
        <v>107</v>
      </c>
      <c r="D69">
        <f>COUNTIFS(Tasks!$A:$A,$C69,Tasks!$F:$F,$B69,Tasks!$G:$G,"&lt;="&amp;INDEX(Weeks!$D:$D,MATCH($A69,Weeks!$A:$A,0)))-COUNTIFS(Tasks!$A:$A,$C69,Tasks!$F:$F,$B69,Tasks!$I:$I,"&lt;="&amp;INDEX(Weeks!$D:$D,MATCH($A69,Weeks!$A:$A,0)),Tasks!$I:$I,"&lt;&gt;")</f>
        <v>0</v>
      </c>
      <c r="E69">
        <f>COUNTIFS(Tasks!$A:$A,$C69,Tasks!$F:$F,$B69,Tasks!$I:$I,"&gt;"&amp;INDEX(Weeks!$D:$D,MATCH($A69-1,Weeks!$A:$A,0)),Tasks!$I:$I,"&lt;="&amp;INDEX(Weeks!$D:$D,MATCH($A69,Weeks!$A:$A,0)),Tasks!$I:$I,"&lt;&gt;")</f>
        <v>0</v>
      </c>
    </row>
    <row r="70" spans="1:5" ht="15" customHeight="1">
      <c r="A70">
        <v>33</v>
      </c>
      <c r="B70" t="s">
        <v>69</v>
      </c>
      <c r="C70" t="s">
        <v>93</v>
      </c>
      <c r="D70">
        <f>COUNTIFS(Tasks!$A:$A,$C70,Tasks!$F:$F,$B70,Tasks!$G:$G,"&lt;="&amp;INDEX(Weeks!$D:$D,MATCH($A70,Weeks!$A:$A,0)))-COUNTIFS(Tasks!$A:$A,$C70,Tasks!$F:$F,$B70,Tasks!$I:$I,"&lt;="&amp;INDEX(Weeks!$D:$D,MATCH($A70,Weeks!$A:$A,0)),Tasks!$I:$I,"&lt;&gt;")</f>
        <v>0</v>
      </c>
      <c r="E70">
        <f>COUNTIFS(Tasks!$A:$A,$C70,Tasks!$F:$F,$B70,Tasks!$I:$I,"&gt;"&amp;INDEX(Weeks!$D:$D,MATCH($A70-1,Weeks!$A:$A,0)),Tasks!$I:$I,"&lt;="&amp;INDEX(Weeks!$D:$D,MATCH($A70,Weeks!$A:$A,0)),Tasks!$I:$I,"&lt;&gt;")</f>
        <v>0</v>
      </c>
    </row>
    <row r="71" spans="1:5" ht="15" customHeight="1">
      <c r="A71">
        <v>33</v>
      </c>
      <c r="B71" t="s">
        <v>69</v>
      </c>
      <c r="C71" t="s">
        <v>97</v>
      </c>
      <c r="D71">
        <f>COUNTIFS(Tasks!$A:$A,$C71,Tasks!$F:$F,$B71,Tasks!$G:$G,"&lt;="&amp;INDEX(Weeks!$D:$D,MATCH($A71,Weeks!$A:$A,0)))-COUNTIFS(Tasks!$A:$A,$C71,Tasks!$F:$F,$B71,Tasks!$I:$I,"&lt;="&amp;INDEX(Weeks!$D:$D,MATCH($A71,Weeks!$A:$A,0)),Tasks!$I:$I,"&lt;&gt;")</f>
        <v>0</v>
      </c>
      <c r="E71">
        <f>COUNTIFS(Tasks!$A:$A,$C71,Tasks!$F:$F,$B71,Tasks!$I:$I,"&gt;"&amp;INDEX(Weeks!$D:$D,MATCH($A71-1,Weeks!$A:$A,0)),Tasks!$I:$I,"&lt;="&amp;INDEX(Weeks!$D:$D,MATCH($A71,Weeks!$A:$A,0)),Tasks!$I:$I,"&lt;&gt;")</f>
        <v>0</v>
      </c>
    </row>
    <row r="72" spans="1:5" ht="15" customHeight="1">
      <c r="A72">
        <v>33</v>
      </c>
      <c r="B72" t="s">
        <v>69</v>
      </c>
      <c r="C72" t="s">
        <v>102</v>
      </c>
      <c r="D72">
        <f>COUNTIFS(Tasks!$A:$A,$C72,Tasks!$F:$F,$B72,Tasks!$G:$G,"&lt;="&amp;INDEX(Weeks!$D:$D,MATCH($A72,Weeks!$A:$A,0)))-COUNTIFS(Tasks!$A:$A,$C72,Tasks!$F:$F,$B72,Tasks!$I:$I,"&lt;="&amp;INDEX(Weeks!$D:$D,MATCH($A72,Weeks!$A:$A,0)),Tasks!$I:$I,"&lt;&gt;")</f>
        <v>0</v>
      </c>
      <c r="E72">
        <f>COUNTIFS(Tasks!$A:$A,$C72,Tasks!$F:$F,$B72,Tasks!$I:$I,"&gt;"&amp;INDEX(Weeks!$D:$D,MATCH($A72-1,Weeks!$A:$A,0)),Tasks!$I:$I,"&lt;="&amp;INDEX(Weeks!$D:$D,MATCH($A72,Weeks!$A:$A,0)),Tasks!$I:$I,"&lt;&gt;")</f>
        <v>0</v>
      </c>
    </row>
    <row r="73" spans="1:5" ht="15" customHeight="1">
      <c r="A73">
        <v>33</v>
      </c>
      <c r="B73" t="s">
        <v>69</v>
      </c>
      <c r="C73" t="s">
        <v>107</v>
      </c>
      <c r="D73">
        <f>COUNTIFS(Tasks!$A:$A,$C73,Tasks!$F:$F,$B73,Tasks!$G:$G,"&lt;="&amp;INDEX(Weeks!$D:$D,MATCH($A73,Weeks!$A:$A,0)))-COUNTIFS(Tasks!$A:$A,$C73,Tasks!$F:$F,$B73,Tasks!$I:$I,"&lt;="&amp;INDEX(Weeks!$D:$D,MATCH($A73,Weeks!$A:$A,0)),Tasks!$I:$I,"&lt;&gt;")</f>
        <v>0</v>
      </c>
      <c r="E73">
        <f>COUNTIFS(Tasks!$A:$A,$C73,Tasks!$F:$F,$B73,Tasks!$I:$I,"&gt;"&amp;INDEX(Weeks!$D:$D,MATCH($A73-1,Weeks!$A:$A,0)),Tasks!$I:$I,"&lt;="&amp;INDEX(Weeks!$D:$D,MATCH($A73,Weeks!$A:$A,0)),Tasks!$I:$I,"&lt;&gt;")</f>
        <v>0</v>
      </c>
    </row>
    <row r="74" spans="1:5" ht="15" customHeight="1">
      <c r="A74">
        <v>34</v>
      </c>
      <c r="B74" t="s">
        <v>61</v>
      </c>
      <c r="C74" t="s">
        <v>93</v>
      </c>
      <c r="D74">
        <f>COUNTIFS(Tasks!$A:$A,$C74,Tasks!$F:$F,$B74,Tasks!$G:$G,"&lt;="&amp;INDEX(Weeks!$D:$D,MATCH($A74,Weeks!$A:$A,0)))-COUNTIFS(Tasks!$A:$A,$C74,Tasks!$F:$F,$B74,Tasks!$I:$I,"&lt;="&amp;INDEX(Weeks!$D:$D,MATCH($A74,Weeks!$A:$A,0)),Tasks!$I:$I,"&lt;&gt;")</f>
        <v>0</v>
      </c>
      <c r="E74">
        <f>COUNTIFS(Tasks!$A:$A,$C74,Tasks!$F:$F,$B74,Tasks!$I:$I,"&gt;"&amp;INDEX(Weeks!$D:$D,MATCH($A74-1,Weeks!$A:$A,0)),Tasks!$I:$I,"&lt;="&amp;INDEX(Weeks!$D:$D,MATCH($A74,Weeks!$A:$A,0)),Tasks!$I:$I,"&lt;&gt;")</f>
        <v>0</v>
      </c>
    </row>
    <row r="75" spans="1:5" ht="15" customHeight="1">
      <c r="A75">
        <v>34</v>
      </c>
      <c r="B75" t="s">
        <v>61</v>
      </c>
      <c r="C75" t="s">
        <v>97</v>
      </c>
      <c r="D75">
        <f>COUNTIFS(Tasks!$A:$A,$C75,Tasks!$F:$F,$B75,Tasks!$G:$G,"&lt;="&amp;INDEX(Weeks!$D:$D,MATCH($A75,Weeks!$A:$A,0)))-COUNTIFS(Tasks!$A:$A,$C75,Tasks!$F:$F,$B75,Tasks!$I:$I,"&lt;="&amp;INDEX(Weeks!$D:$D,MATCH($A75,Weeks!$A:$A,0)),Tasks!$I:$I,"&lt;&gt;")</f>
        <v>0</v>
      </c>
      <c r="E75">
        <f>COUNTIFS(Tasks!$A:$A,$C75,Tasks!$F:$F,$B75,Tasks!$I:$I,"&gt;"&amp;INDEX(Weeks!$D:$D,MATCH($A75-1,Weeks!$A:$A,0)),Tasks!$I:$I,"&lt;="&amp;INDEX(Weeks!$D:$D,MATCH($A75,Weeks!$A:$A,0)),Tasks!$I:$I,"&lt;&gt;")</f>
        <v>0</v>
      </c>
    </row>
    <row r="76" spans="1:5" ht="15" customHeight="1">
      <c r="A76">
        <v>34</v>
      </c>
      <c r="B76" t="s">
        <v>61</v>
      </c>
      <c r="C76" t="s">
        <v>102</v>
      </c>
      <c r="D76">
        <f>COUNTIFS(Tasks!$A:$A,$C76,Tasks!$F:$F,$B76,Tasks!$G:$G,"&lt;="&amp;INDEX(Weeks!$D:$D,MATCH($A76,Weeks!$A:$A,0)))-COUNTIFS(Tasks!$A:$A,$C76,Tasks!$F:$F,$B76,Tasks!$I:$I,"&lt;="&amp;INDEX(Weeks!$D:$D,MATCH($A76,Weeks!$A:$A,0)),Tasks!$I:$I,"&lt;&gt;")</f>
        <v>0</v>
      </c>
      <c r="E76">
        <f>COUNTIFS(Tasks!$A:$A,$C76,Tasks!$F:$F,$B76,Tasks!$I:$I,"&gt;"&amp;INDEX(Weeks!$D:$D,MATCH($A76-1,Weeks!$A:$A,0)),Tasks!$I:$I,"&lt;="&amp;INDEX(Weeks!$D:$D,MATCH($A76,Weeks!$A:$A,0)),Tasks!$I:$I,"&lt;&gt;")</f>
        <v>0</v>
      </c>
    </row>
    <row r="77" spans="1:5" ht="15" customHeight="1">
      <c r="A77">
        <v>34</v>
      </c>
      <c r="B77" t="s">
        <v>61</v>
      </c>
      <c r="C77" t="s">
        <v>107</v>
      </c>
      <c r="D77">
        <f>COUNTIFS(Tasks!$A:$A,$C77,Tasks!$F:$F,$B77,Tasks!$G:$G,"&lt;="&amp;INDEX(Weeks!$D:$D,MATCH($A77,Weeks!$A:$A,0)))-COUNTIFS(Tasks!$A:$A,$C77,Tasks!$F:$F,$B77,Tasks!$I:$I,"&lt;="&amp;INDEX(Weeks!$D:$D,MATCH($A77,Weeks!$A:$A,0)),Tasks!$I:$I,"&lt;&gt;")</f>
        <v>0</v>
      </c>
      <c r="E77">
        <f>COUNTIFS(Tasks!$A:$A,$C77,Tasks!$F:$F,$B77,Tasks!$I:$I,"&gt;"&amp;INDEX(Weeks!$D:$D,MATCH($A77-1,Weeks!$A:$A,0)),Tasks!$I:$I,"&lt;="&amp;INDEX(Weeks!$D:$D,MATCH($A77,Weeks!$A:$A,0)),Tasks!$I:$I,"&lt;&gt;")</f>
        <v>0</v>
      </c>
    </row>
    <row r="78" spans="1:5" ht="15" customHeight="1">
      <c r="A78">
        <v>34</v>
      </c>
      <c r="B78" t="s">
        <v>69</v>
      </c>
      <c r="C78" t="s">
        <v>93</v>
      </c>
      <c r="D78">
        <f>COUNTIFS(Tasks!$A:$A,$C78,Tasks!$F:$F,$B78,Tasks!$G:$G,"&lt;="&amp;INDEX(Weeks!$D:$D,MATCH($A78,Weeks!$A:$A,0)))-COUNTIFS(Tasks!$A:$A,$C78,Tasks!$F:$F,$B78,Tasks!$I:$I,"&lt;="&amp;INDEX(Weeks!$D:$D,MATCH($A78,Weeks!$A:$A,0)),Tasks!$I:$I,"&lt;&gt;")</f>
        <v>0</v>
      </c>
      <c r="E78">
        <f>COUNTIFS(Tasks!$A:$A,$C78,Tasks!$F:$F,$B78,Tasks!$I:$I,"&gt;"&amp;INDEX(Weeks!$D:$D,MATCH($A78-1,Weeks!$A:$A,0)),Tasks!$I:$I,"&lt;="&amp;INDEX(Weeks!$D:$D,MATCH($A78,Weeks!$A:$A,0)),Tasks!$I:$I,"&lt;&gt;")</f>
        <v>0</v>
      </c>
    </row>
    <row r="79" spans="1:5" ht="15" customHeight="1">
      <c r="A79">
        <v>34</v>
      </c>
      <c r="B79" t="s">
        <v>69</v>
      </c>
      <c r="C79" t="s">
        <v>97</v>
      </c>
      <c r="D79">
        <f>COUNTIFS(Tasks!$A:$A,$C79,Tasks!$F:$F,$B79,Tasks!$G:$G,"&lt;="&amp;INDEX(Weeks!$D:$D,MATCH($A79,Weeks!$A:$A,0)))-COUNTIFS(Tasks!$A:$A,$C79,Tasks!$F:$F,$B79,Tasks!$I:$I,"&lt;="&amp;INDEX(Weeks!$D:$D,MATCH($A79,Weeks!$A:$A,0)),Tasks!$I:$I,"&lt;&gt;")</f>
        <v>0</v>
      </c>
      <c r="E79">
        <f>COUNTIFS(Tasks!$A:$A,$C79,Tasks!$F:$F,$B79,Tasks!$I:$I,"&gt;"&amp;INDEX(Weeks!$D:$D,MATCH($A79-1,Weeks!$A:$A,0)),Tasks!$I:$I,"&lt;="&amp;INDEX(Weeks!$D:$D,MATCH($A79,Weeks!$A:$A,0)),Tasks!$I:$I,"&lt;&gt;")</f>
        <v>0</v>
      </c>
    </row>
    <row r="80" spans="1:5" ht="15" customHeight="1">
      <c r="A80">
        <v>34</v>
      </c>
      <c r="B80" t="s">
        <v>69</v>
      </c>
      <c r="C80" t="s">
        <v>102</v>
      </c>
      <c r="D80">
        <f>COUNTIFS(Tasks!$A:$A,$C80,Tasks!$F:$F,$B80,Tasks!$G:$G,"&lt;="&amp;INDEX(Weeks!$D:$D,MATCH($A80,Weeks!$A:$A,0)))-COUNTIFS(Tasks!$A:$A,$C80,Tasks!$F:$F,$B80,Tasks!$I:$I,"&lt;="&amp;INDEX(Weeks!$D:$D,MATCH($A80,Weeks!$A:$A,0)),Tasks!$I:$I,"&lt;&gt;")</f>
        <v>0</v>
      </c>
      <c r="E80">
        <f>COUNTIFS(Tasks!$A:$A,$C80,Tasks!$F:$F,$B80,Tasks!$I:$I,"&gt;"&amp;INDEX(Weeks!$D:$D,MATCH($A80-1,Weeks!$A:$A,0)),Tasks!$I:$I,"&lt;="&amp;INDEX(Weeks!$D:$D,MATCH($A80,Weeks!$A:$A,0)),Tasks!$I:$I,"&lt;&gt;")</f>
        <v>0</v>
      </c>
    </row>
    <row r="81" spans="1:5" ht="15" customHeight="1">
      <c r="A81">
        <v>34</v>
      </c>
      <c r="B81" t="s">
        <v>69</v>
      </c>
      <c r="C81" t="s">
        <v>107</v>
      </c>
      <c r="D81">
        <f>COUNTIFS(Tasks!$A:$A,$C81,Tasks!$F:$F,$B81,Tasks!$G:$G,"&lt;="&amp;INDEX(Weeks!$D:$D,MATCH($A81,Weeks!$A:$A,0)))-COUNTIFS(Tasks!$A:$A,$C81,Tasks!$F:$F,$B81,Tasks!$I:$I,"&lt;="&amp;INDEX(Weeks!$D:$D,MATCH($A81,Weeks!$A:$A,0)),Tasks!$I:$I,"&lt;&gt;")</f>
        <v>0</v>
      </c>
      <c r="E81">
        <f>COUNTIFS(Tasks!$A:$A,$C81,Tasks!$F:$F,$B81,Tasks!$I:$I,"&gt;"&amp;INDEX(Weeks!$D:$D,MATCH($A81-1,Weeks!$A:$A,0)),Tasks!$I:$I,"&lt;="&amp;INDEX(Weeks!$D:$D,MATCH($A81,Weeks!$A:$A,0)),Tasks!$I:$I,"&lt;&gt;")</f>
        <v>0</v>
      </c>
    </row>
    <row r="82" spans="1:5" ht="15" customHeight="1">
      <c r="A82">
        <v>35</v>
      </c>
      <c r="B82" t="s">
        <v>61</v>
      </c>
      <c r="C82" t="s">
        <v>93</v>
      </c>
      <c r="D82">
        <f>COUNTIFS(Tasks!$A:$A,$C82,Tasks!$F:$F,$B82,Tasks!$G:$G,"&lt;="&amp;INDEX(Weeks!$D:$D,MATCH($A82,Weeks!$A:$A,0)))-COUNTIFS(Tasks!$A:$A,$C82,Tasks!$F:$F,$B82,Tasks!$I:$I,"&lt;="&amp;INDEX(Weeks!$D:$D,MATCH($A82,Weeks!$A:$A,0)),Tasks!$I:$I,"&lt;&gt;")</f>
        <v>0</v>
      </c>
      <c r="E82">
        <f>COUNTIFS(Tasks!$A:$A,$C82,Tasks!$F:$F,$B82,Tasks!$I:$I,"&gt;"&amp;INDEX(Weeks!$D:$D,MATCH($A82-1,Weeks!$A:$A,0)),Tasks!$I:$I,"&lt;="&amp;INDEX(Weeks!$D:$D,MATCH($A82,Weeks!$A:$A,0)),Tasks!$I:$I,"&lt;&gt;")</f>
        <v>0</v>
      </c>
    </row>
    <row r="83" spans="1:5" ht="15" customHeight="1">
      <c r="A83">
        <v>35</v>
      </c>
      <c r="B83" t="s">
        <v>61</v>
      </c>
      <c r="C83" t="s">
        <v>97</v>
      </c>
      <c r="D83">
        <f>COUNTIFS(Tasks!$A:$A,$C83,Tasks!$F:$F,$B83,Tasks!$G:$G,"&lt;="&amp;INDEX(Weeks!$D:$D,MATCH($A83,Weeks!$A:$A,0)))-COUNTIFS(Tasks!$A:$A,$C83,Tasks!$F:$F,$B83,Tasks!$I:$I,"&lt;="&amp;INDEX(Weeks!$D:$D,MATCH($A83,Weeks!$A:$A,0)),Tasks!$I:$I,"&lt;&gt;")</f>
        <v>0</v>
      </c>
      <c r="E83">
        <f>COUNTIFS(Tasks!$A:$A,$C83,Tasks!$F:$F,$B83,Tasks!$I:$I,"&gt;"&amp;INDEX(Weeks!$D:$D,MATCH($A83-1,Weeks!$A:$A,0)),Tasks!$I:$I,"&lt;="&amp;INDEX(Weeks!$D:$D,MATCH($A83,Weeks!$A:$A,0)),Tasks!$I:$I,"&lt;&gt;")</f>
        <v>0</v>
      </c>
    </row>
    <row r="84" spans="1:5" ht="15" customHeight="1">
      <c r="A84">
        <v>35</v>
      </c>
      <c r="B84" t="s">
        <v>61</v>
      </c>
      <c r="C84" t="s">
        <v>102</v>
      </c>
      <c r="D84">
        <f>COUNTIFS(Tasks!$A:$A,$C84,Tasks!$F:$F,$B84,Tasks!$G:$G,"&lt;="&amp;INDEX(Weeks!$D:$D,MATCH($A84,Weeks!$A:$A,0)))-COUNTIFS(Tasks!$A:$A,$C84,Tasks!$F:$F,$B84,Tasks!$I:$I,"&lt;="&amp;INDEX(Weeks!$D:$D,MATCH($A84,Weeks!$A:$A,0)),Tasks!$I:$I,"&lt;&gt;")</f>
        <v>0</v>
      </c>
      <c r="E84">
        <f>COUNTIFS(Tasks!$A:$A,$C84,Tasks!$F:$F,$B84,Tasks!$I:$I,"&gt;"&amp;INDEX(Weeks!$D:$D,MATCH($A84-1,Weeks!$A:$A,0)),Tasks!$I:$I,"&lt;="&amp;INDEX(Weeks!$D:$D,MATCH($A84,Weeks!$A:$A,0)),Tasks!$I:$I,"&lt;&gt;")</f>
        <v>0</v>
      </c>
    </row>
    <row r="85" spans="1:5" ht="15" customHeight="1">
      <c r="A85">
        <v>35</v>
      </c>
      <c r="B85" t="s">
        <v>61</v>
      </c>
      <c r="C85" t="s">
        <v>107</v>
      </c>
      <c r="D85">
        <f>COUNTIFS(Tasks!$A:$A,$C85,Tasks!$F:$F,$B85,Tasks!$G:$G,"&lt;="&amp;INDEX(Weeks!$D:$D,MATCH($A85,Weeks!$A:$A,0)))-COUNTIFS(Tasks!$A:$A,$C85,Tasks!$F:$F,$B85,Tasks!$I:$I,"&lt;="&amp;INDEX(Weeks!$D:$D,MATCH($A85,Weeks!$A:$A,0)),Tasks!$I:$I,"&lt;&gt;")</f>
        <v>0</v>
      </c>
      <c r="E85">
        <f>COUNTIFS(Tasks!$A:$A,$C85,Tasks!$F:$F,$B85,Tasks!$I:$I,"&gt;"&amp;INDEX(Weeks!$D:$D,MATCH($A85-1,Weeks!$A:$A,0)),Tasks!$I:$I,"&lt;="&amp;INDEX(Weeks!$D:$D,MATCH($A85,Weeks!$A:$A,0)),Tasks!$I:$I,"&lt;&gt;")</f>
        <v>0</v>
      </c>
    </row>
    <row r="86" spans="1:5" ht="15" customHeight="1">
      <c r="A86">
        <v>35</v>
      </c>
      <c r="B86" t="s">
        <v>69</v>
      </c>
      <c r="C86" t="s">
        <v>93</v>
      </c>
      <c r="D86">
        <f>COUNTIFS(Tasks!$A:$A,$C86,Tasks!$F:$F,$B86,Tasks!$G:$G,"&lt;="&amp;INDEX(Weeks!$D:$D,MATCH($A86,Weeks!$A:$A,0)))-COUNTIFS(Tasks!$A:$A,$C86,Tasks!$F:$F,$B86,Tasks!$I:$I,"&lt;="&amp;INDEX(Weeks!$D:$D,MATCH($A86,Weeks!$A:$A,0)),Tasks!$I:$I,"&lt;&gt;")</f>
        <v>0</v>
      </c>
      <c r="E86">
        <f>COUNTIFS(Tasks!$A:$A,$C86,Tasks!$F:$F,$B86,Tasks!$I:$I,"&gt;"&amp;INDEX(Weeks!$D:$D,MATCH($A86-1,Weeks!$A:$A,0)),Tasks!$I:$I,"&lt;="&amp;INDEX(Weeks!$D:$D,MATCH($A86,Weeks!$A:$A,0)),Tasks!$I:$I,"&lt;&gt;")</f>
        <v>0</v>
      </c>
    </row>
    <row r="87" spans="1:5" ht="15" customHeight="1">
      <c r="A87">
        <v>35</v>
      </c>
      <c r="B87" t="s">
        <v>69</v>
      </c>
      <c r="C87" t="s">
        <v>97</v>
      </c>
      <c r="D87">
        <f>COUNTIFS(Tasks!$A:$A,$C87,Tasks!$F:$F,$B87,Tasks!$G:$G,"&lt;="&amp;INDEX(Weeks!$D:$D,MATCH($A87,Weeks!$A:$A,0)))-COUNTIFS(Tasks!$A:$A,$C87,Tasks!$F:$F,$B87,Tasks!$I:$I,"&lt;="&amp;INDEX(Weeks!$D:$D,MATCH($A87,Weeks!$A:$A,0)),Tasks!$I:$I,"&lt;&gt;")</f>
        <v>0</v>
      </c>
      <c r="E87">
        <f>COUNTIFS(Tasks!$A:$A,$C87,Tasks!$F:$F,$B87,Tasks!$I:$I,"&gt;"&amp;INDEX(Weeks!$D:$D,MATCH($A87-1,Weeks!$A:$A,0)),Tasks!$I:$I,"&lt;="&amp;INDEX(Weeks!$D:$D,MATCH($A87,Weeks!$A:$A,0)),Tasks!$I:$I,"&lt;&gt;")</f>
        <v>0</v>
      </c>
    </row>
    <row r="88" spans="1:5" ht="15" customHeight="1">
      <c r="A88">
        <v>35</v>
      </c>
      <c r="B88" t="s">
        <v>69</v>
      </c>
      <c r="C88" t="s">
        <v>102</v>
      </c>
      <c r="D88">
        <f>COUNTIFS(Tasks!$A:$A,$C88,Tasks!$F:$F,$B88,Tasks!$G:$G,"&lt;="&amp;INDEX(Weeks!$D:$D,MATCH($A88,Weeks!$A:$A,0)))-COUNTIFS(Tasks!$A:$A,$C88,Tasks!$F:$F,$B88,Tasks!$I:$I,"&lt;="&amp;INDEX(Weeks!$D:$D,MATCH($A88,Weeks!$A:$A,0)),Tasks!$I:$I,"&lt;&gt;")</f>
        <v>0</v>
      </c>
      <c r="E88">
        <f>COUNTIFS(Tasks!$A:$A,$C88,Tasks!$F:$F,$B88,Tasks!$I:$I,"&gt;"&amp;INDEX(Weeks!$D:$D,MATCH($A88-1,Weeks!$A:$A,0)),Tasks!$I:$I,"&lt;="&amp;INDEX(Weeks!$D:$D,MATCH($A88,Weeks!$A:$A,0)),Tasks!$I:$I,"&lt;&gt;")</f>
        <v>0</v>
      </c>
    </row>
    <row r="89" spans="1:5" ht="15" customHeight="1">
      <c r="A89">
        <v>35</v>
      </c>
      <c r="B89" t="s">
        <v>69</v>
      </c>
      <c r="C89" t="s">
        <v>107</v>
      </c>
      <c r="D89">
        <f>COUNTIFS(Tasks!$A:$A,$C89,Tasks!$F:$F,$B89,Tasks!$G:$G,"&lt;="&amp;INDEX(Weeks!$D:$D,MATCH($A89,Weeks!$A:$A,0)))-COUNTIFS(Tasks!$A:$A,$C89,Tasks!$F:$F,$B89,Tasks!$I:$I,"&lt;="&amp;INDEX(Weeks!$D:$D,MATCH($A89,Weeks!$A:$A,0)),Tasks!$I:$I,"&lt;&gt;")</f>
        <v>0</v>
      </c>
      <c r="E89">
        <f>COUNTIFS(Tasks!$A:$A,$C89,Tasks!$F:$F,$B89,Tasks!$I:$I,"&gt;"&amp;INDEX(Weeks!$D:$D,MATCH($A89-1,Weeks!$A:$A,0)),Tasks!$I:$I,"&lt;="&amp;INDEX(Weeks!$D:$D,MATCH($A89,Weeks!$A:$A,0)),Tasks!$I:$I,"&lt;&gt;")</f>
        <v>0</v>
      </c>
    </row>
    <row r="90" spans="1:5" ht="15" customHeight="1">
      <c r="A90">
        <v>36</v>
      </c>
      <c r="B90" t="s">
        <v>61</v>
      </c>
      <c r="C90" t="s">
        <v>93</v>
      </c>
      <c r="D90">
        <f>COUNTIFS(Tasks!$A:$A,$C90,Tasks!$F:$F,$B90,Tasks!$G:$G,"&lt;="&amp;INDEX(Weeks!$D:$D,MATCH($A90,Weeks!$A:$A,0)))-COUNTIFS(Tasks!$A:$A,$C90,Tasks!$F:$F,$B90,Tasks!$I:$I,"&lt;="&amp;INDEX(Weeks!$D:$D,MATCH($A90,Weeks!$A:$A,0)),Tasks!$I:$I,"&lt;&gt;")</f>
        <v>0</v>
      </c>
      <c r="E90">
        <f>COUNTIFS(Tasks!$A:$A,$C90,Tasks!$F:$F,$B90,Tasks!$I:$I,"&gt;"&amp;INDEX(Weeks!$D:$D,MATCH($A90-1,Weeks!$A:$A,0)),Tasks!$I:$I,"&lt;="&amp;INDEX(Weeks!$D:$D,MATCH($A90,Weeks!$A:$A,0)),Tasks!$I:$I,"&lt;&gt;")</f>
        <v>0</v>
      </c>
    </row>
    <row r="91" spans="1:5" ht="15" customHeight="1">
      <c r="A91">
        <v>36</v>
      </c>
      <c r="B91" t="s">
        <v>61</v>
      </c>
      <c r="C91" t="s">
        <v>97</v>
      </c>
      <c r="D91">
        <f>COUNTIFS(Tasks!$A:$A,$C91,Tasks!$F:$F,$B91,Tasks!$G:$G,"&lt;="&amp;INDEX(Weeks!$D:$D,MATCH($A91,Weeks!$A:$A,0)))-COUNTIFS(Tasks!$A:$A,$C91,Tasks!$F:$F,$B91,Tasks!$I:$I,"&lt;="&amp;INDEX(Weeks!$D:$D,MATCH($A91,Weeks!$A:$A,0)),Tasks!$I:$I,"&lt;&gt;")</f>
        <v>0</v>
      </c>
      <c r="E91">
        <f>COUNTIFS(Tasks!$A:$A,$C91,Tasks!$F:$F,$B91,Tasks!$I:$I,"&gt;"&amp;INDEX(Weeks!$D:$D,MATCH($A91-1,Weeks!$A:$A,0)),Tasks!$I:$I,"&lt;="&amp;INDEX(Weeks!$D:$D,MATCH($A91,Weeks!$A:$A,0)),Tasks!$I:$I,"&lt;&gt;")</f>
        <v>0</v>
      </c>
    </row>
    <row r="92" spans="1:5" ht="15" customHeight="1">
      <c r="A92">
        <v>36</v>
      </c>
      <c r="B92" t="s">
        <v>61</v>
      </c>
      <c r="C92" t="s">
        <v>102</v>
      </c>
      <c r="D92">
        <f>COUNTIFS(Tasks!$A:$A,$C92,Tasks!$F:$F,$B92,Tasks!$G:$G,"&lt;="&amp;INDEX(Weeks!$D:$D,MATCH($A92,Weeks!$A:$A,0)))-COUNTIFS(Tasks!$A:$A,$C92,Tasks!$F:$F,$B92,Tasks!$I:$I,"&lt;="&amp;INDEX(Weeks!$D:$D,MATCH($A92,Weeks!$A:$A,0)),Tasks!$I:$I,"&lt;&gt;")</f>
        <v>0</v>
      </c>
      <c r="E92">
        <f>COUNTIFS(Tasks!$A:$A,$C92,Tasks!$F:$F,$B92,Tasks!$I:$I,"&gt;"&amp;INDEX(Weeks!$D:$D,MATCH($A92-1,Weeks!$A:$A,0)),Tasks!$I:$I,"&lt;="&amp;INDEX(Weeks!$D:$D,MATCH($A92,Weeks!$A:$A,0)),Tasks!$I:$I,"&lt;&gt;")</f>
        <v>0</v>
      </c>
    </row>
    <row r="93" spans="1:5" ht="15" customHeight="1">
      <c r="A93">
        <v>36</v>
      </c>
      <c r="B93" t="s">
        <v>61</v>
      </c>
      <c r="C93" t="s">
        <v>107</v>
      </c>
      <c r="D93">
        <f>COUNTIFS(Tasks!$A:$A,$C93,Tasks!$F:$F,$B93,Tasks!$G:$G,"&lt;="&amp;INDEX(Weeks!$D:$D,MATCH($A93,Weeks!$A:$A,0)))-COUNTIFS(Tasks!$A:$A,$C93,Tasks!$F:$F,$B93,Tasks!$I:$I,"&lt;="&amp;INDEX(Weeks!$D:$D,MATCH($A93,Weeks!$A:$A,0)),Tasks!$I:$I,"&lt;&gt;")</f>
        <v>0</v>
      </c>
      <c r="E93">
        <f>COUNTIFS(Tasks!$A:$A,$C93,Tasks!$F:$F,$B93,Tasks!$I:$I,"&gt;"&amp;INDEX(Weeks!$D:$D,MATCH($A93-1,Weeks!$A:$A,0)),Tasks!$I:$I,"&lt;="&amp;INDEX(Weeks!$D:$D,MATCH($A93,Weeks!$A:$A,0)),Tasks!$I:$I,"&lt;&gt;")</f>
        <v>0</v>
      </c>
    </row>
    <row r="94" spans="1:5" ht="15" customHeight="1">
      <c r="A94">
        <v>36</v>
      </c>
      <c r="B94" t="s">
        <v>69</v>
      </c>
      <c r="C94" t="s">
        <v>93</v>
      </c>
      <c r="D94">
        <f>COUNTIFS(Tasks!$A:$A,$C94,Tasks!$F:$F,$B94,Tasks!$G:$G,"&lt;="&amp;INDEX(Weeks!$D:$D,MATCH($A94,Weeks!$A:$A,0)))-COUNTIFS(Tasks!$A:$A,$C94,Tasks!$F:$F,$B94,Tasks!$I:$I,"&lt;="&amp;INDEX(Weeks!$D:$D,MATCH($A94,Weeks!$A:$A,0)),Tasks!$I:$I,"&lt;&gt;")</f>
        <v>0</v>
      </c>
      <c r="E94">
        <f>COUNTIFS(Tasks!$A:$A,$C94,Tasks!$F:$F,$B94,Tasks!$I:$I,"&gt;"&amp;INDEX(Weeks!$D:$D,MATCH($A94-1,Weeks!$A:$A,0)),Tasks!$I:$I,"&lt;="&amp;INDEX(Weeks!$D:$D,MATCH($A94,Weeks!$A:$A,0)),Tasks!$I:$I,"&lt;&gt;")</f>
        <v>0</v>
      </c>
    </row>
    <row r="95" spans="1:5" ht="15" customHeight="1">
      <c r="A95">
        <v>36</v>
      </c>
      <c r="B95" t="s">
        <v>69</v>
      </c>
      <c r="C95" t="s">
        <v>97</v>
      </c>
      <c r="D95">
        <f>COUNTIFS(Tasks!$A:$A,$C95,Tasks!$F:$F,$B95,Tasks!$G:$G,"&lt;="&amp;INDEX(Weeks!$D:$D,MATCH($A95,Weeks!$A:$A,0)))-COUNTIFS(Tasks!$A:$A,$C95,Tasks!$F:$F,$B95,Tasks!$I:$I,"&lt;="&amp;INDEX(Weeks!$D:$D,MATCH($A95,Weeks!$A:$A,0)),Tasks!$I:$I,"&lt;&gt;")</f>
        <v>0</v>
      </c>
      <c r="E95">
        <f>COUNTIFS(Tasks!$A:$A,$C95,Tasks!$F:$F,$B95,Tasks!$I:$I,"&gt;"&amp;INDEX(Weeks!$D:$D,MATCH($A95-1,Weeks!$A:$A,0)),Tasks!$I:$I,"&lt;="&amp;INDEX(Weeks!$D:$D,MATCH($A95,Weeks!$A:$A,0)),Tasks!$I:$I,"&lt;&gt;")</f>
        <v>0</v>
      </c>
    </row>
    <row r="96" spans="1:5" ht="15" customHeight="1">
      <c r="A96">
        <v>36</v>
      </c>
      <c r="B96" t="s">
        <v>69</v>
      </c>
      <c r="C96" t="s">
        <v>102</v>
      </c>
      <c r="D96">
        <f>COUNTIFS(Tasks!$A:$A,$C96,Tasks!$F:$F,$B96,Tasks!$G:$G,"&lt;="&amp;INDEX(Weeks!$D:$D,MATCH($A96,Weeks!$A:$A,0)))-COUNTIFS(Tasks!$A:$A,$C96,Tasks!$F:$F,$B96,Tasks!$I:$I,"&lt;="&amp;INDEX(Weeks!$D:$D,MATCH($A96,Weeks!$A:$A,0)),Tasks!$I:$I,"&lt;&gt;")</f>
        <v>0</v>
      </c>
      <c r="E96">
        <f>COUNTIFS(Tasks!$A:$A,$C96,Tasks!$F:$F,$B96,Tasks!$I:$I,"&gt;"&amp;INDEX(Weeks!$D:$D,MATCH($A96-1,Weeks!$A:$A,0)),Tasks!$I:$I,"&lt;="&amp;INDEX(Weeks!$D:$D,MATCH($A96,Weeks!$A:$A,0)),Tasks!$I:$I,"&lt;&gt;")</f>
        <v>0</v>
      </c>
    </row>
    <row r="97" spans="1:5" ht="15" customHeight="1">
      <c r="A97">
        <v>36</v>
      </c>
      <c r="B97" t="s">
        <v>69</v>
      </c>
      <c r="C97" t="s">
        <v>107</v>
      </c>
      <c r="D97">
        <f>COUNTIFS(Tasks!$A:$A,$C97,Tasks!$F:$F,$B97,Tasks!$G:$G,"&lt;="&amp;INDEX(Weeks!$D:$D,MATCH($A97,Weeks!$A:$A,0)))-COUNTIFS(Tasks!$A:$A,$C97,Tasks!$F:$F,$B97,Tasks!$I:$I,"&lt;="&amp;INDEX(Weeks!$D:$D,MATCH($A97,Weeks!$A:$A,0)),Tasks!$I:$I,"&lt;&gt;")</f>
        <v>0</v>
      </c>
      <c r="E97">
        <f>COUNTIFS(Tasks!$A:$A,$C97,Tasks!$F:$F,$B97,Tasks!$I:$I,"&gt;"&amp;INDEX(Weeks!$D:$D,MATCH($A97-1,Weeks!$A:$A,0)),Tasks!$I:$I,"&lt;="&amp;INDEX(Weeks!$D:$D,MATCH($A97,Weeks!$A:$A,0)),Tasks!$I:$I,"&lt;&gt;")</f>
        <v>0</v>
      </c>
    </row>
    <row r="98" spans="1:5" ht="15" customHeight="1">
      <c r="A98">
        <v>37</v>
      </c>
      <c r="B98" t="s">
        <v>61</v>
      </c>
      <c r="C98" t="s">
        <v>93</v>
      </c>
      <c r="D98">
        <f>COUNTIFS(Tasks!$A:$A,$C98,Tasks!$F:$F,$B98,Tasks!$G:$G,"&lt;="&amp;INDEX(Weeks!$D:$D,MATCH($A98,Weeks!$A:$A,0)))-COUNTIFS(Tasks!$A:$A,$C98,Tasks!$F:$F,$B98,Tasks!$I:$I,"&lt;="&amp;INDEX(Weeks!$D:$D,MATCH($A98,Weeks!$A:$A,0)),Tasks!$I:$I,"&lt;&gt;")</f>
        <v>0</v>
      </c>
      <c r="E98">
        <f>COUNTIFS(Tasks!$A:$A,$C98,Tasks!$F:$F,$B98,Tasks!$I:$I,"&gt;"&amp;INDEX(Weeks!$D:$D,MATCH($A98-1,Weeks!$A:$A,0)),Tasks!$I:$I,"&lt;="&amp;INDEX(Weeks!$D:$D,MATCH($A98,Weeks!$A:$A,0)),Tasks!$I:$I,"&lt;&gt;")</f>
        <v>0</v>
      </c>
    </row>
    <row r="99" spans="1:5" ht="15" customHeight="1">
      <c r="A99">
        <v>37</v>
      </c>
      <c r="B99" t="s">
        <v>61</v>
      </c>
      <c r="C99" t="s">
        <v>97</v>
      </c>
      <c r="D99">
        <f>COUNTIFS(Tasks!$A:$A,$C99,Tasks!$F:$F,$B99,Tasks!$G:$G,"&lt;="&amp;INDEX(Weeks!$D:$D,MATCH($A99,Weeks!$A:$A,0)))-COUNTIFS(Tasks!$A:$A,$C99,Tasks!$F:$F,$B99,Tasks!$I:$I,"&lt;="&amp;INDEX(Weeks!$D:$D,MATCH($A99,Weeks!$A:$A,0)),Tasks!$I:$I,"&lt;&gt;")</f>
        <v>0</v>
      </c>
      <c r="E99">
        <f>COUNTIFS(Tasks!$A:$A,$C99,Tasks!$F:$F,$B99,Tasks!$I:$I,"&gt;"&amp;INDEX(Weeks!$D:$D,MATCH($A99-1,Weeks!$A:$A,0)),Tasks!$I:$I,"&lt;="&amp;INDEX(Weeks!$D:$D,MATCH($A99,Weeks!$A:$A,0)),Tasks!$I:$I,"&lt;&gt;")</f>
        <v>0</v>
      </c>
    </row>
    <row r="100" spans="1:5" ht="15" customHeight="1">
      <c r="A100">
        <v>37</v>
      </c>
      <c r="B100" t="s">
        <v>61</v>
      </c>
      <c r="C100" t="s">
        <v>102</v>
      </c>
      <c r="D100">
        <f>COUNTIFS(Tasks!$A:$A,$C100,Tasks!$F:$F,$B100,Tasks!$G:$G,"&lt;="&amp;INDEX(Weeks!$D:$D,MATCH($A100,Weeks!$A:$A,0)))-COUNTIFS(Tasks!$A:$A,$C100,Tasks!$F:$F,$B100,Tasks!$I:$I,"&lt;="&amp;INDEX(Weeks!$D:$D,MATCH($A100,Weeks!$A:$A,0)),Tasks!$I:$I,"&lt;&gt;")</f>
        <v>0</v>
      </c>
      <c r="E100">
        <f>COUNTIFS(Tasks!$A:$A,$C100,Tasks!$F:$F,$B100,Tasks!$I:$I,"&gt;"&amp;INDEX(Weeks!$D:$D,MATCH($A100-1,Weeks!$A:$A,0)),Tasks!$I:$I,"&lt;="&amp;INDEX(Weeks!$D:$D,MATCH($A100,Weeks!$A:$A,0)),Tasks!$I:$I,"&lt;&gt;")</f>
        <v>0</v>
      </c>
    </row>
    <row r="101" spans="1:5" ht="15" customHeight="1">
      <c r="A101">
        <v>37</v>
      </c>
      <c r="B101" t="s">
        <v>61</v>
      </c>
      <c r="C101" t="s">
        <v>107</v>
      </c>
      <c r="D101">
        <f>COUNTIFS(Tasks!$A:$A,$C101,Tasks!$F:$F,$B101,Tasks!$G:$G,"&lt;="&amp;INDEX(Weeks!$D:$D,MATCH($A101,Weeks!$A:$A,0)))-COUNTIFS(Tasks!$A:$A,$C101,Tasks!$F:$F,$B101,Tasks!$I:$I,"&lt;="&amp;INDEX(Weeks!$D:$D,MATCH($A101,Weeks!$A:$A,0)),Tasks!$I:$I,"&lt;&gt;")</f>
        <v>0</v>
      </c>
      <c r="E101">
        <f>COUNTIFS(Tasks!$A:$A,$C101,Tasks!$F:$F,$B101,Tasks!$I:$I,"&gt;"&amp;INDEX(Weeks!$D:$D,MATCH($A101-1,Weeks!$A:$A,0)),Tasks!$I:$I,"&lt;="&amp;INDEX(Weeks!$D:$D,MATCH($A101,Weeks!$A:$A,0)),Tasks!$I:$I,"&lt;&gt;")</f>
        <v>0</v>
      </c>
    </row>
    <row r="102" spans="1:5" ht="15" customHeight="1">
      <c r="A102">
        <v>37</v>
      </c>
      <c r="B102" t="s">
        <v>69</v>
      </c>
      <c r="C102" t="s">
        <v>93</v>
      </c>
      <c r="D102">
        <f>COUNTIFS(Tasks!$A:$A,$C102,Tasks!$F:$F,$B102,Tasks!$G:$G,"&lt;="&amp;INDEX(Weeks!$D:$D,MATCH($A102,Weeks!$A:$A,0)))-COUNTIFS(Tasks!$A:$A,$C102,Tasks!$F:$F,$B102,Tasks!$I:$I,"&lt;="&amp;INDEX(Weeks!$D:$D,MATCH($A102,Weeks!$A:$A,0)),Tasks!$I:$I,"&lt;&gt;")</f>
        <v>0</v>
      </c>
      <c r="E102">
        <f>COUNTIFS(Tasks!$A:$A,$C102,Tasks!$F:$F,$B102,Tasks!$I:$I,"&gt;"&amp;INDEX(Weeks!$D:$D,MATCH($A102-1,Weeks!$A:$A,0)),Tasks!$I:$I,"&lt;="&amp;INDEX(Weeks!$D:$D,MATCH($A102,Weeks!$A:$A,0)),Tasks!$I:$I,"&lt;&gt;")</f>
        <v>0</v>
      </c>
    </row>
    <row r="103" spans="1:5" ht="15" customHeight="1">
      <c r="A103">
        <v>37</v>
      </c>
      <c r="B103" t="s">
        <v>69</v>
      </c>
      <c r="C103" t="s">
        <v>97</v>
      </c>
      <c r="D103">
        <f>COUNTIFS(Tasks!$A:$A,$C103,Tasks!$F:$F,$B103,Tasks!$G:$G,"&lt;="&amp;INDEX(Weeks!$D:$D,MATCH($A103,Weeks!$A:$A,0)))-COUNTIFS(Tasks!$A:$A,$C103,Tasks!$F:$F,$B103,Tasks!$I:$I,"&lt;="&amp;INDEX(Weeks!$D:$D,MATCH($A103,Weeks!$A:$A,0)),Tasks!$I:$I,"&lt;&gt;")</f>
        <v>0</v>
      </c>
      <c r="E103">
        <f>COUNTIFS(Tasks!$A:$A,$C103,Tasks!$F:$F,$B103,Tasks!$I:$I,"&gt;"&amp;INDEX(Weeks!$D:$D,MATCH($A103-1,Weeks!$A:$A,0)),Tasks!$I:$I,"&lt;="&amp;INDEX(Weeks!$D:$D,MATCH($A103,Weeks!$A:$A,0)),Tasks!$I:$I,"&lt;&gt;")</f>
        <v>0</v>
      </c>
    </row>
    <row r="104" spans="1:5" ht="15" customHeight="1">
      <c r="A104">
        <v>37</v>
      </c>
      <c r="B104" t="s">
        <v>69</v>
      </c>
      <c r="C104" t="s">
        <v>102</v>
      </c>
      <c r="D104">
        <f>COUNTIFS(Tasks!$A:$A,$C104,Tasks!$F:$F,$B104,Tasks!$G:$G,"&lt;="&amp;INDEX(Weeks!$D:$D,MATCH($A104,Weeks!$A:$A,0)))-COUNTIFS(Tasks!$A:$A,$C104,Tasks!$F:$F,$B104,Tasks!$I:$I,"&lt;="&amp;INDEX(Weeks!$D:$D,MATCH($A104,Weeks!$A:$A,0)),Tasks!$I:$I,"&lt;&gt;")</f>
        <v>0</v>
      </c>
      <c r="E104">
        <f>COUNTIFS(Tasks!$A:$A,$C104,Tasks!$F:$F,$B104,Tasks!$I:$I,"&gt;"&amp;INDEX(Weeks!$D:$D,MATCH($A104-1,Weeks!$A:$A,0)),Tasks!$I:$I,"&lt;="&amp;INDEX(Weeks!$D:$D,MATCH($A104,Weeks!$A:$A,0)),Tasks!$I:$I,"&lt;&gt;")</f>
        <v>0</v>
      </c>
    </row>
    <row r="105" spans="1:5" ht="15" customHeight="1">
      <c r="A105">
        <v>37</v>
      </c>
      <c r="B105" t="s">
        <v>69</v>
      </c>
      <c r="C105" t="s">
        <v>107</v>
      </c>
      <c r="D105">
        <f>COUNTIFS(Tasks!$A:$A,$C105,Tasks!$F:$F,$B105,Tasks!$G:$G,"&lt;="&amp;INDEX(Weeks!$D:$D,MATCH($A105,Weeks!$A:$A,0)))-COUNTIFS(Tasks!$A:$A,$C105,Tasks!$F:$F,$B105,Tasks!$I:$I,"&lt;="&amp;INDEX(Weeks!$D:$D,MATCH($A105,Weeks!$A:$A,0)),Tasks!$I:$I,"&lt;&gt;")</f>
        <v>0</v>
      </c>
      <c r="E105">
        <f>COUNTIFS(Tasks!$A:$A,$C105,Tasks!$F:$F,$B105,Tasks!$I:$I,"&gt;"&amp;INDEX(Weeks!$D:$D,MATCH($A105-1,Weeks!$A:$A,0)),Tasks!$I:$I,"&lt;="&amp;INDEX(Weeks!$D:$D,MATCH($A105,Weeks!$A:$A,0)),Tasks!$I:$I,"&lt;&gt;")</f>
        <v>0</v>
      </c>
    </row>
    <row r="106" spans="1:5" ht="15" customHeight="1">
      <c r="A106">
        <v>38</v>
      </c>
      <c r="B106" t="s">
        <v>61</v>
      </c>
      <c r="C106" t="s">
        <v>93</v>
      </c>
      <c r="D106">
        <f>COUNTIFS(Tasks!$A:$A,$C106,Tasks!$F:$F,$B106,Tasks!$G:$G,"&lt;="&amp;INDEX(Weeks!$D:$D,MATCH($A106,Weeks!$A:$A,0)))-COUNTIFS(Tasks!$A:$A,$C106,Tasks!$F:$F,$B106,Tasks!$I:$I,"&lt;="&amp;INDEX(Weeks!$D:$D,MATCH($A106,Weeks!$A:$A,0)),Tasks!$I:$I,"&lt;&gt;")</f>
        <v>0</v>
      </c>
      <c r="E106">
        <f>COUNTIFS(Tasks!$A:$A,$C106,Tasks!$F:$F,$B106,Tasks!$I:$I,"&gt;"&amp;INDEX(Weeks!$D:$D,MATCH($A106-1,Weeks!$A:$A,0)),Tasks!$I:$I,"&lt;="&amp;INDEX(Weeks!$D:$D,MATCH($A106,Weeks!$A:$A,0)),Tasks!$I:$I,"&lt;&gt;")</f>
        <v>0</v>
      </c>
    </row>
    <row r="107" spans="1:5" ht="15" customHeight="1">
      <c r="A107">
        <v>38</v>
      </c>
      <c r="B107" t="s">
        <v>61</v>
      </c>
      <c r="C107" t="s">
        <v>97</v>
      </c>
      <c r="D107">
        <f>COUNTIFS(Tasks!$A:$A,$C107,Tasks!$F:$F,$B107,Tasks!$G:$G,"&lt;="&amp;INDEX(Weeks!$D:$D,MATCH($A107,Weeks!$A:$A,0)))-COUNTIFS(Tasks!$A:$A,$C107,Tasks!$F:$F,$B107,Tasks!$I:$I,"&lt;="&amp;INDEX(Weeks!$D:$D,MATCH($A107,Weeks!$A:$A,0)),Tasks!$I:$I,"&lt;&gt;")</f>
        <v>0</v>
      </c>
      <c r="E107">
        <f>COUNTIFS(Tasks!$A:$A,$C107,Tasks!$F:$F,$B107,Tasks!$I:$I,"&gt;"&amp;INDEX(Weeks!$D:$D,MATCH($A107-1,Weeks!$A:$A,0)),Tasks!$I:$I,"&lt;="&amp;INDEX(Weeks!$D:$D,MATCH($A107,Weeks!$A:$A,0)),Tasks!$I:$I,"&lt;&gt;")</f>
        <v>0</v>
      </c>
    </row>
    <row r="108" spans="1:5" ht="15" customHeight="1">
      <c r="A108">
        <v>38</v>
      </c>
      <c r="B108" t="s">
        <v>61</v>
      </c>
      <c r="C108" t="s">
        <v>102</v>
      </c>
      <c r="D108">
        <f>COUNTIFS(Tasks!$A:$A,$C108,Tasks!$F:$F,$B108,Tasks!$G:$G,"&lt;="&amp;INDEX(Weeks!$D:$D,MATCH($A108,Weeks!$A:$A,0)))-COUNTIFS(Tasks!$A:$A,$C108,Tasks!$F:$F,$B108,Tasks!$I:$I,"&lt;="&amp;INDEX(Weeks!$D:$D,MATCH($A108,Weeks!$A:$A,0)),Tasks!$I:$I,"&lt;&gt;")</f>
        <v>0</v>
      </c>
      <c r="E108">
        <f>COUNTIFS(Tasks!$A:$A,$C108,Tasks!$F:$F,$B108,Tasks!$I:$I,"&gt;"&amp;INDEX(Weeks!$D:$D,MATCH($A108-1,Weeks!$A:$A,0)),Tasks!$I:$I,"&lt;="&amp;INDEX(Weeks!$D:$D,MATCH($A108,Weeks!$A:$A,0)),Tasks!$I:$I,"&lt;&gt;")</f>
        <v>0</v>
      </c>
    </row>
    <row r="109" spans="1:5" ht="15" customHeight="1">
      <c r="A109">
        <v>38</v>
      </c>
      <c r="B109" t="s">
        <v>61</v>
      </c>
      <c r="C109" t="s">
        <v>107</v>
      </c>
      <c r="D109">
        <f>COUNTIFS(Tasks!$A:$A,$C109,Tasks!$F:$F,$B109,Tasks!$G:$G,"&lt;="&amp;INDEX(Weeks!$D:$D,MATCH($A109,Weeks!$A:$A,0)))-COUNTIFS(Tasks!$A:$A,$C109,Tasks!$F:$F,$B109,Tasks!$I:$I,"&lt;="&amp;INDEX(Weeks!$D:$D,MATCH($A109,Weeks!$A:$A,0)),Tasks!$I:$I,"&lt;&gt;")</f>
        <v>0</v>
      </c>
      <c r="E109">
        <f>COUNTIFS(Tasks!$A:$A,$C109,Tasks!$F:$F,$B109,Tasks!$I:$I,"&gt;"&amp;INDEX(Weeks!$D:$D,MATCH($A109-1,Weeks!$A:$A,0)),Tasks!$I:$I,"&lt;="&amp;INDEX(Weeks!$D:$D,MATCH($A109,Weeks!$A:$A,0)),Tasks!$I:$I,"&lt;&gt;")</f>
        <v>0</v>
      </c>
    </row>
    <row r="110" spans="1:5" ht="15" customHeight="1">
      <c r="A110">
        <v>38</v>
      </c>
      <c r="B110" t="s">
        <v>69</v>
      </c>
      <c r="C110" t="s">
        <v>93</v>
      </c>
      <c r="D110">
        <f>COUNTIFS(Tasks!$A:$A,$C110,Tasks!$F:$F,$B110,Tasks!$G:$G,"&lt;="&amp;INDEX(Weeks!$D:$D,MATCH($A110,Weeks!$A:$A,0)))-COUNTIFS(Tasks!$A:$A,$C110,Tasks!$F:$F,$B110,Tasks!$I:$I,"&lt;="&amp;INDEX(Weeks!$D:$D,MATCH($A110,Weeks!$A:$A,0)),Tasks!$I:$I,"&lt;&gt;")</f>
        <v>0</v>
      </c>
      <c r="E110">
        <f>COUNTIFS(Tasks!$A:$A,$C110,Tasks!$F:$F,$B110,Tasks!$I:$I,"&gt;"&amp;INDEX(Weeks!$D:$D,MATCH($A110-1,Weeks!$A:$A,0)),Tasks!$I:$I,"&lt;="&amp;INDEX(Weeks!$D:$D,MATCH($A110,Weeks!$A:$A,0)),Tasks!$I:$I,"&lt;&gt;")</f>
        <v>0</v>
      </c>
    </row>
    <row r="111" spans="1:5" ht="15" customHeight="1">
      <c r="A111">
        <v>38</v>
      </c>
      <c r="B111" t="s">
        <v>69</v>
      </c>
      <c r="C111" t="s">
        <v>97</v>
      </c>
      <c r="D111">
        <f>COUNTIFS(Tasks!$A:$A,$C111,Tasks!$F:$F,$B111,Tasks!$G:$G,"&lt;="&amp;INDEX(Weeks!$D:$D,MATCH($A111,Weeks!$A:$A,0)))-COUNTIFS(Tasks!$A:$A,$C111,Tasks!$F:$F,$B111,Tasks!$I:$I,"&lt;="&amp;INDEX(Weeks!$D:$D,MATCH($A111,Weeks!$A:$A,0)),Tasks!$I:$I,"&lt;&gt;")</f>
        <v>0</v>
      </c>
      <c r="E111">
        <f>COUNTIFS(Tasks!$A:$A,$C111,Tasks!$F:$F,$B111,Tasks!$I:$I,"&gt;"&amp;INDEX(Weeks!$D:$D,MATCH($A111-1,Weeks!$A:$A,0)),Tasks!$I:$I,"&lt;="&amp;INDEX(Weeks!$D:$D,MATCH($A111,Weeks!$A:$A,0)),Tasks!$I:$I,"&lt;&gt;")</f>
        <v>0</v>
      </c>
    </row>
    <row r="112" spans="1:5" ht="15" customHeight="1">
      <c r="A112">
        <v>38</v>
      </c>
      <c r="B112" t="s">
        <v>69</v>
      </c>
      <c r="C112" t="s">
        <v>102</v>
      </c>
      <c r="D112">
        <f>COUNTIFS(Tasks!$A:$A,$C112,Tasks!$F:$F,$B112,Tasks!$G:$G,"&lt;="&amp;INDEX(Weeks!$D:$D,MATCH($A112,Weeks!$A:$A,0)))-COUNTIFS(Tasks!$A:$A,$C112,Tasks!$F:$F,$B112,Tasks!$I:$I,"&lt;="&amp;INDEX(Weeks!$D:$D,MATCH($A112,Weeks!$A:$A,0)),Tasks!$I:$I,"&lt;&gt;")</f>
        <v>0</v>
      </c>
      <c r="E112">
        <f>COUNTIFS(Tasks!$A:$A,$C112,Tasks!$F:$F,$B112,Tasks!$I:$I,"&gt;"&amp;INDEX(Weeks!$D:$D,MATCH($A112-1,Weeks!$A:$A,0)),Tasks!$I:$I,"&lt;="&amp;INDEX(Weeks!$D:$D,MATCH($A112,Weeks!$A:$A,0)),Tasks!$I:$I,"&lt;&gt;")</f>
        <v>0</v>
      </c>
    </row>
    <row r="113" spans="1:5" ht="15" customHeight="1">
      <c r="A113">
        <v>38</v>
      </c>
      <c r="B113" t="s">
        <v>69</v>
      </c>
      <c r="C113" t="s">
        <v>107</v>
      </c>
      <c r="D113">
        <f>COUNTIFS(Tasks!$A:$A,$C113,Tasks!$F:$F,$B113,Tasks!$G:$G,"&lt;="&amp;INDEX(Weeks!$D:$D,MATCH($A113,Weeks!$A:$A,0)))-COUNTIFS(Tasks!$A:$A,$C113,Tasks!$F:$F,$B113,Tasks!$I:$I,"&lt;="&amp;INDEX(Weeks!$D:$D,MATCH($A113,Weeks!$A:$A,0)),Tasks!$I:$I,"&lt;&gt;")</f>
        <v>0</v>
      </c>
      <c r="E113">
        <f>COUNTIFS(Tasks!$A:$A,$C113,Tasks!$F:$F,$B113,Tasks!$I:$I,"&gt;"&amp;INDEX(Weeks!$D:$D,MATCH($A113-1,Weeks!$A:$A,0)),Tasks!$I:$I,"&lt;="&amp;INDEX(Weeks!$D:$D,MATCH($A113,Weeks!$A:$A,0)),Tasks!$I:$I,"&lt;&gt;")</f>
        <v>0</v>
      </c>
    </row>
    <row r="114" spans="1:5" ht="15" customHeight="1">
      <c r="A114">
        <v>39</v>
      </c>
      <c r="B114" t="s">
        <v>61</v>
      </c>
      <c r="C114" t="s">
        <v>93</v>
      </c>
      <c r="D114">
        <f>COUNTIFS(Tasks!$A:$A,$C114,Tasks!$F:$F,$B114,Tasks!$G:$G,"&lt;="&amp;INDEX(Weeks!$D:$D,MATCH($A114,Weeks!$A:$A,0)))-COUNTIFS(Tasks!$A:$A,$C114,Tasks!$F:$F,$B114,Tasks!$I:$I,"&lt;="&amp;INDEX(Weeks!$D:$D,MATCH($A114,Weeks!$A:$A,0)),Tasks!$I:$I,"&lt;&gt;")</f>
        <v>0</v>
      </c>
      <c r="E114">
        <f>COUNTIFS(Tasks!$A:$A,$C114,Tasks!$F:$F,$B114,Tasks!$I:$I,"&gt;"&amp;INDEX(Weeks!$D:$D,MATCH($A114-1,Weeks!$A:$A,0)),Tasks!$I:$I,"&lt;="&amp;INDEX(Weeks!$D:$D,MATCH($A114,Weeks!$A:$A,0)),Tasks!$I:$I,"&lt;&gt;")</f>
        <v>0</v>
      </c>
    </row>
    <row r="115" spans="1:5" ht="15" customHeight="1">
      <c r="A115">
        <v>39</v>
      </c>
      <c r="B115" t="s">
        <v>61</v>
      </c>
      <c r="C115" t="s">
        <v>97</v>
      </c>
      <c r="D115">
        <f>COUNTIFS(Tasks!$A:$A,$C115,Tasks!$F:$F,$B115,Tasks!$G:$G,"&lt;="&amp;INDEX(Weeks!$D:$D,MATCH($A115,Weeks!$A:$A,0)))-COUNTIFS(Tasks!$A:$A,$C115,Tasks!$F:$F,$B115,Tasks!$I:$I,"&lt;="&amp;INDEX(Weeks!$D:$D,MATCH($A115,Weeks!$A:$A,0)),Tasks!$I:$I,"&lt;&gt;")</f>
        <v>0</v>
      </c>
      <c r="E115">
        <f>COUNTIFS(Tasks!$A:$A,$C115,Tasks!$F:$F,$B115,Tasks!$I:$I,"&gt;"&amp;INDEX(Weeks!$D:$D,MATCH($A115-1,Weeks!$A:$A,0)),Tasks!$I:$I,"&lt;="&amp;INDEX(Weeks!$D:$D,MATCH($A115,Weeks!$A:$A,0)),Tasks!$I:$I,"&lt;&gt;")</f>
        <v>0</v>
      </c>
    </row>
    <row r="116" spans="1:5" ht="15" customHeight="1">
      <c r="A116">
        <v>39</v>
      </c>
      <c r="B116" t="s">
        <v>61</v>
      </c>
      <c r="C116" t="s">
        <v>102</v>
      </c>
      <c r="D116">
        <f>COUNTIFS(Tasks!$A:$A,$C116,Tasks!$F:$F,$B116,Tasks!$G:$G,"&lt;="&amp;INDEX(Weeks!$D:$D,MATCH($A116,Weeks!$A:$A,0)))-COUNTIFS(Tasks!$A:$A,$C116,Tasks!$F:$F,$B116,Tasks!$I:$I,"&lt;="&amp;INDEX(Weeks!$D:$D,MATCH($A116,Weeks!$A:$A,0)),Tasks!$I:$I,"&lt;&gt;")</f>
        <v>0</v>
      </c>
      <c r="E116">
        <f>COUNTIFS(Tasks!$A:$A,$C116,Tasks!$F:$F,$B116,Tasks!$I:$I,"&gt;"&amp;INDEX(Weeks!$D:$D,MATCH($A116-1,Weeks!$A:$A,0)),Tasks!$I:$I,"&lt;="&amp;INDEX(Weeks!$D:$D,MATCH($A116,Weeks!$A:$A,0)),Tasks!$I:$I,"&lt;&gt;")</f>
        <v>0</v>
      </c>
    </row>
    <row r="117" spans="1:5" ht="15" customHeight="1">
      <c r="A117">
        <v>39</v>
      </c>
      <c r="B117" t="s">
        <v>61</v>
      </c>
      <c r="C117" t="s">
        <v>107</v>
      </c>
      <c r="D117">
        <f>COUNTIFS(Tasks!$A:$A,$C117,Tasks!$F:$F,$B117,Tasks!$G:$G,"&lt;="&amp;INDEX(Weeks!$D:$D,MATCH($A117,Weeks!$A:$A,0)))-COUNTIFS(Tasks!$A:$A,$C117,Tasks!$F:$F,$B117,Tasks!$I:$I,"&lt;="&amp;INDEX(Weeks!$D:$D,MATCH($A117,Weeks!$A:$A,0)),Tasks!$I:$I,"&lt;&gt;")</f>
        <v>0</v>
      </c>
      <c r="E117">
        <f>COUNTIFS(Tasks!$A:$A,$C117,Tasks!$F:$F,$B117,Tasks!$I:$I,"&gt;"&amp;INDEX(Weeks!$D:$D,MATCH($A117-1,Weeks!$A:$A,0)),Tasks!$I:$I,"&lt;="&amp;INDEX(Weeks!$D:$D,MATCH($A117,Weeks!$A:$A,0)),Tasks!$I:$I,"&lt;&gt;")</f>
        <v>0</v>
      </c>
    </row>
    <row r="118" spans="1:5" ht="15" customHeight="1">
      <c r="A118">
        <v>39</v>
      </c>
      <c r="B118" t="s">
        <v>69</v>
      </c>
      <c r="C118" t="s">
        <v>93</v>
      </c>
      <c r="D118">
        <f>COUNTIFS(Tasks!$A:$A,$C118,Tasks!$F:$F,$B118,Tasks!$G:$G,"&lt;="&amp;INDEX(Weeks!$D:$D,MATCH($A118,Weeks!$A:$A,0)))-COUNTIFS(Tasks!$A:$A,$C118,Tasks!$F:$F,$B118,Tasks!$I:$I,"&lt;="&amp;INDEX(Weeks!$D:$D,MATCH($A118,Weeks!$A:$A,0)),Tasks!$I:$I,"&lt;&gt;")</f>
        <v>0</v>
      </c>
      <c r="E118">
        <f>COUNTIFS(Tasks!$A:$A,$C118,Tasks!$F:$F,$B118,Tasks!$I:$I,"&gt;"&amp;INDEX(Weeks!$D:$D,MATCH($A118-1,Weeks!$A:$A,0)),Tasks!$I:$I,"&lt;="&amp;INDEX(Weeks!$D:$D,MATCH($A118,Weeks!$A:$A,0)),Tasks!$I:$I,"&lt;&gt;")</f>
        <v>0</v>
      </c>
    </row>
    <row r="119" spans="1:5" ht="15" customHeight="1">
      <c r="A119">
        <v>39</v>
      </c>
      <c r="B119" t="s">
        <v>69</v>
      </c>
      <c r="C119" t="s">
        <v>97</v>
      </c>
      <c r="D119">
        <f>COUNTIFS(Tasks!$A:$A,$C119,Tasks!$F:$F,$B119,Tasks!$G:$G,"&lt;="&amp;INDEX(Weeks!$D:$D,MATCH($A119,Weeks!$A:$A,0)))-COUNTIFS(Tasks!$A:$A,$C119,Tasks!$F:$F,$B119,Tasks!$I:$I,"&lt;="&amp;INDEX(Weeks!$D:$D,MATCH($A119,Weeks!$A:$A,0)),Tasks!$I:$I,"&lt;&gt;")</f>
        <v>0</v>
      </c>
      <c r="E119">
        <f>COUNTIFS(Tasks!$A:$A,$C119,Tasks!$F:$F,$B119,Tasks!$I:$I,"&gt;"&amp;INDEX(Weeks!$D:$D,MATCH($A119-1,Weeks!$A:$A,0)),Tasks!$I:$I,"&lt;="&amp;INDEX(Weeks!$D:$D,MATCH($A119,Weeks!$A:$A,0)),Tasks!$I:$I,"&lt;&gt;")</f>
        <v>0</v>
      </c>
    </row>
    <row r="120" spans="1:5" ht="15" customHeight="1">
      <c r="A120">
        <v>39</v>
      </c>
      <c r="B120" t="s">
        <v>69</v>
      </c>
      <c r="C120" t="s">
        <v>102</v>
      </c>
      <c r="D120">
        <f>COUNTIFS(Tasks!$A:$A,$C120,Tasks!$F:$F,$B120,Tasks!$G:$G,"&lt;="&amp;INDEX(Weeks!$D:$D,MATCH($A120,Weeks!$A:$A,0)))-COUNTIFS(Tasks!$A:$A,$C120,Tasks!$F:$F,$B120,Tasks!$I:$I,"&lt;="&amp;INDEX(Weeks!$D:$D,MATCH($A120,Weeks!$A:$A,0)),Tasks!$I:$I,"&lt;&gt;")</f>
        <v>0</v>
      </c>
      <c r="E120">
        <f>COUNTIFS(Tasks!$A:$A,$C120,Tasks!$F:$F,$B120,Tasks!$I:$I,"&gt;"&amp;INDEX(Weeks!$D:$D,MATCH($A120-1,Weeks!$A:$A,0)),Tasks!$I:$I,"&lt;="&amp;INDEX(Weeks!$D:$D,MATCH($A120,Weeks!$A:$A,0)),Tasks!$I:$I,"&lt;&gt;")</f>
        <v>0</v>
      </c>
    </row>
    <row r="121" spans="1:5" ht="15" customHeight="1">
      <c r="A121">
        <v>39</v>
      </c>
      <c r="B121" t="s">
        <v>69</v>
      </c>
      <c r="C121" t="s">
        <v>107</v>
      </c>
      <c r="D121">
        <f>COUNTIFS(Tasks!$A:$A,$C121,Tasks!$F:$F,$B121,Tasks!$G:$G,"&lt;="&amp;INDEX(Weeks!$D:$D,MATCH($A121,Weeks!$A:$A,0)))-COUNTIFS(Tasks!$A:$A,$C121,Tasks!$F:$F,$B121,Tasks!$I:$I,"&lt;="&amp;INDEX(Weeks!$D:$D,MATCH($A121,Weeks!$A:$A,0)),Tasks!$I:$I,"&lt;&gt;")</f>
        <v>0</v>
      </c>
      <c r="E121">
        <f>COUNTIFS(Tasks!$A:$A,$C121,Tasks!$F:$F,$B121,Tasks!$I:$I,"&gt;"&amp;INDEX(Weeks!$D:$D,MATCH($A121-1,Weeks!$A:$A,0)),Tasks!$I:$I,"&lt;="&amp;INDEX(Weeks!$D:$D,MATCH($A121,Weeks!$A:$A,0)),Tasks!$I:$I,"&lt;&gt;")</f>
        <v>0</v>
      </c>
    </row>
    <row r="122" spans="1:5" ht="15" customHeight="1">
      <c r="A122">
        <v>40</v>
      </c>
      <c r="B122" t="s">
        <v>61</v>
      </c>
      <c r="C122" t="s">
        <v>93</v>
      </c>
      <c r="D122">
        <f>COUNTIFS(Tasks!$A:$A,$C122,Tasks!$F:$F,$B122,Tasks!$G:$G,"&lt;="&amp;INDEX(Weeks!$D:$D,MATCH($A122,Weeks!$A:$A,0)))-COUNTIFS(Tasks!$A:$A,$C122,Tasks!$F:$F,$B122,Tasks!$I:$I,"&lt;="&amp;INDEX(Weeks!$D:$D,MATCH($A122,Weeks!$A:$A,0)),Tasks!$I:$I,"&lt;&gt;")</f>
        <v>0</v>
      </c>
      <c r="E122">
        <f>COUNTIFS(Tasks!$A:$A,$C122,Tasks!$F:$F,$B122,Tasks!$I:$I,"&gt;"&amp;INDEX(Weeks!$D:$D,MATCH($A122-1,Weeks!$A:$A,0)),Tasks!$I:$I,"&lt;="&amp;INDEX(Weeks!$D:$D,MATCH($A122,Weeks!$A:$A,0)),Tasks!$I:$I,"&lt;&gt;")</f>
        <v>0</v>
      </c>
    </row>
    <row r="123" spans="1:5" ht="15" customHeight="1">
      <c r="A123">
        <v>40</v>
      </c>
      <c r="B123" t="s">
        <v>61</v>
      </c>
      <c r="C123" t="s">
        <v>97</v>
      </c>
      <c r="D123">
        <f>COUNTIFS(Tasks!$A:$A,$C123,Tasks!$F:$F,$B123,Tasks!$G:$G,"&lt;="&amp;INDEX(Weeks!$D:$D,MATCH($A123,Weeks!$A:$A,0)))-COUNTIFS(Tasks!$A:$A,$C123,Tasks!$F:$F,$B123,Tasks!$I:$I,"&lt;="&amp;INDEX(Weeks!$D:$D,MATCH($A123,Weeks!$A:$A,0)),Tasks!$I:$I,"&lt;&gt;")</f>
        <v>0</v>
      </c>
      <c r="E123">
        <f>COUNTIFS(Tasks!$A:$A,$C123,Tasks!$F:$F,$B123,Tasks!$I:$I,"&gt;"&amp;INDEX(Weeks!$D:$D,MATCH($A123-1,Weeks!$A:$A,0)),Tasks!$I:$I,"&lt;="&amp;INDEX(Weeks!$D:$D,MATCH($A123,Weeks!$A:$A,0)),Tasks!$I:$I,"&lt;&gt;")</f>
        <v>0</v>
      </c>
    </row>
    <row r="124" spans="1:5" ht="15" customHeight="1">
      <c r="A124">
        <v>40</v>
      </c>
      <c r="B124" t="s">
        <v>61</v>
      </c>
      <c r="C124" t="s">
        <v>102</v>
      </c>
      <c r="D124">
        <f>COUNTIFS(Tasks!$A:$A,$C124,Tasks!$F:$F,$B124,Tasks!$G:$G,"&lt;="&amp;INDEX(Weeks!$D:$D,MATCH($A124,Weeks!$A:$A,0)))-COUNTIFS(Tasks!$A:$A,$C124,Tasks!$F:$F,$B124,Tasks!$I:$I,"&lt;="&amp;INDEX(Weeks!$D:$D,MATCH($A124,Weeks!$A:$A,0)),Tasks!$I:$I,"&lt;&gt;")</f>
        <v>0</v>
      </c>
      <c r="E124">
        <f>COUNTIFS(Tasks!$A:$A,$C124,Tasks!$F:$F,$B124,Tasks!$I:$I,"&gt;"&amp;INDEX(Weeks!$D:$D,MATCH($A124-1,Weeks!$A:$A,0)),Tasks!$I:$I,"&lt;="&amp;INDEX(Weeks!$D:$D,MATCH($A124,Weeks!$A:$A,0)),Tasks!$I:$I,"&lt;&gt;")</f>
        <v>0</v>
      </c>
    </row>
    <row r="125" spans="1:5" ht="15" customHeight="1">
      <c r="A125">
        <v>40</v>
      </c>
      <c r="B125" t="s">
        <v>61</v>
      </c>
      <c r="C125" t="s">
        <v>107</v>
      </c>
      <c r="D125">
        <f>COUNTIFS(Tasks!$A:$A,$C125,Tasks!$F:$F,$B125,Tasks!$G:$G,"&lt;="&amp;INDEX(Weeks!$D:$D,MATCH($A125,Weeks!$A:$A,0)))-COUNTIFS(Tasks!$A:$A,$C125,Tasks!$F:$F,$B125,Tasks!$I:$I,"&lt;="&amp;INDEX(Weeks!$D:$D,MATCH($A125,Weeks!$A:$A,0)),Tasks!$I:$I,"&lt;&gt;")</f>
        <v>0</v>
      </c>
      <c r="E125">
        <f>COUNTIFS(Tasks!$A:$A,$C125,Tasks!$F:$F,$B125,Tasks!$I:$I,"&gt;"&amp;INDEX(Weeks!$D:$D,MATCH($A125-1,Weeks!$A:$A,0)),Tasks!$I:$I,"&lt;="&amp;INDEX(Weeks!$D:$D,MATCH($A125,Weeks!$A:$A,0)),Tasks!$I:$I,"&lt;&gt;")</f>
        <v>0</v>
      </c>
    </row>
    <row r="126" spans="1:5" ht="15" customHeight="1">
      <c r="A126">
        <v>40</v>
      </c>
      <c r="B126" t="s">
        <v>69</v>
      </c>
      <c r="C126" t="s">
        <v>93</v>
      </c>
      <c r="D126">
        <f>COUNTIFS(Tasks!$A:$A,$C126,Tasks!$F:$F,$B126,Tasks!$G:$G,"&lt;="&amp;INDEX(Weeks!$D:$D,MATCH($A126,Weeks!$A:$A,0)))-COUNTIFS(Tasks!$A:$A,$C126,Tasks!$F:$F,$B126,Tasks!$I:$I,"&lt;="&amp;INDEX(Weeks!$D:$D,MATCH($A126,Weeks!$A:$A,0)),Tasks!$I:$I,"&lt;&gt;")</f>
        <v>0</v>
      </c>
      <c r="E126">
        <f>COUNTIFS(Tasks!$A:$A,$C126,Tasks!$F:$F,$B126,Tasks!$I:$I,"&gt;"&amp;INDEX(Weeks!$D:$D,MATCH($A126-1,Weeks!$A:$A,0)),Tasks!$I:$I,"&lt;="&amp;INDEX(Weeks!$D:$D,MATCH($A126,Weeks!$A:$A,0)),Tasks!$I:$I,"&lt;&gt;")</f>
        <v>0</v>
      </c>
    </row>
    <row r="127" spans="1:5" ht="15" customHeight="1">
      <c r="A127">
        <v>40</v>
      </c>
      <c r="B127" t="s">
        <v>69</v>
      </c>
      <c r="C127" t="s">
        <v>97</v>
      </c>
      <c r="D127">
        <f>COUNTIFS(Tasks!$A:$A,$C127,Tasks!$F:$F,$B127,Tasks!$G:$G,"&lt;="&amp;INDEX(Weeks!$D:$D,MATCH($A127,Weeks!$A:$A,0)))-COUNTIFS(Tasks!$A:$A,$C127,Tasks!$F:$F,$B127,Tasks!$I:$I,"&lt;="&amp;INDEX(Weeks!$D:$D,MATCH($A127,Weeks!$A:$A,0)),Tasks!$I:$I,"&lt;&gt;")</f>
        <v>0</v>
      </c>
      <c r="E127">
        <f>COUNTIFS(Tasks!$A:$A,$C127,Tasks!$F:$F,$B127,Tasks!$I:$I,"&gt;"&amp;INDEX(Weeks!$D:$D,MATCH($A127-1,Weeks!$A:$A,0)),Tasks!$I:$I,"&lt;="&amp;INDEX(Weeks!$D:$D,MATCH($A127,Weeks!$A:$A,0)),Tasks!$I:$I,"&lt;&gt;")</f>
        <v>0</v>
      </c>
    </row>
    <row r="128" spans="1:5" ht="15" customHeight="1">
      <c r="A128">
        <v>40</v>
      </c>
      <c r="B128" t="s">
        <v>69</v>
      </c>
      <c r="C128" t="s">
        <v>102</v>
      </c>
      <c r="D128">
        <f>COUNTIFS(Tasks!$A:$A,$C128,Tasks!$F:$F,$B128,Tasks!$G:$G,"&lt;="&amp;INDEX(Weeks!$D:$D,MATCH($A128,Weeks!$A:$A,0)))-COUNTIFS(Tasks!$A:$A,$C128,Tasks!$F:$F,$B128,Tasks!$I:$I,"&lt;="&amp;INDEX(Weeks!$D:$D,MATCH($A128,Weeks!$A:$A,0)),Tasks!$I:$I,"&lt;&gt;")</f>
        <v>0</v>
      </c>
      <c r="E128">
        <f>COUNTIFS(Tasks!$A:$A,$C128,Tasks!$F:$F,$B128,Tasks!$I:$I,"&gt;"&amp;INDEX(Weeks!$D:$D,MATCH($A128-1,Weeks!$A:$A,0)),Tasks!$I:$I,"&lt;="&amp;INDEX(Weeks!$D:$D,MATCH($A128,Weeks!$A:$A,0)),Tasks!$I:$I,"&lt;&gt;")</f>
        <v>0</v>
      </c>
    </row>
    <row r="129" spans="1:5" ht="15" customHeight="1">
      <c r="A129">
        <v>40</v>
      </c>
      <c r="B129" t="s">
        <v>69</v>
      </c>
      <c r="C129" t="s">
        <v>107</v>
      </c>
      <c r="D129">
        <f>COUNTIFS(Tasks!$A:$A,$C129,Tasks!$F:$F,$B129,Tasks!$G:$G,"&lt;="&amp;INDEX(Weeks!$D:$D,MATCH($A129,Weeks!$A:$A,0)))-COUNTIFS(Tasks!$A:$A,$C129,Tasks!$F:$F,$B129,Tasks!$I:$I,"&lt;="&amp;INDEX(Weeks!$D:$D,MATCH($A129,Weeks!$A:$A,0)),Tasks!$I:$I,"&lt;&gt;")</f>
        <v>0</v>
      </c>
      <c r="E129">
        <f>COUNTIFS(Tasks!$A:$A,$C129,Tasks!$F:$F,$B129,Tasks!$I:$I,"&gt;"&amp;INDEX(Weeks!$D:$D,MATCH($A129-1,Weeks!$A:$A,0)),Tasks!$I:$I,"&lt;="&amp;INDEX(Weeks!$D:$D,MATCH($A129,Weeks!$A:$A,0)),Tasks!$I:$I,"&lt;&gt;")</f>
        <v>0</v>
      </c>
    </row>
    <row r="130" spans="1:5" ht="15" customHeight="1">
      <c r="A130">
        <v>41</v>
      </c>
      <c r="B130" t="s">
        <v>61</v>
      </c>
      <c r="C130" t="s">
        <v>93</v>
      </c>
      <c r="D130">
        <f>COUNTIFS(Tasks!$A:$A,$C130,Tasks!$F:$F,$B130,Tasks!$G:$G,"&lt;="&amp;INDEX(Weeks!$D:$D,MATCH($A130,Weeks!$A:$A,0)))-COUNTIFS(Tasks!$A:$A,$C130,Tasks!$F:$F,$B130,Tasks!$I:$I,"&lt;="&amp;INDEX(Weeks!$D:$D,MATCH($A130,Weeks!$A:$A,0)),Tasks!$I:$I,"&lt;&gt;")</f>
        <v>0</v>
      </c>
      <c r="E130">
        <f>COUNTIFS(Tasks!$A:$A,$C130,Tasks!$F:$F,$B130,Tasks!$I:$I,"&gt;"&amp;INDEX(Weeks!$D:$D,MATCH($A130-1,Weeks!$A:$A,0)),Tasks!$I:$I,"&lt;="&amp;INDEX(Weeks!$D:$D,MATCH($A130,Weeks!$A:$A,0)),Tasks!$I:$I,"&lt;&gt;")</f>
        <v>0</v>
      </c>
    </row>
    <row r="131" spans="1:5" ht="15" customHeight="1">
      <c r="A131">
        <v>41</v>
      </c>
      <c r="B131" t="s">
        <v>61</v>
      </c>
      <c r="C131" t="s">
        <v>97</v>
      </c>
      <c r="D131">
        <f>COUNTIFS(Tasks!$A:$A,$C131,Tasks!$F:$F,$B131,Tasks!$G:$G,"&lt;="&amp;INDEX(Weeks!$D:$D,MATCH($A131,Weeks!$A:$A,0)))-COUNTIFS(Tasks!$A:$A,$C131,Tasks!$F:$F,$B131,Tasks!$I:$I,"&lt;="&amp;INDEX(Weeks!$D:$D,MATCH($A131,Weeks!$A:$A,0)),Tasks!$I:$I,"&lt;&gt;")</f>
        <v>0</v>
      </c>
      <c r="E131">
        <f>COUNTIFS(Tasks!$A:$A,$C131,Tasks!$F:$F,$B131,Tasks!$I:$I,"&gt;"&amp;INDEX(Weeks!$D:$D,MATCH($A131-1,Weeks!$A:$A,0)),Tasks!$I:$I,"&lt;="&amp;INDEX(Weeks!$D:$D,MATCH($A131,Weeks!$A:$A,0)),Tasks!$I:$I,"&lt;&gt;")</f>
        <v>0</v>
      </c>
    </row>
    <row r="132" spans="1:5" ht="15" customHeight="1">
      <c r="A132">
        <v>41</v>
      </c>
      <c r="B132" t="s">
        <v>61</v>
      </c>
      <c r="C132" t="s">
        <v>102</v>
      </c>
      <c r="D132">
        <f>COUNTIFS(Tasks!$A:$A,$C132,Tasks!$F:$F,$B132,Tasks!$G:$G,"&lt;="&amp;INDEX(Weeks!$D:$D,MATCH($A132,Weeks!$A:$A,0)))-COUNTIFS(Tasks!$A:$A,$C132,Tasks!$F:$F,$B132,Tasks!$I:$I,"&lt;="&amp;INDEX(Weeks!$D:$D,MATCH($A132,Weeks!$A:$A,0)),Tasks!$I:$I,"&lt;&gt;")</f>
        <v>0</v>
      </c>
      <c r="E132">
        <f>COUNTIFS(Tasks!$A:$A,$C132,Tasks!$F:$F,$B132,Tasks!$I:$I,"&gt;"&amp;INDEX(Weeks!$D:$D,MATCH($A132-1,Weeks!$A:$A,0)),Tasks!$I:$I,"&lt;="&amp;INDEX(Weeks!$D:$D,MATCH($A132,Weeks!$A:$A,0)),Tasks!$I:$I,"&lt;&gt;")</f>
        <v>0</v>
      </c>
    </row>
    <row r="133" spans="1:5" ht="15" customHeight="1">
      <c r="A133">
        <v>41</v>
      </c>
      <c r="B133" t="s">
        <v>61</v>
      </c>
      <c r="C133" t="s">
        <v>107</v>
      </c>
      <c r="D133">
        <f>COUNTIFS(Tasks!$A:$A,$C133,Tasks!$F:$F,$B133,Tasks!$G:$G,"&lt;="&amp;INDEX(Weeks!$D:$D,MATCH($A133,Weeks!$A:$A,0)))-COUNTIFS(Tasks!$A:$A,$C133,Tasks!$F:$F,$B133,Tasks!$I:$I,"&lt;="&amp;INDEX(Weeks!$D:$D,MATCH($A133,Weeks!$A:$A,0)),Tasks!$I:$I,"&lt;&gt;")</f>
        <v>0</v>
      </c>
      <c r="E133">
        <f>COUNTIFS(Tasks!$A:$A,$C133,Tasks!$F:$F,$B133,Tasks!$I:$I,"&gt;"&amp;INDEX(Weeks!$D:$D,MATCH($A133-1,Weeks!$A:$A,0)),Tasks!$I:$I,"&lt;="&amp;INDEX(Weeks!$D:$D,MATCH($A133,Weeks!$A:$A,0)),Tasks!$I:$I,"&lt;&gt;")</f>
        <v>0</v>
      </c>
    </row>
    <row r="134" spans="1:5" ht="15" customHeight="1">
      <c r="A134">
        <v>41</v>
      </c>
      <c r="B134" t="s">
        <v>69</v>
      </c>
      <c r="C134" t="s">
        <v>93</v>
      </c>
      <c r="D134">
        <f>COUNTIFS(Tasks!$A:$A,$C134,Tasks!$F:$F,$B134,Tasks!$G:$G,"&lt;="&amp;INDEX(Weeks!$D:$D,MATCH($A134,Weeks!$A:$A,0)))-COUNTIFS(Tasks!$A:$A,$C134,Tasks!$F:$F,$B134,Tasks!$I:$I,"&lt;="&amp;INDEX(Weeks!$D:$D,MATCH($A134,Weeks!$A:$A,0)),Tasks!$I:$I,"&lt;&gt;")</f>
        <v>0</v>
      </c>
      <c r="E134">
        <f>COUNTIFS(Tasks!$A:$A,$C134,Tasks!$F:$F,$B134,Tasks!$I:$I,"&gt;"&amp;INDEX(Weeks!$D:$D,MATCH($A134-1,Weeks!$A:$A,0)),Tasks!$I:$I,"&lt;="&amp;INDEX(Weeks!$D:$D,MATCH($A134,Weeks!$A:$A,0)),Tasks!$I:$I,"&lt;&gt;")</f>
        <v>0</v>
      </c>
    </row>
    <row r="135" spans="1:5" ht="15" customHeight="1">
      <c r="A135">
        <v>41</v>
      </c>
      <c r="B135" t="s">
        <v>69</v>
      </c>
      <c r="C135" t="s">
        <v>97</v>
      </c>
      <c r="D135">
        <f>COUNTIFS(Tasks!$A:$A,$C135,Tasks!$F:$F,$B135,Tasks!$G:$G,"&lt;="&amp;INDEX(Weeks!$D:$D,MATCH($A135,Weeks!$A:$A,0)))-COUNTIFS(Tasks!$A:$A,$C135,Tasks!$F:$F,$B135,Tasks!$I:$I,"&lt;="&amp;INDEX(Weeks!$D:$D,MATCH($A135,Weeks!$A:$A,0)),Tasks!$I:$I,"&lt;&gt;")</f>
        <v>0</v>
      </c>
      <c r="E135">
        <f>COUNTIFS(Tasks!$A:$A,$C135,Tasks!$F:$F,$B135,Tasks!$I:$I,"&gt;"&amp;INDEX(Weeks!$D:$D,MATCH($A135-1,Weeks!$A:$A,0)),Tasks!$I:$I,"&lt;="&amp;INDEX(Weeks!$D:$D,MATCH($A135,Weeks!$A:$A,0)),Tasks!$I:$I,"&lt;&gt;")</f>
        <v>0</v>
      </c>
    </row>
    <row r="136" spans="1:5" ht="15" customHeight="1">
      <c r="A136">
        <v>41</v>
      </c>
      <c r="B136" t="s">
        <v>69</v>
      </c>
      <c r="C136" t="s">
        <v>102</v>
      </c>
      <c r="D136">
        <f>COUNTIFS(Tasks!$A:$A,$C136,Tasks!$F:$F,$B136,Tasks!$G:$G,"&lt;="&amp;INDEX(Weeks!$D:$D,MATCH($A136,Weeks!$A:$A,0)))-COUNTIFS(Tasks!$A:$A,$C136,Tasks!$F:$F,$B136,Tasks!$I:$I,"&lt;="&amp;INDEX(Weeks!$D:$D,MATCH($A136,Weeks!$A:$A,0)),Tasks!$I:$I,"&lt;&gt;")</f>
        <v>0</v>
      </c>
      <c r="E136">
        <f>COUNTIFS(Tasks!$A:$A,$C136,Tasks!$F:$F,$B136,Tasks!$I:$I,"&gt;"&amp;INDEX(Weeks!$D:$D,MATCH($A136-1,Weeks!$A:$A,0)),Tasks!$I:$I,"&lt;="&amp;INDEX(Weeks!$D:$D,MATCH($A136,Weeks!$A:$A,0)),Tasks!$I:$I,"&lt;&gt;")</f>
        <v>0</v>
      </c>
    </row>
    <row r="137" spans="1:5" ht="15" customHeight="1">
      <c r="A137">
        <v>41</v>
      </c>
      <c r="B137" t="s">
        <v>69</v>
      </c>
      <c r="C137" t="s">
        <v>107</v>
      </c>
      <c r="D137">
        <f>COUNTIFS(Tasks!$A:$A,$C137,Tasks!$F:$F,$B137,Tasks!$G:$G,"&lt;="&amp;INDEX(Weeks!$D:$D,MATCH($A137,Weeks!$A:$A,0)))-COUNTIFS(Tasks!$A:$A,$C137,Tasks!$F:$F,$B137,Tasks!$I:$I,"&lt;="&amp;INDEX(Weeks!$D:$D,MATCH($A137,Weeks!$A:$A,0)),Tasks!$I:$I,"&lt;&gt;")</f>
        <v>0</v>
      </c>
      <c r="E137">
        <f>COUNTIFS(Tasks!$A:$A,$C137,Tasks!$F:$F,$B137,Tasks!$I:$I,"&gt;"&amp;INDEX(Weeks!$D:$D,MATCH($A137-1,Weeks!$A:$A,0)),Tasks!$I:$I,"&lt;="&amp;INDEX(Weeks!$D:$D,MATCH($A137,Weeks!$A:$A,0)),Tasks!$I:$I,"&lt;&gt;")</f>
        <v>0</v>
      </c>
    </row>
    <row r="138" spans="1:5" ht="15" customHeight="1">
      <c r="A138">
        <v>42</v>
      </c>
      <c r="B138" t="s">
        <v>61</v>
      </c>
      <c r="C138" t="s">
        <v>93</v>
      </c>
      <c r="D138">
        <f>COUNTIFS(Tasks!$A:$A,$C138,Tasks!$F:$F,$B138,Tasks!$G:$G,"&lt;="&amp;INDEX(Weeks!$D:$D,MATCH($A138,Weeks!$A:$A,0)))-COUNTIFS(Tasks!$A:$A,$C138,Tasks!$F:$F,$B138,Tasks!$I:$I,"&lt;="&amp;INDEX(Weeks!$D:$D,MATCH($A138,Weeks!$A:$A,0)),Tasks!$I:$I,"&lt;&gt;")</f>
        <v>0</v>
      </c>
      <c r="E138">
        <f>COUNTIFS(Tasks!$A:$A,$C138,Tasks!$F:$F,$B138,Tasks!$I:$I,"&gt;"&amp;INDEX(Weeks!$D:$D,MATCH($A138-1,Weeks!$A:$A,0)),Tasks!$I:$I,"&lt;="&amp;INDEX(Weeks!$D:$D,MATCH($A138,Weeks!$A:$A,0)),Tasks!$I:$I,"&lt;&gt;")</f>
        <v>0</v>
      </c>
    </row>
    <row r="139" spans="1:5" ht="15" customHeight="1">
      <c r="A139">
        <v>42</v>
      </c>
      <c r="B139" t="s">
        <v>61</v>
      </c>
      <c r="C139" t="s">
        <v>97</v>
      </c>
      <c r="D139">
        <f>COUNTIFS(Tasks!$A:$A,$C139,Tasks!$F:$F,$B139,Tasks!$G:$G,"&lt;="&amp;INDEX(Weeks!$D:$D,MATCH($A139,Weeks!$A:$A,0)))-COUNTIFS(Tasks!$A:$A,$C139,Tasks!$F:$F,$B139,Tasks!$I:$I,"&lt;="&amp;INDEX(Weeks!$D:$D,MATCH($A139,Weeks!$A:$A,0)),Tasks!$I:$I,"&lt;&gt;")</f>
        <v>0</v>
      </c>
      <c r="E139">
        <f>COUNTIFS(Tasks!$A:$A,$C139,Tasks!$F:$F,$B139,Tasks!$I:$I,"&gt;"&amp;INDEX(Weeks!$D:$D,MATCH($A139-1,Weeks!$A:$A,0)),Tasks!$I:$I,"&lt;="&amp;INDEX(Weeks!$D:$D,MATCH($A139,Weeks!$A:$A,0)),Tasks!$I:$I,"&lt;&gt;")</f>
        <v>0</v>
      </c>
    </row>
    <row r="140" spans="1:5" ht="15" customHeight="1">
      <c r="A140">
        <v>42</v>
      </c>
      <c r="B140" t="s">
        <v>61</v>
      </c>
      <c r="C140" t="s">
        <v>102</v>
      </c>
      <c r="D140">
        <f>COUNTIFS(Tasks!$A:$A,$C140,Tasks!$F:$F,$B140,Tasks!$G:$G,"&lt;="&amp;INDEX(Weeks!$D:$D,MATCH($A140,Weeks!$A:$A,0)))-COUNTIFS(Tasks!$A:$A,$C140,Tasks!$F:$F,$B140,Tasks!$I:$I,"&lt;="&amp;INDEX(Weeks!$D:$D,MATCH($A140,Weeks!$A:$A,0)),Tasks!$I:$I,"&lt;&gt;")</f>
        <v>0</v>
      </c>
      <c r="E140">
        <f>COUNTIFS(Tasks!$A:$A,$C140,Tasks!$F:$F,$B140,Tasks!$I:$I,"&gt;"&amp;INDEX(Weeks!$D:$D,MATCH($A140-1,Weeks!$A:$A,0)),Tasks!$I:$I,"&lt;="&amp;INDEX(Weeks!$D:$D,MATCH($A140,Weeks!$A:$A,0)),Tasks!$I:$I,"&lt;&gt;")</f>
        <v>0</v>
      </c>
    </row>
    <row r="141" spans="1:5" ht="15" customHeight="1">
      <c r="A141">
        <v>42</v>
      </c>
      <c r="B141" t="s">
        <v>61</v>
      </c>
      <c r="C141" t="s">
        <v>107</v>
      </c>
      <c r="D141">
        <f>COUNTIFS(Tasks!$A:$A,$C141,Tasks!$F:$F,$B141,Tasks!$G:$G,"&lt;="&amp;INDEX(Weeks!$D:$D,MATCH($A141,Weeks!$A:$A,0)))-COUNTIFS(Tasks!$A:$A,$C141,Tasks!$F:$F,$B141,Tasks!$I:$I,"&lt;="&amp;INDEX(Weeks!$D:$D,MATCH($A141,Weeks!$A:$A,0)),Tasks!$I:$I,"&lt;&gt;")</f>
        <v>0</v>
      </c>
      <c r="E141">
        <f>COUNTIFS(Tasks!$A:$A,$C141,Tasks!$F:$F,$B141,Tasks!$I:$I,"&gt;"&amp;INDEX(Weeks!$D:$D,MATCH($A141-1,Weeks!$A:$A,0)),Tasks!$I:$I,"&lt;="&amp;INDEX(Weeks!$D:$D,MATCH($A141,Weeks!$A:$A,0)),Tasks!$I:$I,"&lt;&gt;")</f>
        <v>0</v>
      </c>
    </row>
    <row r="142" spans="1:5" ht="15" customHeight="1">
      <c r="A142">
        <v>42</v>
      </c>
      <c r="B142" t="s">
        <v>69</v>
      </c>
      <c r="C142" t="s">
        <v>93</v>
      </c>
      <c r="D142">
        <f>COUNTIFS(Tasks!$A:$A,$C142,Tasks!$F:$F,$B142,Tasks!$G:$G,"&lt;="&amp;INDEX(Weeks!$D:$D,MATCH($A142,Weeks!$A:$A,0)))-COUNTIFS(Tasks!$A:$A,$C142,Tasks!$F:$F,$B142,Tasks!$I:$I,"&lt;="&amp;INDEX(Weeks!$D:$D,MATCH($A142,Weeks!$A:$A,0)),Tasks!$I:$I,"&lt;&gt;")</f>
        <v>0</v>
      </c>
      <c r="E142">
        <f>COUNTIFS(Tasks!$A:$A,$C142,Tasks!$F:$F,$B142,Tasks!$I:$I,"&gt;"&amp;INDEX(Weeks!$D:$D,MATCH($A142-1,Weeks!$A:$A,0)),Tasks!$I:$I,"&lt;="&amp;INDEX(Weeks!$D:$D,MATCH($A142,Weeks!$A:$A,0)),Tasks!$I:$I,"&lt;&gt;")</f>
        <v>0</v>
      </c>
    </row>
    <row r="143" spans="1:5" ht="15" customHeight="1">
      <c r="A143">
        <v>42</v>
      </c>
      <c r="B143" t="s">
        <v>69</v>
      </c>
      <c r="C143" t="s">
        <v>97</v>
      </c>
      <c r="D143">
        <f>COUNTIFS(Tasks!$A:$A,$C143,Tasks!$F:$F,$B143,Tasks!$G:$G,"&lt;="&amp;INDEX(Weeks!$D:$D,MATCH($A143,Weeks!$A:$A,0)))-COUNTIFS(Tasks!$A:$A,$C143,Tasks!$F:$F,$B143,Tasks!$I:$I,"&lt;="&amp;INDEX(Weeks!$D:$D,MATCH($A143,Weeks!$A:$A,0)),Tasks!$I:$I,"&lt;&gt;")</f>
        <v>0</v>
      </c>
      <c r="E143">
        <f>COUNTIFS(Tasks!$A:$A,$C143,Tasks!$F:$F,$B143,Tasks!$I:$I,"&gt;"&amp;INDEX(Weeks!$D:$D,MATCH($A143-1,Weeks!$A:$A,0)),Tasks!$I:$I,"&lt;="&amp;INDEX(Weeks!$D:$D,MATCH($A143,Weeks!$A:$A,0)),Tasks!$I:$I,"&lt;&gt;")</f>
        <v>0</v>
      </c>
    </row>
    <row r="144" spans="1:5" ht="15" customHeight="1">
      <c r="A144">
        <v>42</v>
      </c>
      <c r="B144" t="s">
        <v>69</v>
      </c>
      <c r="C144" t="s">
        <v>102</v>
      </c>
      <c r="D144">
        <f>COUNTIFS(Tasks!$A:$A,$C144,Tasks!$F:$F,$B144,Tasks!$G:$G,"&lt;="&amp;INDEX(Weeks!$D:$D,MATCH($A144,Weeks!$A:$A,0)))-COUNTIFS(Tasks!$A:$A,$C144,Tasks!$F:$F,$B144,Tasks!$I:$I,"&lt;="&amp;INDEX(Weeks!$D:$D,MATCH($A144,Weeks!$A:$A,0)),Tasks!$I:$I,"&lt;&gt;")</f>
        <v>0</v>
      </c>
      <c r="E144">
        <f>COUNTIFS(Tasks!$A:$A,$C144,Tasks!$F:$F,$B144,Tasks!$I:$I,"&gt;"&amp;INDEX(Weeks!$D:$D,MATCH($A144-1,Weeks!$A:$A,0)),Tasks!$I:$I,"&lt;="&amp;INDEX(Weeks!$D:$D,MATCH($A144,Weeks!$A:$A,0)),Tasks!$I:$I,"&lt;&gt;")</f>
        <v>0</v>
      </c>
    </row>
    <row r="145" spans="1:5" ht="15" customHeight="1">
      <c r="A145">
        <v>42</v>
      </c>
      <c r="B145" t="s">
        <v>69</v>
      </c>
      <c r="C145" t="s">
        <v>107</v>
      </c>
      <c r="D145">
        <f>COUNTIFS(Tasks!$A:$A,$C145,Tasks!$F:$F,$B145,Tasks!$G:$G,"&lt;="&amp;INDEX(Weeks!$D:$D,MATCH($A145,Weeks!$A:$A,0)))-COUNTIFS(Tasks!$A:$A,$C145,Tasks!$F:$F,$B145,Tasks!$I:$I,"&lt;="&amp;INDEX(Weeks!$D:$D,MATCH($A145,Weeks!$A:$A,0)),Tasks!$I:$I,"&lt;&gt;")</f>
        <v>0</v>
      </c>
      <c r="E145">
        <f>COUNTIFS(Tasks!$A:$A,$C145,Tasks!$F:$F,$B145,Tasks!$I:$I,"&gt;"&amp;INDEX(Weeks!$D:$D,MATCH($A145-1,Weeks!$A:$A,0)),Tasks!$I:$I,"&lt;="&amp;INDEX(Weeks!$D:$D,MATCH($A145,Weeks!$A:$A,0)),Tasks!$I:$I,"&lt;&gt;")</f>
        <v>0</v>
      </c>
    </row>
    <row r="146" spans="1:5" ht="15" customHeight="1">
      <c r="A146">
        <v>43</v>
      </c>
      <c r="B146" t="s">
        <v>61</v>
      </c>
      <c r="C146" t="s">
        <v>93</v>
      </c>
      <c r="D146">
        <f>COUNTIFS(Tasks!$A:$A,$C146,Tasks!$F:$F,$B146,Tasks!$G:$G,"&lt;="&amp;INDEX(Weeks!$D:$D,MATCH($A146,Weeks!$A:$A,0)))-COUNTIFS(Tasks!$A:$A,$C146,Tasks!$F:$F,$B146,Tasks!$I:$I,"&lt;="&amp;INDEX(Weeks!$D:$D,MATCH($A146,Weeks!$A:$A,0)),Tasks!$I:$I,"&lt;&gt;")</f>
        <v>0</v>
      </c>
      <c r="E146">
        <f>COUNTIFS(Tasks!$A:$A,$C146,Tasks!$F:$F,$B146,Tasks!$I:$I,"&gt;"&amp;INDEX(Weeks!$D:$D,MATCH($A146-1,Weeks!$A:$A,0)),Tasks!$I:$I,"&lt;="&amp;INDEX(Weeks!$D:$D,MATCH($A146,Weeks!$A:$A,0)),Tasks!$I:$I,"&lt;&gt;")</f>
        <v>0</v>
      </c>
    </row>
    <row r="147" spans="1:5" ht="15" customHeight="1">
      <c r="A147">
        <v>43</v>
      </c>
      <c r="B147" t="s">
        <v>61</v>
      </c>
      <c r="C147" t="s">
        <v>97</v>
      </c>
      <c r="D147">
        <f>COUNTIFS(Tasks!$A:$A,$C147,Tasks!$F:$F,$B147,Tasks!$G:$G,"&lt;="&amp;INDEX(Weeks!$D:$D,MATCH($A147,Weeks!$A:$A,0)))-COUNTIFS(Tasks!$A:$A,$C147,Tasks!$F:$F,$B147,Tasks!$I:$I,"&lt;="&amp;INDEX(Weeks!$D:$D,MATCH($A147,Weeks!$A:$A,0)),Tasks!$I:$I,"&lt;&gt;")</f>
        <v>0</v>
      </c>
      <c r="E147">
        <f>COUNTIFS(Tasks!$A:$A,$C147,Tasks!$F:$F,$B147,Tasks!$I:$I,"&gt;"&amp;INDEX(Weeks!$D:$D,MATCH($A147-1,Weeks!$A:$A,0)),Tasks!$I:$I,"&lt;="&amp;INDEX(Weeks!$D:$D,MATCH($A147,Weeks!$A:$A,0)),Tasks!$I:$I,"&lt;&gt;")</f>
        <v>0</v>
      </c>
    </row>
    <row r="148" spans="1:5" ht="15" customHeight="1">
      <c r="A148">
        <v>43</v>
      </c>
      <c r="B148" t="s">
        <v>61</v>
      </c>
      <c r="C148" t="s">
        <v>102</v>
      </c>
      <c r="D148">
        <f>COUNTIFS(Tasks!$A:$A,$C148,Tasks!$F:$F,$B148,Tasks!$G:$G,"&lt;="&amp;INDEX(Weeks!$D:$D,MATCH($A148,Weeks!$A:$A,0)))-COUNTIFS(Tasks!$A:$A,$C148,Tasks!$F:$F,$B148,Tasks!$I:$I,"&lt;="&amp;INDEX(Weeks!$D:$D,MATCH($A148,Weeks!$A:$A,0)),Tasks!$I:$I,"&lt;&gt;")</f>
        <v>0</v>
      </c>
      <c r="E148">
        <f>COUNTIFS(Tasks!$A:$A,$C148,Tasks!$F:$F,$B148,Tasks!$I:$I,"&gt;"&amp;INDEX(Weeks!$D:$D,MATCH($A148-1,Weeks!$A:$A,0)),Tasks!$I:$I,"&lt;="&amp;INDEX(Weeks!$D:$D,MATCH($A148,Weeks!$A:$A,0)),Tasks!$I:$I,"&lt;&gt;")</f>
        <v>0</v>
      </c>
    </row>
    <row r="149" spans="1:5" ht="15" customHeight="1">
      <c r="A149">
        <v>43</v>
      </c>
      <c r="B149" t="s">
        <v>61</v>
      </c>
      <c r="C149" t="s">
        <v>107</v>
      </c>
      <c r="D149">
        <f>COUNTIFS(Tasks!$A:$A,$C149,Tasks!$F:$F,$B149,Tasks!$G:$G,"&lt;="&amp;INDEX(Weeks!$D:$D,MATCH($A149,Weeks!$A:$A,0)))-COUNTIFS(Tasks!$A:$A,$C149,Tasks!$F:$F,$B149,Tasks!$I:$I,"&lt;="&amp;INDEX(Weeks!$D:$D,MATCH($A149,Weeks!$A:$A,0)),Tasks!$I:$I,"&lt;&gt;")</f>
        <v>0</v>
      </c>
      <c r="E149">
        <f>COUNTIFS(Tasks!$A:$A,$C149,Tasks!$F:$F,$B149,Tasks!$I:$I,"&gt;"&amp;INDEX(Weeks!$D:$D,MATCH($A149-1,Weeks!$A:$A,0)),Tasks!$I:$I,"&lt;="&amp;INDEX(Weeks!$D:$D,MATCH($A149,Weeks!$A:$A,0)),Tasks!$I:$I,"&lt;&gt;")</f>
        <v>0</v>
      </c>
    </row>
    <row r="150" spans="1:5" ht="15" customHeight="1">
      <c r="A150">
        <v>43</v>
      </c>
      <c r="B150" t="s">
        <v>69</v>
      </c>
      <c r="C150" t="s">
        <v>93</v>
      </c>
      <c r="D150">
        <f>COUNTIFS(Tasks!$A:$A,$C150,Tasks!$F:$F,$B150,Tasks!$G:$G,"&lt;="&amp;INDEX(Weeks!$D:$D,MATCH($A150,Weeks!$A:$A,0)))-COUNTIFS(Tasks!$A:$A,$C150,Tasks!$F:$F,$B150,Tasks!$I:$I,"&lt;="&amp;INDEX(Weeks!$D:$D,MATCH($A150,Weeks!$A:$A,0)),Tasks!$I:$I,"&lt;&gt;")</f>
        <v>0</v>
      </c>
      <c r="E150">
        <f>COUNTIFS(Tasks!$A:$A,$C150,Tasks!$F:$F,$B150,Tasks!$I:$I,"&gt;"&amp;INDEX(Weeks!$D:$D,MATCH($A150-1,Weeks!$A:$A,0)),Tasks!$I:$I,"&lt;="&amp;INDEX(Weeks!$D:$D,MATCH($A150,Weeks!$A:$A,0)),Tasks!$I:$I,"&lt;&gt;")</f>
        <v>0</v>
      </c>
    </row>
    <row r="151" spans="1:5" ht="15" customHeight="1">
      <c r="A151">
        <v>43</v>
      </c>
      <c r="B151" t="s">
        <v>69</v>
      </c>
      <c r="C151" t="s">
        <v>97</v>
      </c>
      <c r="D151">
        <f>COUNTIFS(Tasks!$A:$A,$C151,Tasks!$F:$F,$B151,Tasks!$G:$G,"&lt;="&amp;INDEX(Weeks!$D:$D,MATCH($A151,Weeks!$A:$A,0)))-COUNTIFS(Tasks!$A:$A,$C151,Tasks!$F:$F,$B151,Tasks!$I:$I,"&lt;="&amp;INDEX(Weeks!$D:$D,MATCH($A151,Weeks!$A:$A,0)),Tasks!$I:$I,"&lt;&gt;")</f>
        <v>0</v>
      </c>
      <c r="E151">
        <f>COUNTIFS(Tasks!$A:$A,$C151,Tasks!$F:$F,$B151,Tasks!$I:$I,"&gt;"&amp;INDEX(Weeks!$D:$D,MATCH($A151-1,Weeks!$A:$A,0)),Tasks!$I:$I,"&lt;="&amp;INDEX(Weeks!$D:$D,MATCH($A151,Weeks!$A:$A,0)),Tasks!$I:$I,"&lt;&gt;")</f>
        <v>0</v>
      </c>
    </row>
    <row r="152" spans="1:5" ht="15" customHeight="1">
      <c r="A152">
        <v>43</v>
      </c>
      <c r="B152" t="s">
        <v>69</v>
      </c>
      <c r="C152" t="s">
        <v>102</v>
      </c>
      <c r="D152">
        <f>COUNTIFS(Tasks!$A:$A,$C152,Tasks!$F:$F,$B152,Tasks!$G:$G,"&lt;="&amp;INDEX(Weeks!$D:$D,MATCH($A152,Weeks!$A:$A,0)))-COUNTIFS(Tasks!$A:$A,$C152,Tasks!$F:$F,$B152,Tasks!$I:$I,"&lt;="&amp;INDEX(Weeks!$D:$D,MATCH($A152,Weeks!$A:$A,0)),Tasks!$I:$I,"&lt;&gt;")</f>
        <v>0</v>
      </c>
      <c r="E152">
        <f>COUNTIFS(Tasks!$A:$A,$C152,Tasks!$F:$F,$B152,Tasks!$I:$I,"&gt;"&amp;INDEX(Weeks!$D:$D,MATCH($A152-1,Weeks!$A:$A,0)),Tasks!$I:$I,"&lt;="&amp;INDEX(Weeks!$D:$D,MATCH($A152,Weeks!$A:$A,0)),Tasks!$I:$I,"&lt;&gt;")</f>
        <v>0</v>
      </c>
    </row>
    <row r="153" spans="1:5" ht="15" customHeight="1">
      <c r="A153">
        <v>43</v>
      </c>
      <c r="B153" t="s">
        <v>69</v>
      </c>
      <c r="C153" t="s">
        <v>107</v>
      </c>
      <c r="D153">
        <f>COUNTIFS(Tasks!$A:$A,$C153,Tasks!$F:$F,$B153,Tasks!$G:$G,"&lt;="&amp;INDEX(Weeks!$D:$D,MATCH($A153,Weeks!$A:$A,0)))-COUNTIFS(Tasks!$A:$A,$C153,Tasks!$F:$F,$B153,Tasks!$I:$I,"&lt;="&amp;INDEX(Weeks!$D:$D,MATCH($A153,Weeks!$A:$A,0)),Tasks!$I:$I,"&lt;&gt;")</f>
        <v>0</v>
      </c>
      <c r="E153">
        <f>COUNTIFS(Tasks!$A:$A,$C153,Tasks!$F:$F,$B153,Tasks!$I:$I,"&gt;"&amp;INDEX(Weeks!$D:$D,MATCH($A153-1,Weeks!$A:$A,0)),Tasks!$I:$I,"&lt;="&amp;INDEX(Weeks!$D:$D,MATCH($A153,Weeks!$A:$A,0)),Tasks!$I:$I,"&lt;&gt;")</f>
        <v>0</v>
      </c>
    </row>
    <row r="154" spans="1:5" ht="15" customHeight="1">
      <c r="A154">
        <v>44</v>
      </c>
      <c r="B154" t="s">
        <v>61</v>
      </c>
      <c r="C154" t="s">
        <v>93</v>
      </c>
      <c r="D154">
        <f>COUNTIFS(Tasks!$A:$A,$C154,Tasks!$F:$F,$B154,Tasks!$G:$G,"&lt;="&amp;INDEX(Weeks!$D:$D,MATCH($A154,Weeks!$A:$A,0)))-COUNTIFS(Tasks!$A:$A,$C154,Tasks!$F:$F,$B154,Tasks!$I:$I,"&lt;="&amp;INDEX(Weeks!$D:$D,MATCH($A154,Weeks!$A:$A,0)),Tasks!$I:$I,"&lt;&gt;")</f>
        <v>0</v>
      </c>
      <c r="E154">
        <f>COUNTIFS(Tasks!$A:$A,$C154,Tasks!$F:$F,$B154,Tasks!$I:$I,"&gt;"&amp;INDEX(Weeks!$D:$D,MATCH($A154-1,Weeks!$A:$A,0)),Tasks!$I:$I,"&lt;="&amp;INDEX(Weeks!$D:$D,MATCH($A154,Weeks!$A:$A,0)),Tasks!$I:$I,"&lt;&gt;")</f>
        <v>0</v>
      </c>
    </row>
    <row r="155" spans="1:5" ht="15" customHeight="1">
      <c r="A155">
        <v>44</v>
      </c>
      <c r="B155" t="s">
        <v>61</v>
      </c>
      <c r="C155" t="s">
        <v>97</v>
      </c>
      <c r="D155">
        <f>COUNTIFS(Tasks!$A:$A,$C155,Tasks!$F:$F,$B155,Tasks!$G:$G,"&lt;="&amp;INDEX(Weeks!$D:$D,MATCH($A155,Weeks!$A:$A,0)))-COUNTIFS(Tasks!$A:$A,$C155,Tasks!$F:$F,$B155,Tasks!$I:$I,"&lt;="&amp;INDEX(Weeks!$D:$D,MATCH($A155,Weeks!$A:$A,0)),Tasks!$I:$I,"&lt;&gt;")</f>
        <v>0</v>
      </c>
      <c r="E155">
        <f>COUNTIFS(Tasks!$A:$A,$C155,Tasks!$F:$F,$B155,Tasks!$I:$I,"&gt;"&amp;INDEX(Weeks!$D:$D,MATCH($A155-1,Weeks!$A:$A,0)),Tasks!$I:$I,"&lt;="&amp;INDEX(Weeks!$D:$D,MATCH($A155,Weeks!$A:$A,0)),Tasks!$I:$I,"&lt;&gt;")</f>
        <v>0</v>
      </c>
    </row>
    <row r="156" spans="1:5" ht="15" customHeight="1">
      <c r="A156">
        <v>44</v>
      </c>
      <c r="B156" t="s">
        <v>61</v>
      </c>
      <c r="C156" t="s">
        <v>102</v>
      </c>
      <c r="D156">
        <f>COUNTIFS(Tasks!$A:$A,$C156,Tasks!$F:$F,$B156,Tasks!$G:$G,"&lt;="&amp;INDEX(Weeks!$D:$D,MATCH($A156,Weeks!$A:$A,0)))-COUNTIFS(Tasks!$A:$A,$C156,Tasks!$F:$F,$B156,Tasks!$I:$I,"&lt;="&amp;INDEX(Weeks!$D:$D,MATCH($A156,Weeks!$A:$A,0)),Tasks!$I:$I,"&lt;&gt;")</f>
        <v>0</v>
      </c>
      <c r="E156">
        <f>COUNTIFS(Tasks!$A:$A,$C156,Tasks!$F:$F,$B156,Tasks!$I:$I,"&gt;"&amp;INDEX(Weeks!$D:$D,MATCH($A156-1,Weeks!$A:$A,0)),Tasks!$I:$I,"&lt;="&amp;INDEX(Weeks!$D:$D,MATCH($A156,Weeks!$A:$A,0)),Tasks!$I:$I,"&lt;&gt;")</f>
        <v>0</v>
      </c>
    </row>
    <row r="157" spans="1:5" ht="15" customHeight="1">
      <c r="A157">
        <v>44</v>
      </c>
      <c r="B157" t="s">
        <v>61</v>
      </c>
      <c r="C157" t="s">
        <v>107</v>
      </c>
      <c r="D157">
        <f>COUNTIFS(Tasks!$A:$A,$C157,Tasks!$F:$F,$B157,Tasks!$G:$G,"&lt;="&amp;INDEX(Weeks!$D:$D,MATCH($A157,Weeks!$A:$A,0)))-COUNTIFS(Tasks!$A:$A,$C157,Tasks!$F:$F,$B157,Tasks!$I:$I,"&lt;="&amp;INDEX(Weeks!$D:$D,MATCH($A157,Weeks!$A:$A,0)),Tasks!$I:$I,"&lt;&gt;")</f>
        <v>0</v>
      </c>
      <c r="E157">
        <f>COUNTIFS(Tasks!$A:$A,$C157,Tasks!$F:$F,$B157,Tasks!$I:$I,"&gt;"&amp;INDEX(Weeks!$D:$D,MATCH($A157-1,Weeks!$A:$A,0)),Tasks!$I:$I,"&lt;="&amp;INDEX(Weeks!$D:$D,MATCH($A157,Weeks!$A:$A,0)),Tasks!$I:$I,"&lt;&gt;")</f>
        <v>0</v>
      </c>
    </row>
    <row r="158" spans="1:5" ht="15" customHeight="1">
      <c r="A158">
        <v>44</v>
      </c>
      <c r="B158" t="s">
        <v>69</v>
      </c>
      <c r="C158" t="s">
        <v>93</v>
      </c>
      <c r="D158">
        <f>COUNTIFS(Tasks!$A:$A,$C158,Tasks!$F:$F,$B158,Tasks!$G:$G,"&lt;="&amp;INDEX(Weeks!$D:$D,MATCH($A158,Weeks!$A:$A,0)))-COUNTIFS(Tasks!$A:$A,$C158,Tasks!$F:$F,$B158,Tasks!$I:$I,"&lt;="&amp;INDEX(Weeks!$D:$D,MATCH($A158,Weeks!$A:$A,0)),Tasks!$I:$I,"&lt;&gt;")</f>
        <v>0</v>
      </c>
      <c r="E158">
        <f>COUNTIFS(Tasks!$A:$A,$C158,Tasks!$F:$F,$B158,Tasks!$I:$I,"&gt;"&amp;INDEX(Weeks!$D:$D,MATCH($A158-1,Weeks!$A:$A,0)),Tasks!$I:$I,"&lt;="&amp;INDEX(Weeks!$D:$D,MATCH($A158,Weeks!$A:$A,0)),Tasks!$I:$I,"&lt;&gt;")</f>
        <v>0</v>
      </c>
    </row>
    <row r="159" spans="1:5" ht="15" customHeight="1">
      <c r="A159">
        <v>44</v>
      </c>
      <c r="B159" t="s">
        <v>69</v>
      </c>
      <c r="C159" t="s">
        <v>97</v>
      </c>
      <c r="D159">
        <f>COUNTIFS(Tasks!$A:$A,$C159,Tasks!$F:$F,$B159,Tasks!$G:$G,"&lt;="&amp;INDEX(Weeks!$D:$D,MATCH($A159,Weeks!$A:$A,0)))-COUNTIFS(Tasks!$A:$A,$C159,Tasks!$F:$F,$B159,Tasks!$I:$I,"&lt;="&amp;INDEX(Weeks!$D:$D,MATCH($A159,Weeks!$A:$A,0)),Tasks!$I:$I,"&lt;&gt;")</f>
        <v>0</v>
      </c>
      <c r="E159">
        <f>COUNTIFS(Tasks!$A:$A,$C159,Tasks!$F:$F,$B159,Tasks!$I:$I,"&gt;"&amp;INDEX(Weeks!$D:$D,MATCH($A159-1,Weeks!$A:$A,0)),Tasks!$I:$I,"&lt;="&amp;INDEX(Weeks!$D:$D,MATCH($A159,Weeks!$A:$A,0)),Tasks!$I:$I,"&lt;&gt;")</f>
        <v>0</v>
      </c>
    </row>
    <row r="160" spans="1:5" ht="15" customHeight="1">
      <c r="A160">
        <v>44</v>
      </c>
      <c r="B160" t="s">
        <v>69</v>
      </c>
      <c r="C160" t="s">
        <v>102</v>
      </c>
      <c r="D160">
        <f>COUNTIFS(Tasks!$A:$A,$C160,Tasks!$F:$F,$B160,Tasks!$G:$G,"&lt;="&amp;INDEX(Weeks!$D:$D,MATCH($A160,Weeks!$A:$A,0)))-COUNTIFS(Tasks!$A:$A,$C160,Tasks!$F:$F,$B160,Tasks!$I:$I,"&lt;="&amp;INDEX(Weeks!$D:$D,MATCH($A160,Weeks!$A:$A,0)),Tasks!$I:$I,"&lt;&gt;")</f>
        <v>0</v>
      </c>
      <c r="E160">
        <f>COUNTIFS(Tasks!$A:$A,$C160,Tasks!$F:$F,$B160,Tasks!$I:$I,"&gt;"&amp;INDEX(Weeks!$D:$D,MATCH($A160-1,Weeks!$A:$A,0)),Tasks!$I:$I,"&lt;="&amp;INDEX(Weeks!$D:$D,MATCH($A160,Weeks!$A:$A,0)),Tasks!$I:$I,"&lt;&gt;")</f>
        <v>0</v>
      </c>
    </row>
    <row r="161" spans="1:5" ht="15" customHeight="1">
      <c r="A161">
        <v>44</v>
      </c>
      <c r="B161" t="s">
        <v>69</v>
      </c>
      <c r="C161" t="s">
        <v>107</v>
      </c>
      <c r="D161">
        <f>COUNTIFS(Tasks!$A:$A,$C161,Tasks!$F:$F,$B161,Tasks!$G:$G,"&lt;="&amp;INDEX(Weeks!$D:$D,MATCH($A161,Weeks!$A:$A,0)))-COUNTIFS(Tasks!$A:$A,$C161,Tasks!$F:$F,$B161,Tasks!$I:$I,"&lt;="&amp;INDEX(Weeks!$D:$D,MATCH($A161,Weeks!$A:$A,0)),Tasks!$I:$I,"&lt;&gt;")</f>
        <v>0</v>
      </c>
      <c r="E161">
        <f>COUNTIFS(Tasks!$A:$A,$C161,Tasks!$F:$F,$B161,Tasks!$I:$I,"&gt;"&amp;INDEX(Weeks!$D:$D,MATCH($A161-1,Weeks!$A:$A,0)),Tasks!$I:$I,"&lt;="&amp;INDEX(Weeks!$D:$D,MATCH($A161,Weeks!$A:$A,0)),Tasks!$I:$I,"&lt;&gt;")</f>
        <v>0</v>
      </c>
    </row>
    <row r="162" spans="1:5" ht="15" customHeight="1">
      <c r="A162">
        <v>45</v>
      </c>
      <c r="B162" t="s">
        <v>61</v>
      </c>
      <c r="C162" t="s">
        <v>93</v>
      </c>
      <c r="D162">
        <f>COUNTIFS(Tasks!$A:$A,$C162,Tasks!$F:$F,$B162,Tasks!$G:$G,"&lt;="&amp;INDEX(Weeks!$D:$D,MATCH($A162,Weeks!$A:$A,0)))-COUNTIFS(Tasks!$A:$A,$C162,Tasks!$F:$F,$B162,Tasks!$I:$I,"&lt;="&amp;INDEX(Weeks!$D:$D,MATCH($A162,Weeks!$A:$A,0)),Tasks!$I:$I,"&lt;&gt;")</f>
        <v>0</v>
      </c>
      <c r="E162">
        <f>COUNTIFS(Tasks!$A:$A,$C162,Tasks!$F:$F,$B162,Tasks!$I:$I,"&gt;"&amp;INDEX(Weeks!$D:$D,MATCH($A162-1,Weeks!$A:$A,0)),Tasks!$I:$I,"&lt;="&amp;INDEX(Weeks!$D:$D,MATCH($A162,Weeks!$A:$A,0)),Tasks!$I:$I,"&lt;&gt;")</f>
        <v>0</v>
      </c>
    </row>
    <row r="163" spans="1:5" ht="15" customHeight="1">
      <c r="A163">
        <v>45</v>
      </c>
      <c r="B163" t="s">
        <v>61</v>
      </c>
      <c r="C163" t="s">
        <v>97</v>
      </c>
      <c r="D163">
        <f>COUNTIFS(Tasks!$A:$A,$C163,Tasks!$F:$F,$B163,Tasks!$G:$G,"&lt;="&amp;INDEX(Weeks!$D:$D,MATCH($A163,Weeks!$A:$A,0)))-COUNTIFS(Tasks!$A:$A,$C163,Tasks!$F:$F,$B163,Tasks!$I:$I,"&lt;="&amp;INDEX(Weeks!$D:$D,MATCH($A163,Weeks!$A:$A,0)),Tasks!$I:$I,"&lt;&gt;")</f>
        <v>0</v>
      </c>
      <c r="E163">
        <f>COUNTIFS(Tasks!$A:$A,$C163,Tasks!$F:$F,$B163,Tasks!$I:$I,"&gt;"&amp;INDEX(Weeks!$D:$D,MATCH($A163-1,Weeks!$A:$A,0)),Tasks!$I:$I,"&lt;="&amp;INDEX(Weeks!$D:$D,MATCH($A163,Weeks!$A:$A,0)),Tasks!$I:$I,"&lt;&gt;")</f>
        <v>0</v>
      </c>
    </row>
    <row r="164" spans="1:5" ht="15" customHeight="1">
      <c r="A164">
        <v>45</v>
      </c>
      <c r="B164" t="s">
        <v>61</v>
      </c>
      <c r="C164" t="s">
        <v>102</v>
      </c>
      <c r="D164">
        <f>COUNTIFS(Tasks!$A:$A,$C164,Tasks!$F:$F,$B164,Tasks!$G:$G,"&lt;="&amp;INDEX(Weeks!$D:$D,MATCH($A164,Weeks!$A:$A,0)))-COUNTIFS(Tasks!$A:$A,$C164,Tasks!$F:$F,$B164,Tasks!$I:$I,"&lt;="&amp;INDEX(Weeks!$D:$D,MATCH($A164,Weeks!$A:$A,0)),Tasks!$I:$I,"&lt;&gt;")</f>
        <v>0</v>
      </c>
      <c r="E164">
        <f>COUNTIFS(Tasks!$A:$A,$C164,Tasks!$F:$F,$B164,Tasks!$I:$I,"&gt;"&amp;INDEX(Weeks!$D:$D,MATCH($A164-1,Weeks!$A:$A,0)),Tasks!$I:$I,"&lt;="&amp;INDEX(Weeks!$D:$D,MATCH($A164,Weeks!$A:$A,0)),Tasks!$I:$I,"&lt;&gt;")</f>
        <v>0</v>
      </c>
    </row>
    <row r="165" spans="1:5" ht="15" customHeight="1">
      <c r="A165">
        <v>45</v>
      </c>
      <c r="B165" t="s">
        <v>61</v>
      </c>
      <c r="C165" t="s">
        <v>107</v>
      </c>
      <c r="D165">
        <f>COUNTIFS(Tasks!$A:$A,$C165,Tasks!$F:$F,$B165,Tasks!$G:$G,"&lt;="&amp;INDEX(Weeks!$D:$D,MATCH($A165,Weeks!$A:$A,0)))-COUNTIFS(Tasks!$A:$A,$C165,Tasks!$F:$F,$B165,Tasks!$I:$I,"&lt;="&amp;INDEX(Weeks!$D:$D,MATCH($A165,Weeks!$A:$A,0)),Tasks!$I:$I,"&lt;&gt;")</f>
        <v>0</v>
      </c>
      <c r="E165">
        <f>COUNTIFS(Tasks!$A:$A,$C165,Tasks!$F:$F,$B165,Tasks!$I:$I,"&gt;"&amp;INDEX(Weeks!$D:$D,MATCH($A165-1,Weeks!$A:$A,0)),Tasks!$I:$I,"&lt;="&amp;INDEX(Weeks!$D:$D,MATCH($A165,Weeks!$A:$A,0)),Tasks!$I:$I,"&lt;&gt;")</f>
        <v>0</v>
      </c>
    </row>
    <row r="166" spans="1:5" ht="15" customHeight="1">
      <c r="A166">
        <v>45</v>
      </c>
      <c r="B166" t="s">
        <v>69</v>
      </c>
      <c r="C166" t="s">
        <v>93</v>
      </c>
      <c r="D166">
        <f>COUNTIFS(Tasks!$A:$A,$C166,Tasks!$F:$F,$B166,Tasks!$G:$G,"&lt;="&amp;INDEX(Weeks!$D:$D,MATCH($A166,Weeks!$A:$A,0)))-COUNTIFS(Tasks!$A:$A,$C166,Tasks!$F:$F,$B166,Tasks!$I:$I,"&lt;="&amp;INDEX(Weeks!$D:$D,MATCH($A166,Weeks!$A:$A,0)),Tasks!$I:$I,"&lt;&gt;")</f>
        <v>0</v>
      </c>
      <c r="E166">
        <f>COUNTIFS(Tasks!$A:$A,$C166,Tasks!$F:$F,$B166,Tasks!$I:$I,"&gt;"&amp;INDEX(Weeks!$D:$D,MATCH($A166-1,Weeks!$A:$A,0)),Tasks!$I:$I,"&lt;="&amp;INDEX(Weeks!$D:$D,MATCH($A166,Weeks!$A:$A,0)),Tasks!$I:$I,"&lt;&gt;")</f>
        <v>0</v>
      </c>
    </row>
    <row r="167" spans="1:5" ht="15" customHeight="1">
      <c r="A167">
        <v>45</v>
      </c>
      <c r="B167" t="s">
        <v>69</v>
      </c>
      <c r="C167" t="s">
        <v>97</v>
      </c>
      <c r="D167">
        <f>COUNTIFS(Tasks!$A:$A,$C167,Tasks!$F:$F,$B167,Tasks!$G:$G,"&lt;="&amp;INDEX(Weeks!$D:$D,MATCH($A167,Weeks!$A:$A,0)))-COUNTIFS(Tasks!$A:$A,$C167,Tasks!$F:$F,$B167,Tasks!$I:$I,"&lt;="&amp;INDEX(Weeks!$D:$D,MATCH($A167,Weeks!$A:$A,0)),Tasks!$I:$I,"&lt;&gt;")</f>
        <v>0</v>
      </c>
      <c r="E167">
        <f>COUNTIFS(Tasks!$A:$A,$C167,Tasks!$F:$F,$B167,Tasks!$I:$I,"&gt;"&amp;INDEX(Weeks!$D:$D,MATCH($A167-1,Weeks!$A:$A,0)),Tasks!$I:$I,"&lt;="&amp;INDEX(Weeks!$D:$D,MATCH($A167,Weeks!$A:$A,0)),Tasks!$I:$I,"&lt;&gt;")</f>
        <v>0</v>
      </c>
    </row>
    <row r="168" spans="1:5" ht="15" customHeight="1">
      <c r="A168">
        <v>45</v>
      </c>
      <c r="B168" t="s">
        <v>69</v>
      </c>
      <c r="C168" t="s">
        <v>102</v>
      </c>
      <c r="D168">
        <f>COUNTIFS(Tasks!$A:$A,$C168,Tasks!$F:$F,$B168,Tasks!$G:$G,"&lt;="&amp;INDEX(Weeks!$D:$D,MATCH($A168,Weeks!$A:$A,0)))-COUNTIFS(Tasks!$A:$A,$C168,Tasks!$F:$F,$B168,Tasks!$I:$I,"&lt;="&amp;INDEX(Weeks!$D:$D,MATCH($A168,Weeks!$A:$A,0)),Tasks!$I:$I,"&lt;&gt;")</f>
        <v>0</v>
      </c>
      <c r="E168">
        <f>COUNTIFS(Tasks!$A:$A,$C168,Tasks!$F:$F,$B168,Tasks!$I:$I,"&gt;"&amp;INDEX(Weeks!$D:$D,MATCH($A168-1,Weeks!$A:$A,0)),Tasks!$I:$I,"&lt;="&amp;INDEX(Weeks!$D:$D,MATCH($A168,Weeks!$A:$A,0)),Tasks!$I:$I,"&lt;&gt;")</f>
        <v>0</v>
      </c>
    </row>
    <row r="169" spans="1:5" ht="15" customHeight="1">
      <c r="A169">
        <v>45</v>
      </c>
      <c r="B169" t="s">
        <v>69</v>
      </c>
      <c r="C169" t="s">
        <v>107</v>
      </c>
      <c r="D169">
        <f>COUNTIFS(Tasks!$A:$A,$C169,Tasks!$F:$F,$B169,Tasks!$G:$G,"&lt;="&amp;INDEX(Weeks!$D:$D,MATCH($A169,Weeks!$A:$A,0)))-COUNTIFS(Tasks!$A:$A,$C169,Tasks!$F:$F,$B169,Tasks!$I:$I,"&lt;="&amp;INDEX(Weeks!$D:$D,MATCH($A169,Weeks!$A:$A,0)),Tasks!$I:$I,"&lt;&gt;")</f>
        <v>0</v>
      </c>
      <c r="E169">
        <f>COUNTIFS(Tasks!$A:$A,$C169,Tasks!$F:$F,$B169,Tasks!$I:$I,"&gt;"&amp;INDEX(Weeks!$D:$D,MATCH($A169-1,Weeks!$A:$A,0)),Tasks!$I:$I,"&lt;="&amp;INDEX(Weeks!$D:$D,MATCH($A169,Weeks!$A:$A,0)),Tasks!$I:$I,"&lt;&gt;")</f>
        <v>0</v>
      </c>
    </row>
    <row r="170" spans="1:5" ht="15" customHeight="1">
      <c r="A170">
        <v>46</v>
      </c>
      <c r="B170" t="s">
        <v>61</v>
      </c>
      <c r="C170" t="s">
        <v>93</v>
      </c>
      <c r="D170">
        <f>COUNTIFS(Tasks!$A:$A,$C170,Tasks!$F:$F,$B170,Tasks!$G:$G,"&lt;="&amp;INDEX(Weeks!$D:$D,MATCH($A170,Weeks!$A:$A,0)))-COUNTIFS(Tasks!$A:$A,$C170,Tasks!$F:$F,$B170,Tasks!$I:$I,"&lt;="&amp;INDEX(Weeks!$D:$D,MATCH($A170,Weeks!$A:$A,0)),Tasks!$I:$I,"&lt;&gt;")</f>
        <v>0</v>
      </c>
      <c r="E170">
        <f>COUNTIFS(Tasks!$A:$A,$C170,Tasks!$F:$F,$B170,Tasks!$I:$I,"&gt;"&amp;INDEX(Weeks!$D:$D,MATCH($A170-1,Weeks!$A:$A,0)),Tasks!$I:$I,"&lt;="&amp;INDEX(Weeks!$D:$D,MATCH($A170,Weeks!$A:$A,0)),Tasks!$I:$I,"&lt;&gt;")</f>
        <v>0</v>
      </c>
    </row>
    <row r="171" spans="1:5" ht="15" customHeight="1">
      <c r="A171">
        <v>46</v>
      </c>
      <c r="B171" t="s">
        <v>61</v>
      </c>
      <c r="C171" t="s">
        <v>97</v>
      </c>
      <c r="D171">
        <f>COUNTIFS(Tasks!$A:$A,$C171,Tasks!$F:$F,$B171,Tasks!$G:$G,"&lt;="&amp;INDEX(Weeks!$D:$D,MATCH($A171,Weeks!$A:$A,0)))-COUNTIFS(Tasks!$A:$A,$C171,Tasks!$F:$F,$B171,Tasks!$I:$I,"&lt;="&amp;INDEX(Weeks!$D:$D,MATCH($A171,Weeks!$A:$A,0)),Tasks!$I:$I,"&lt;&gt;")</f>
        <v>0</v>
      </c>
      <c r="E171">
        <f>COUNTIFS(Tasks!$A:$A,$C171,Tasks!$F:$F,$B171,Tasks!$I:$I,"&gt;"&amp;INDEX(Weeks!$D:$D,MATCH($A171-1,Weeks!$A:$A,0)),Tasks!$I:$I,"&lt;="&amp;INDEX(Weeks!$D:$D,MATCH($A171,Weeks!$A:$A,0)),Tasks!$I:$I,"&lt;&gt;")</f>
        <v>0</v>
      </c>
    </row>
    <row r="172" spans="1:5" ht="15" customHeight="1">
      <c r="A172">
        <v>46</v>
      </c>
      <c r="B172" t="s">
        <v>61</v>
      </c>
      <c r="C172" t="s">
        <v>102</v>
      </c>
      <c r="D172">
        <f>COUNTIFS(Tasks!$A:$A,$C172,Tasks!$F:$F,$B172,Tasks!$G:$G,"&lt;="&amp;INDEX(Weeks!$D:$D,MATCH($A172,Weeks!$A:$A,0)))-COUNTIFS(Tasks!$A:$A,$C172,Tasks!$F:$F,$B172,Tasks!$I:$I,"&lt;="&amp;INDEX(Weeks!$D:$D,MATCH($A172,Weeks!$A:$A,0)),Tasks!$I:$I,"&lt;&gt;")</f>
        <v>0</v>
      </c>
      <c r="E172">
        <f>COUNTIFS(Tasks!$A:$A,$C172,Tasks!$F:$F,$B172,Tasks!$I:$I,"&gt;"&amp;INDEX(Weeks!$D:$D,MATCH($A172-1,Weeks!$A:$A,0)),Tasks!$I:$I,"&lt;="&amp;INDEX(Weeks!$D:$D,MATCH($A172,Weeks!$A:$A,0)),Tasks!$I:$I,"&lt;&gt;")</f>
        <v>0</v>
      </c>
    </row>
    <row r="173" spans="1:5" ht="15" customHeight="1">
      <c r="A173">
        <v>46</v>
      </c>
      <c r="B173" t="s">
        <v>61</v>
      </c>
      <c r="C173" t="s">
        <v>107</v>
      </c>
      <c r="D173">
        <f>COUNTIFS(Tasks!$A:$A,$C173,Tasks!$F:$F,$B173,Tasks!$G:$G,"&lt;="&amp;INDEX(Weeks!$D:$D,MATCH($A173,Weeks!$A:$A,0)))-COUNTIFS(Tasks!$A:$A,$C173,Tasks!$F:$F,$B173,Tasks!$I:$I,"&lt;="&amp;INDEX(Weeks!$D:$D,MATCH($A173,Weeks!$A:$A,0)),Tasks!$I:$I,"&lt;&gt;")</f>
        <v>0</v>
      </c>
      <c r="E173">
        <f>COUNTIFS(Tasks!$A:$A,$C173,Tasks!$F:$F,$B173,Tasks!$I:$I,"&gt;"&amp;INDEX(Weeks!$D:$D,MATCH($A173-1,Weeks!$A:$A,0)),Tasks!$I:$I,"&lt;="&amp;INDEX(Weeks!$D:$D,MATCH($A173,Weeks!$A:$A,0)),Tasks!$I:$I,"&lt;&gt;")</f>
        <v>0</v>
      </c>
    </row>
    <row r="174" spans="1:5" ht="15" customHeight="1">
      <c r="A174">
        <v>46</v>
      </c>
      <c r="B174" t="s">
        <v>69</v>
      </c>
      <c r="C174" t="s">
        <v>93</v>
      </c>
      <c r="D174">
        <f>COUNTIFS(Tasks!$A:$A,$C174,Tasks!$F:$F,$B174,Tasks!$G:$G,"&lt;="&amp;INDEX(Weeks!$D:$D,MATCH($A174,Weeks!$A:$A,0)))-COUNTIFS(Tasks!$A:$A,$C174,Tasks!$F:$F,$B174,Tasks!$I:$I,"&lt;="&amp;INDEX(Weeks!$D:$D,MATCH($A174,Weeks!$A:$A,0)),Tasks!$I:$I,"&lt;&gt;")</f>
        <v>0</v>
      </c>
      <c r="E174">
        <f>COUNTIFS(Tasks!$A:$A,$C174,Tasks!$F:$F,$B174,Tasks!$I:$I,"&gt;"&amp;INDEX(Weeks!$D:$D,MATCH($A174-1,Weeks!$A:$A,0)),Tasks!$I:$I,"&lt;="&amp;INDEX(Weeks!$D:$D,MATCH($A174,Weeks!$A:$A,0)),Tasks!$I:$I,"&lt;&gt;")</f>
        <v>0</v>
      </c>
    </row>
    <row r="175" spans="1:5" ht="15" customHeight="1">
      <c r="A175">
        <v>46</v>
      </c>
      <c r="B175" t="s">
        <v>69</v>
      </c>
      <c r="C175" t="s">
        <v>97</v>
      </c>
      <c r="D175">
        <f>COUNTIFS(Tasks!$A:$A,$C175,Tasks!$F:$F,$B175,Tasks!$G:$G,"&lt;="&amp;INDEX(Weeks!$D:$D,MATCH($A175,Weeks!$A:$A,0)))-COUNTIFS(Tasks!$A:$A,$C175,Tasks!$F:$F,$B175,Tasks!$I:$I,"&lt;="&amp;INDEX(Weeks!$D:$D,MATCH($A175,Weeks!$A:$A,0)),Tasks!$I:$I,"&lt;&gt;")</f>
        <v>0</v>
      </c>
      <c r="E175">
        <f>COUNTIFS(Tasks!$A:$A,$C175,Tasks!$F:$F,$B175,Tasks!$I:$I,"&gt;"&amp;INDEX(Weeks!$D:$D,MATCH($A175-1,Weeks!$A:$A,0)),Tasks!$I:$I,"&lt;="&amp;INDEX(Weeks!$D:$D,MATCH($A175,Weeks!$A:$A,0)),Tasks!$I:$I,"&lt;&gt;")</f>
        <v>0</v>
      </c>
    </row>
    <row r="176" spans="1:5" ht="15" customHeight="1">
      <c r="A176">
        <v>46</v>
      </c>
      <c r="B176" t="s">
        <v>69</v>
      </c>
      <c r="C176" t="s">
        <v>102</v>
      </c>
      <c r="D176">
        <f>COUNTIFS(Tasks!$A:$A,$C176,Tasks!$F:$F,$B176,Tasks!$G:$G,"&lt;="&amp;INDEX(Weeks!$D:$D,MATCH($A176,Weeks!$A:$A,0)))-COUNTIFS(Tasks!$A:$A,$C176,Tasks!$F:$F,$B176,Tasks!$I:$I,"&lt;="&amp;INDEX(Weeks!$D:$D,MATCH($A176,Weeks!$A:$A,0)),Tasks!$I:$I,"&lt;&gt;")</f>
        <v>0</v>
      </c>
      <c r="E176">
        <f>COUNTIFS(Tasks!$A:$A,$C176,Tasks!$F:$F,$B176,Tasks!$I:$I,"&gt;"&amp;INDEX(Weeks!$D:$D,MATCH($A176-1,Weeks!$A:$A,0)),Tasks!$I:$I,"&lt;="&amp;INDEX(Weeks!$D:$D,MATCH($A176,Weeks!$A:$A,0)),Tasks!$I:$I,"&lt;&gt;")</f>
        <v>0</v>
      </c>
    </row>
    <row r="177" spans="1:5" ht="15" customHeight="1">
      <c r="A177">
        <v>46</v>
      </c>
      <c r="B177" t="s">
        <v>69</v>
      </c>
      <c r="C177" t="s">
        <v>107</v>
      </c>
      <c r="D177">
        <f>COUNTIFS(Tasks!$A:$A,$C177,Tasks!$F:$F,$B177,Tasks!$G:$G,"&lt;="&amp;INDEX(Weeks!$D:$D,MATCH($A177,Weeks!$A:$A,0)))-COUNTIFS(Tasks!$A:$A,$C177,Tasks!$F:$F,$B177,Tasks!$I:$I,"&lt;="&amp;INDEX(Weeks!$D:$D,MATCH($A177,Weeks!$A:$A,0)),Tasks!$I:$I,"&lt;&gt;")</f>
        <v>0</v>
      </c>
      <c r="E177">
        <f>COUNTIFS(Tasks!$A:$A,$C177,Tasks!$F:$F,$B177,Tasks!$I:$I,"&gt;"&amp;INDEX(Weeks!$D:$D,MATCH($A177-1,Weeks!$A:$A,0)),Tasks!$I:$I,"&lt;="&amp;INDEX(Weeks!$D:$D,MATCH($A177,Weeks!$A:$A,0)),Tasks!$I:$I,"&lt;&gt;")</f>
        <v>0</v>
      </c>
    </row>
    <row r="178" spans="1:5" ht="15" customHeight="1">
      <c r="A178">
        <v>47</v>
      </c>
      <c r="B178" t="s">
        <v>61</v>
      </c>
      <c r="C178" t="s">
        <v>93</v>
      </c>
      <c r="D178">
        <f>COUNTIFS(Tasks!$A:$A,$C178,Tasks!$F:$F,$B178,Tasks!$G:$G,"&lt;="&amp;INDEX(Weeks!$D:$D,MATCH($A178,Weeks!$A:$A,0)))-COUNTIFS(Tasks!$A:$A,$C178,Tasks!$F:$F,$B178,Tasks!$I:$I,"&lt;="&amp;INDEX(Weeks!$D:$D,MATCH($A178,Weeks!$A:$A,0)),Tasks!$I:$I,"&lt;&gt;")</f>
        <v>0</v>
      </c>
      <c r="E178">
        <f>COUNTIFS(Tasks!$A:$A,$C178,Tasks!$F:$F,$B178,Tasks!$I:$I,"&gt;"&amp;INDEX(Weeks!$D:$D,MATCH($A178-1,Weeks!$A:$A,0)),Tasks!$I:$I,"&lt;="&amp;INDEX(Weeks!$D:$D,MATCH($A178,Weeks!$A:$A,0)),Tasks!$I:$I,"&lt;&gt;")</f>
        <v>0</v>
      </c>
    </row>
    <row r="179" spans="1:5" ht="15" customHeight="1">
      <c r="A179">
        <v>47</v>
      </c>
      <c r="B179" t="s">
        <v>61</v>
      </c>
      <c r="C179" t="s">
        <v>97</v>
      </c>
      <c r="D179">
        <f>COUNTIFS(Tasks!$A:$A,$C179,Tasks!$F:$F,$B179,Tasks!$G:$G,"&lt;="&amp;INDEX(Weeks!$D:$D,MATCH($A179,Weeks!$A:$A,0)))-COUNTIFS(Tasks!$A:$A,$C179,Tasks!$F:$F,$B179,Tasks!$I:$I,"&lt;="&amp;INDEX(Weeks!$D:$D,MATCH($A179,Weeks!$A:$A,0)),Tasks!$I:$I,"&lt;&gt;")</f>
        <v>0</v>
      </c>
      <c r="E179">
        <f>COUNTIFS(Tasks!$A:$A,$C179,Tasks!$F:$F,$B179,Tasks!$I:$I,"&gt;"&amp;INDEX(Weeks!$D:$D,MATCH($A179-1,Weeks!$A:$A,0)),Tasks!$I:$I,"&lt;="&amp;INDEX(Weeks!$D:$D,MATCH($A179,Weeks!$A:$A,0)),Tasks!$I:$I,"&lt;&gt;")</f>
        <v>0</v>
      </c>
    </row>
    <row r="180" spans="1:5" ht="15" customHeight="1">
      <c r="A180">
        <v>47</v>
      </c>
      <c r="B180" t="s">
        <v>61</v>
      </c>
      <c r="C180" t="s">
        <v>102</v>
      </c>
      <c r="D180">
        <f>COUNTIFS(Tasks!$A:$A,$C180,Tasks!$F:$F,$B180,Tasks!$G:$G,"&lt;="&amp;INDEX(Weeks!$D:$D,MATCH($A180,Weeks!$A:$A,0)))-COUNTIFS(Tasks!$A:$A,$C180,Tasks!$F:$F,$B180,Tasks!$I:$I,"&lt;="&amp;INDEX(Weeks!$D:$D,MATCH($A180,Weeks!$A:$A,0)),Tasks!$I:$I,"&lt;&gt;")</f>
        <v>0</v>
      </c>
      <c r="E180">
        <f>COUNTIFS(Tasks!$A:$A,$C180,Tasks!$F:$F,$B180,Tasks!$I:$I,"&gt;"&amp;INDEX(Weeks!$D:$D,MATCH($A180-1,Weeks!$A:$A,0)),Tasks!$I:$I,"&lt;="&amp;INDEX(Weeks!$D:$D,MATCH($A180,Weeks!$A:$A,0)),Tasks!$I:$I,"&lt;&gt;")</f>
        <v>0</v>
      </c>
    </row>
    <row r="181" spans="1:5" ht="15" customHeight="1">
      <c r="A181">
        <v>47</v>
      </c>
      <c r="B181" t="s">
        <v>61</v>
      </c>
      <c r="C181" t="s">
        <v>107</v>
      </c>
      <c r="D181">
        <f>COUNTIFS(Tasks!$A:$A,$C181,Tasks!$F:$F,$B181,Tasks!$G:$G,"&lt;="&amp;INDEX(Weeks!$D:$D,MATCH($A181,Weeks!$A:$A,0)))-COUNTIFS(Tasks!$A:$A,$C181,Tasks!$F:$F,$B181,Tasks!$I:$I,"&lt;="&amp;INDEX(Weeks!$D:$D,MATCH($A181,Weeks!$A:$A,0)),Tasks!$I:$I,"&lt;&gt;")</f>
        <v>0</v>
      </c>
      <c r="E181">
        <f>COUNTIFS(Tasks!$A:$A,$C181,Tasks!$F:$F,$B181,Tasks!$I:$I,"&gt;"&amp;INDEX(Weeks!$D:$D,MATCH($A181-1,Weeks!$A:$A,0)),Tasks!$I:$I,"&lt;="&amp;INDEX(Weeks!$D:$D,MATCH($A181,Weeks!$A:$A,0)),Tasks!$I:$I,"&lt;&gt;")</f>
        <v>0</v>
      </c>
    </row>
    <row r="182" spans="1:5" ht="15" customHeight="1">
      <c r="A182">
        <v>47</v>
      </c>
      <c r="B182" t="s">
        <v>69</v>
      </c>
      <c r="C182" t="s">
        <v>93</v>
      </c>
      <c r="D182">
        <f>COUNTIFS(Tasks!$A:$A,$C182,Tasks!$F:$F,$B182,Tasks!$G:$G,"&lt;="&amp;INDEX(Weeks!$D:$D,MATCH($A182,Weeks!$A:$A,0)))-COUNTIFS(Tasks!$A:$A,$C182,Tasks!$F:$F,$B182,Tasks!$I:$I,"&lt;="&amp;INDEX(Weeks!$D:$D,MATCH($A182,Weeks!$A:$A,0)),Tasks!$I:$I,"&lt;&gt;")</f>
        <v>0</v>
      </c>
      <c r="E182">
        <f>COUNTIFS(Tasks!$A:$A,$C182,Tasks!$F:$F,$B182,Tasks!$I:$I,"&gt;"&amp;INDEX(Weeks!$D:$D,MATCH($A182-1,Weeks!$A:$A,0)),Tasks!$I:$I,"&lt;="&amp;INDEX(Weeks!$D:$D,MATCH($A182,Weeks!$A:$A,0)),Tasks!$I:$I,"&lt;&gt;")</f>
        <v>0</v>
      </c>
    </row>
    <row r="183" spans="1:5" ht="15" customHeight="1">
      <c r="A183">
        <v>47</v>
      </c>
      <c r="B183" t="s">
        <v>69</v>
      </c>
      <c r="C183" t="s">
        <v>97</v>
      </c>
      <c r="D183">
        <f>COUNTIFS(Tasks!$A:$A,$C183,Tasks!$F:$F,$B183,Tasks!$G:$G,"&lt;="&amp;INDEX(Weeks!$D:$D,MATCH($A183,Weeks!$A:$A,0)))-COUNTIFS(Tasks!$A:$A,$C183,Tasks!$F:$F,$B183,Tasks!$I:$I,"&lt;="&amp;INDEX(Weeks!$D:$D,MATCH($A183,Weeks!$A:$A,0)),Tasks!$I:$I,"&lt;&gt;")</f>
        <v>0</v>
      </c>
      <c r="E183">
        <f>COUNTIFS(Tasks!$A:$A,$C183,Tasks!$F:$F,$B183,Tasks!$I:$I,"&gt;"&amp;INDEX(Weeks!$D:$D,MATCH($A183-1,Weeks!$A:$A,0)),Tasks!$I:$I,"&lt;="&amp;INDEX(Weeks!$D:$D,MATCH($A183,Weeks!$A:$A,0)),Tasks!$I:$I,"&lt;&gt;")</f>
        <v>0</v>
      </c>
    </row>
    <row r="184" spans="1:5" ht="15" customHeight="1">
      <c r="A184">
        <v>47</v>
      </c>
      <c r="B184" t="s">
        <v>69</v>
      </c>
      <c r="C184" t="s">
        <v>102</v>
      </c>
      <c r="D184">
        <f>COUNTIFS(Tasks!$A:$A,$C184,Tasks!$F:$F,$B184,Tasks!$G:$G,"&lt;="&amp;INDEX(Weeks!$D:$D,MATCH($A184,Weeks!$A:$A,0)))-COUNTIFS(Tasks!$A:$A,$C184,Tasks!$F:$F,$B184,Tasks!$I:$I,"&lt;="&amp;INDEX(Weeks!$D:$D,MATCH($A184,Weeks!$A:$A,0)),Tasks!$I:$I,"&lt;&gt;")</f>
        <v>0</v>
      </c>
      <c r="E184">
        <f>COUNTIFS(Tasks!$A:$A,$C184,Tasks!$F:$F,$B184,Tasks!$I:$I,"&gt;"&amp;INDEX(Weeks!$D:$D,MATCH($A184-1,Weeks!$A:$A,0)),Tasks!$I:$I,"&lt;="&amp;INDEX(Weeks!$D:$D,MATCH($A184,Weeks!$A:$A,0)),Tasks!$I:$I,"&lt;&gt;")</f>
        <v>0</v>
      </c>
    </row>
    <row r="185" spans="1:5" ht="15" customHeight="1">
      <c r="A185">
        <v>47</v>
      </c>
      <c r="B185" t="s">
        <v>69</v>
      </c>
      <c r="C185" t="s">
        <v>107</v>
      </c>
      <c r="D185">
        <f>COUNTIFS(Tasks!$A:$A,$C185,Tasks!$F:$F,$B185,Tasks!$G:$G,"&lt;="&amp;INDEX(Weeks!$D:$D,MATCH($A185,Weeks!$A:$A,0)))-COUNTIFS(Tasks!$A:$A,$C185,Tasks!$F:$F,$B185,Tasks!$I:$I,"&lt;="&amp;INDEX(Weeks!$D:$D,MATCH($A185,Weeks!$A:$A,0)),Tasks!$I:$I,"&lt;&gt;")</f>
        <v>0</v>
      </c>
      <c r="E185">
        <f>COUNTIFS(Tasks!$A:$A,$C185,Tasks!$F:$F,$B185,Tasks!$I:$I,"&gt;"&amp;INDEX(Weeks!$D:$D,MATCH($A185-1,Weeks!$A:$A,0)),Tasks!$I:$I,"&lt;="&amp;INDEX(Weeks!$D:$D,MATCH($A185,Weeks!$A:$A,0)),Tasks!$I:$I,"&lt;&gt;")</f>
        <v>0</v>
      </c>
    </row>
    <row r="186" spans="1:5" ht="15" customHeight="1">
      <c r="A186">
        <v>48</v>
      </c>
      <c r="B186" t="s">
        <v>61</v>
      </c>
      <c r="C186" t="s">
        <v>93</v>
      </c>
      <c r="D186">
        <f>COUNTIFS(Tasks!$A:$A,$C186,Tasks!$F:$F,$B186,Tasks!$G:$G,"&lt;="&amp;INDEX(Weeks!$D:$D,MATCH($A186,Weeks!$A:$A,0)))-COUNTIFS(Tasks!$A:$A,$C186,Tasks!$F:$F,$B186,Tasks!$I:$I,"&lt;="&amp;INDEX(Weeks!$D:$D,MATCH($A186,Weeks!$A:$A,0)),Tasks!$I:$I,"&lt;&gt;")</f>
        <v>0</v>
      </c>
      <c r="E186">
        <f>COUNTIFS(Tasks!$A:$A,$C186,Tasks!$F:$F,$B186,Tasks!$I:$I,"&gt;"&amp;INDEX(Weeks!$D:$D,MATCH($A186-1,Weeks!$A:$A,0)),Tasks!$I:$I,"&lt;="&amp;INDEX(Weeks!$D:$D,MATCH($A186,Weeks!$A:$A,0)),Tasks!$I:$I,"&lt;&gt;")</f>
        <v>0</v>
      </c>
    </row>
    <row r="187" spans="1:5" ht="15" customHeight="1">
      <c r="A187">
        <v>48</v>
      </c>
      <c r="B187" t="s">
        <v>61</v>
      </c>
      <c r="C187" t="s">
        <v>97</v>
      </c>
      <c r="D187">
        <f>COUNTIFS(Tasks!$A:$A,$C187,Tasks!$F:$F,$B187,Tasks!$G:$G,"&lt;="&amp;INDEX(Weeks!$D:$D,MATCH($A187,Weeks!$A:$A,0)))-COUNTIFS(Tasks!$A:$A,$C187,Tasks!$F:$F,$B187,Tasks!$I:$I,"&lt;="&amp;INDEX(Weeks!$D:$D,MATCH($A187,Weeks!$A:$A,0)),Tasks!$I:$I,"&lt;&gt;")</f>
        <v>0</v>
      </c>
      <c r="E187">
        <f>COUNTIFS(Tasks!$A:$A,$C187,Tasks!$F:$F,$B187,Tasks!$I:$I,"&gt;"&amp;INDEX(Weeks!$D:$D,MATCH($A187-1,Weeks!$A:$A,0)),Tasks!$I:$I,"&lt;="&amp;INDEX(Weeks!$D:$D,MATCH($A187,Weeks!$A:$A,0)),Tasks!$I:$I,"&lt;&gt;")</f>
        <v>0</v>
      </c>
    </row>
    <row r="188" spans="1:5" ht="15" customHeight="1">
      <c r="A188">
        <v>48</v>
      </c>
      <c r="B188" t="s">
        <v>61</v>
      </c>
      <c r="C188" t="s">
        <v>102</v>
      </c>
      <c r="D188">
        <f>COUNTIFS(Tasks!$A:$A,$C188,Tasks!$F:$F,$B188,Tasks!$G:$G,"&lt;="&amp;INDEX(Weeks!$D:$D,MATCH($A188,Weeks!$A:$A,0)))-COUNTIFS(Tasks!$A:$A,$C188,Tasks!$F:$F,$B188,Tasks!$I:$I,"&lt;="&amp;INDEX(Weeks!$D:$D,MATCH($A188,Weeks!$A:$A,0)),Tasks!$I:$I,"&lt;&gt;")</f>
        <v>0</v>
      </c>
      <c r="E188">
        <f>COUNTIFS(Tasks!$A:$A,$C188,Tasks!$F:$F,$B188,Tasks!$I:$I,"&gt;"&amp;INDEX(Weeks!$D:$D,MATCH($A188-1,Weeks!$A:$A,0)),Tasks!$I:$I,"&lt;="&amp;INDEX(Weeks!$D:$D,MATCH($A188,Weeks!$A:$A,0)),Tasks!$I:$I,"&lt;&gt;")</f>
        <v>0</v>
      </c>
    </row>
    <row r="189" spans="1:5" ht="15" customHeight="1">
      <c r="A189">
        <v>48</v>
      </c>
      <c r="B189" t="s">
        <v>61</v>
      </c>
      <c r="C189" t="s">
        <v>107</v>
      </c>
      <c r="D189">
        <f>COUNTIFS(Tasks!$A:$A,$C189,Tasks!$F:$F,$B189,Tasks!$G:$G,"&lt;="&amp;INDEX(Weeks!$D:$D,MATCH($A189,Weeks!$A:$A,0)))-COUNTIFS(Tasks!$A:$A,$C189,Tasks!$F:$F,$B189,Tasks!$I:$I,"&lt;="&amp;INDEX(Weeks!$D:$D,MATCH($A189,Weeks!$A:$A,0)),Tasks!$I:$I,"&lt;&gt;")</f>
        <v>0</v>
      </c>
      <c r="E189">
        <f>COUNTIFS(Tasks!$A:$A,$C189,Tasks!$F:$F,$B189,Tasks!$I:$I,"&gt;"&amp;INDEX(Weeks!$D:$D,MATCH($A189-1,Weeks!$A:$A,0)),Tasks!$I:$I,"&lt;="&amp;INDEX(Weeks!$D:$D,MATCH($A189,Weeks!$A:$A,0)),Tasks!$I:$I,"&lt;&gt;")</f>
        <v>0</v>
      </c>
    </row>
    <row r="190" spans="1:5" ht="15" customHeight="1">
      <c r="A190">
        <v>48</v>
      </c>
      <c r="B190" t="s">
        <v>69</v>
      </c>
      <c r="C190" t="s">
        <v>93</v>
      </c>
      <c r="D190">
        <f>COUNTIFS(Tasks!$A:$A,$C190,Tasks!$F:$F,$B190,Tasks!$G:$G,"&lt;="&amp;INDEX(Weeks!$D:$D,MATCH($A190,Weeks!$A:$A,0)))-COUNTIFS(Tasks!$A:$A,$C190,Tasks!$F:$F,$B190,Tasks!$I:$I,"&lt;="&amp;INDEX(Weeks!$D:$D,MATCH($A190,Weeks!$A:$A,0)),Tasks!$I:$I,"&lt;&gt;")</f>
        <v>0</v>
      </c>
      <c r="E190">
        <f>COUNTIFS(Tasks!$A:$A,$C190,Tasks!$F:$F,$B190,Tasks!$I:$I,"&gt;"&amp;INDEX(Weeks!$D:$D,MATCH($A190-1,Weeks!$A:$A,0)),Tasks!$I:$I,"&lt;="&amp;INDEX(Weeks!$D:$D,MATCH($A190,Weeks!$A:$A,0)),Tasks!$I:$I,"&lt;&gt;")</f>
        <v>0</v>
      </c>
    </row>
    <row r="191" spans="1:5" ht="15" customHeight="1">
      <c r="A191">
        <v>48</v>
      </c>
      <c r="B191" t="s">
        <v>69</v>
      </c>
      <c r="C191" t="s">
        <v>97</v>
      </c>
      <c r="D191">
        <f>COUNTIFS(Tasks!$A:$A,$C191,Tasks!$F:$F,$B191,Tasks!$G:$G,"&lt;="&amp;INDEX(Weeks!$D:$D,MATCH($A191,Weeks!$A:$A,0)))-COUNTIFS(Tasks!$A:$A,$C191,Tasks!$F:$F,$B191,Tasks!$I:$I,"&lt;="&amp;INDEX(Weeks!$D:$D,MATCH($A191,Weeks!$A:$A,0)),Tasks!$I:$I,"&lt;&gt;")</f>
        <v>0</v>
      </c>
      <c r="E191">
        <f>COUNTIFS(Tasks!$A:$A,$C191,Tasks!$F:$F,$B191,Tasks!$I:$I,"&gt;"&amp;INDEX(Weeks!$D:$D,MATCH($A191-1,Weeks!$A:$A,0)),Tasks!$I:$I,"&lt;="&amp;INDEX(Weeks!$D:$D,MATCH($A191,Weeks!$A:$A,0)),Tasks!$I:$I,"&lt;&gt;")</f>
        <v>0</v>
      </c>
    </row>
    <row r="192" spans="1:5" ht="15" customHeight="1">
      <c r="A192">
        <v>48</v>
      </c>
      <c r="B192" t="s">
        <v>69</v>
      </c>
      <c r="C192" t="s">
        <v>102</v>
      </c>
      <c r="D192">
        <f>COUNTIFS(Tasks!$A:$A,$C192,Tasks!$F:$F,$B192,Tasks!$G:$G,"&lt;="&amp;INDEX(Weeks!$D:$D,MATCH($A192,Weeks!$A:$A,0)))-COUNTIFS(Tasks!$A:$A,$C192,Tasks!$F:$F,$B192,Tasks!$I:$I,"&lt;="&amp;INDEX(Weeks!$D:$D,MATCH($A192,Weeks!$A:$A,0)),Tasks!$I:$I,"&lt;&gt;")</f>
        <v>0</v>
      </c>
      <c r="E192">
        <f>COUNTIFS(Tasks!$A:$A,$C192,Tasks!$F:$F,$B192,Tasks!$I:$I,"&gt;"&amp;INDEX(Weeks!$D:$D,MATCH($A192-1,Weeks!$A:$A,0)),Tasks!$I:$I,"&lt;="&amp;INDEX(Weeks!$D:$D,MATCH($A192,Weeks!$A:$A,0)),Tasks!$I:$I,"&lt;&gt;")</f>
        <v>0</v>
      </c>
    </row>
    <row r="193" spans="1:5" ht="15" customHeight="1">
      <c r="A193">
        <v>48</v>
      </c>
      <c r="B193" t="s">
        <v>69</v>
      </c>
      <c r="C193" t="s">
        <v>107</v>
      </c>
      <c r="D193">
        <f>COUNTIFS(Tasks!$A:$A,$C193,Tasks!$F:$F,$B193,Tasks!$G:$G,"&lt;="&amp;INDEX(Weeks!$D:$D,MATCH($A193,Weeks!$A:$A,0)))-COUNTIFS(Tasks!$A:$A,$C193,Tasks!$F:$F,$B193,Tasks!$I:$I,"&lt;="&amp;INDEX(Weeks!$D:$D,MATCH($A193,Weeks!$A:$A,0)),Tasks!$I:$I,"&lt;&gt;")</f>
        <v>0</v>
      </c>
      <c r="E193">
        <f>COUNTIFS(Tasks!$A:$A,$C193,Tasks!$F:$F,$B193,Tasks!$I:$I,"&gt;"&amp;INDEX(Weeks!$D:$D,MATCH($A193-1,Weeks!$A:$A,0)),Tasks!$I:$I,"&lt;="&amp;INDEX(Weeks!$D:$D,MATCH($A193,Weeks!$A:$A,0)),Tasks!$I:$I,"&lt;&gt;")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&amp;L&amp;"Aptos"&amp;8 &amp;K000000_x000D_# Statkraft Internal_x000D_&amp;1#&amp;"Aptos"&amp;8&amp;K000000 Statkraft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F71DF5E3C7242984AB271E37E74AB" ma:contentTypeVersion="11" ma:contentTypeDescription="Create a new document." ma:contentTypeScope="" ma:versionID="f1f4ce68fb330b36f03a9c19218b5d7f">
  <xsd:schema xmlns:xsd="http://www.w3.org/2001/XMLSchema" xmlns:xs="http://www.w3.org/2001/XMLSchema" xmlns:p="http://schemas.microsoft.com/office/2006/metadata/properties" xmlns:ns2="73be50b9-c623-4d06-a100-3fdee7d8307b" targetNamespace="http://schemas.microsoft.com/office/2006/metadata/properties" ma:root="true" ma:fieldsID="756b4d77377b3f8b44b81c6676e1b0d2" ns2:_="">
    <xsd:import namespace="73be50b9-c623-4d06-a100-3fdee7d83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e50b9-c623-4d06-a100-3fdee7d83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1d6712-d20a-4d05-afac-8e514c8289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be50b9-c623-4d06-a100-3fdee7d830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60C1C4-D8A0-4EB5-91CF-14C3B1EEE1CE}"/>
</file>

<file path=customXml/itemProps2.xml><?xml version="1.0" encoding="utf-8"?>
<ds:datastoreItem xmlns:ds="http://schemas.openxmlformats.org/officeDocument/2006/customXml" ds:itemID="{9067CB18-C006-4831-9A86-82B5C2395BA8}"/>
</file>

<file path=customXml/itemProps3.xml><?xml version="1.0" encoding="utf-8"?>
<ds:datastoreItem xmlns:ds="http://schemas.openxmlformats.org/officeDocument/2006/customXml" ds:itemID="{75E582E0-AD7E-43E7-B80C-ADB1A329D00F}"/>
</file>

<file path=docMetadata/LabelInfo.xml><?xml version="1.0" encoding="utf-8"?>
<clbl:labelList xmlns:clbl="http://schemas.microsoft.com/office/2020/mipLabelMetadata">
  <clbl:label id="{88cf5f6c-4629-4960-bcea-18993d441d4e}" enabled="1" method="Standard" siteId="{a40c0d68-338e-44ef-ab17-812ee42d12c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2026-07-15T22:18:35Z</dcterms:created>
  <dcterms:modified xsi:type="dcterms:W3CDTF">2026-09-17T21:58:15Z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0x010100DA7F71DF5E3C7242984AB271E37E74AB</vt:lpwstr>
  </property>
  <property fmtid="{D5CDD505-2E9C-101B-9397-08002B2CF9AE}" pid="3" name="MediaServiceImageTags">
    <vt:lpwstr/>
  </property>
</Properties>
</file>