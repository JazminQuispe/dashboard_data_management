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Portfolio" sheetId="2" state="visible" r:id="rId4"/>
    <sheet name="Portfolio_Trend" sheetId="3" state="visible" r:id="rId5"/>
    <sheet name="Phases" sheetId="4" state="visible" r:id="rId6"/>
    <sheet name="Milestones" sheetId="5" state="visible" r:id="rId7"/>
    <sheet name="Item_Status" sheetId="6" state="visible" r:id="rId8"/>
    <sheet name="Trends" sheetId="7" state="visible" r:id="rId9"/>
    <sheet name="Governance_Domains" sheetId="8" state="visible" r:id="rId10"/>
    <sheet name="Governance_StageInfo" sheetId="9" state="visible" r:id="rId11"/>
    <sheet name="Governance_Datasets" sheetId="10" state="visible" r:id="rId12"/>
    <sheet name="Governance_Ownership" sheetId="11" state="visible" r:id="rId13"/>
    <sheet name="Governance_QualityRules" sheetId="12" state="visible" r:id="rId14"/>
    <sheet name="Governance_Pipeline" sheetId="13" state="visible" r:id="rId15"/>
    <sheet name="Governance_Monitoring" sheetId="14" state="visible" r:id="rId16"/>
    <sheet name="Executive_KPIs" sheetId="15" state="visible" r:id="rId17"/>
    <sheet name="Executive_Cycle_Config" sheetId="16" state="visible" r:id="rId18"/>
    <sheet name="Executive_Cycle_Status" sheetId="17" state="visible" r:id="rId19"/>
    <sheet name="Executive_Cycle_History" sheetId="18" state="visible" r:id="rId20"/>
    <sheet name="Extra_KPIs" sheetId="19" state="visible" r:id="rId2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<sst xmlns="http://schemas.openxmlformats.org/spreadsheetml/2006/main" count="1086" uniqueCount="256">
  <si>
    <t xml:space="preserve">Data Management Dashboard — Master Data Source</t>
  </si>
  <si>
    <t xml:space="preserve">How this workbook works</t>
  </si>
  <si>
    <t xml:space="preserve">This file is the single source of truth for the Streamlit dashboard (app.py). Every week, update the cells shown in BLUE — the app reads this file on each refresh and recalculates every chart, KPI card and semaphore automatically. You do not need to touch any formula or formatting.</t>
  </si>
  <si>
    <t xml:space="preserve">Color</t>
  </si>
  <si>
    <t xml:space="preserve">Meaning</t>
  </si>
  <si>
    <t xml:space="preserve">Blue text / light-blue fill</t>
  </si>
  <si>
    <t xml:space="preserve">EDITABLE INPUT — safe to overwrite every refresh cycle (progress %, status, dates, milestones, KPI values, etc.).</t>
  </si>
  <si>
    <t xml:space="preserve">Black text / grey fill</t>
  </si>
  <si>
    <t xml:space="preserve">Reference formula — kept for your own validation inside Excel. The dashboard itself recomputes everything in Python from the blue inputs, so it will work even if these formulas are not recalculated.</t>
  </si>
  <si>
    <t xml:space="preserve">Plain black text, no fill</t>
  </si>
  <si>
    <t xml:space="preserve">Structural / identifying field (names, IDs, module tags) — only edit if you are adding or renaming an item, since these values are used to match rows across sheets.</t>
  </si>
  <si>
    <t xml:space="preserve">Sheet guide</t>
  </si>
  <si>
    <t xml:space="preserve">Portfolio</t>
  </si>
  <si>
    <t xml:space="preserve">The 6 top-level projects shown on Portfolio Overview. Progress %, Status and Source drive the KPI cards and the project table.</t>
  </si>
  <si>
    <t xml:space="preserve">Portfolio_Trend</t>
  </si>
  <si>
    <t xml:space="preserve">Weekly portfolio-wide average progress (Planned vs Actual) — powers the trend chart that replaced the man-hours chart.</t>
  </si>
  <si>
    <t xml:space="preserve">Phases</t>
  </si>
  <si>
    <t xml:space="preserve">Progress % per phase for every sub-project / plant / sub-agent (Cheves, General Scaling, AI Models Agent, SO Knowledge Agent). Long format: one row per Module + Item + Phase.</t>
  </si>
  <si>
    <t xml:space="preserve">Milestones</t>
  </si>
  <si>
    <t xml:space="preserve">Milestone checklist per sub-project / plant / sub-agent. Mark Done = Y once completed.</t>
  </si>
  <si>
    <t xml:space="preserve">Item_Status</t>
  </si>
  <si>
    <t xml:space="preserve">Manual semaphore (On Track / At Risk / Delayed) per sub-project, plant and sub-agent — you control this directly instead of an automatic threshold.</t>
  </si>
  <si>
    <t xml:space="preserve">Trends</t>
  </si>
  <si>
    <t xml:space="preserve">8-week Planned vs Actual progress per item — powers the S-curve trend charts on every project page.</t>
  </si>
  <si>
    <t xml:space="preserve">Governance_Domains</t>
  </si>
  <si>
    <t xml:space="preserve">Maturity stage, cataloging %, ownership % and planning progress % per governance domain.</t>
  </si>
  <si>
    <t xml:space="preserve">Governance_StageInfo</t>
  </si>
  <si>
    <t xml:space="preserve">Short description of what each of the 5 governance stages means — shown in the app.</t>
  </si>
  <si>
    <t xml:space="preserve">Governance_Datasets / Ownership / QualityRules / Pipeline / Monitoring</t>
  </si>
  <si>
    <t xml:space="preserve">Supporting detail tables shown when a domain card is expanded, filtered by the selected stage.</t>
  </si>
  <si>
    <t xml:space="preserve">Executive_KPIs</t>
  </si>
  <si>
    <t xml:space="preserve">The 10 gerencia-level KPIs — Target and Actual are inputs; Completed is a helper formula for your own reference.</t>
  </si>
  <si>
    <t xml:space="preserve">Executive_Cycle_Config</t>
  </si>
  <si>
    <t xml:space="preserve">The PLANNED calendar of the monthly cycle (day offsets from month-end) — edit only if the official cadence changes.</t>
  </si>
  <si>
    <t xml:space="preserve">Executive_Cycle_Status</t>
  </si>
  <si>
    <t xml:space="preserve">This month's checklist — mark each milestone Done and log the actual day it happened.</t>
  </si>
  <si>
    <t xml:space="preserve">Executive_Cycle_History</t>
  </si>
  <si>
    <t xml:space="preserve">Planned vs Actual day teams finished updating their data, month by month — powers the compliance trend chart.</t>
  </si>
  <si>
    <t xml:space="preserve">Extra_KPIs</t>
  </si>
  <si>
    <t xml:space="preserve">Free-form headline metrics that don't fit a tidy table (schedule deviation, open/closed tickets, adoption rate, documents indexed).</t>
  </si>
  <si>
    <t xml:space="preserve">ProjectID</t>
  </si>
  <si>
    <t xml:space="preserve">Name</t>
  </si>
  <si>
    <t xml:space="preserve">Type</t>
  </si>
  <si>
    <t xml:space="preserve">Description</t>
  </si>
  <si>
    <t xml:space="preserve">Progress%</t>
  </si>
  <si>
    <t xml:space="preserve">Status</t>
  </si>
  <si>
    <t xml:space="preserve">Source</t>
  </si>
  <si>
    <t xml:space="preserve">Owner</t>
  </si>
  <si>
    <t xml:space="preserve">CutoffDate</t>
  </si>
  <si>
    <t xml:space="preserve">P1</t>
  </si>
  <si>
    <t xml:space="preserve">Cheves Value Pack</t>
  </si>
  <si>
    <t xml:space="preserve">B</t>
  </si>
  <si>
    <t xml:space="preserve">Anomaly Detection, CWS &amp; UH Prediction bundle</t>
  </si>
  <si>
    <t xml:space="preserve">On Track</t>
  </si>
  <si>
    <t xml:space="preserve">Jira</t>
  </si>
  <si>
    <t xml:space="preserve">Kevin</t>
  </si>
  <si>
    <t xml:space="preserve">P2</t>
  </si>
  <si>
    <t xml:space="preserve">General Scaling</t>
  </si>
  <si>
    <t xml:space="preserve">Fleet-wide expansion: Cahua, Yaupi, Malpaso</t>
  </si>
  <si>
    <t xml:space="preserve">At Risk</t>
  </si>
  <si>
    <t xml:space="preserve">P3</t>
  </si>
  <si>
    <t xml:space="preserve">AI Models Integration Agent</t>
  </si>
  <si>
    <t xml:space="preserve">Operator-facing AI models agent</t>
  </si>
  <si>
    <t xml:space="preserve">Manual</t>
  </si>
  <si>
    <t xml:space="preserve">Jazmin</t>
  </si>
  <si>
    <t xml:space="preserve">P4</t>
  </si>
  <si>
    <t xml:space="preserve">SO Knowledge Integration Agent</t>
  </si>
  <si>
    <t xml:space="preserve">Technical Q&amp;A over ACRs &amp; O&amp;M manuals</t>
  </si>
  <si>
    <t xml:space="preserve">P5</t>
  </si>
  <si>
    <t xml:space="preserve">Data Governance MVP</t>
  </si>
  <si>
    <t xml:space="preserve">C</t>
  </si>
  <si>
    <t xml:space="preserve">4-domain data governance maturity rollout</t>
  </si>
  <si>
    <t xml:space="preserve">P6</t>
  </si>
  <si>
    <t xml:space="preserve">Executive Dashboard</t>
  </si>
  <si>
    <t xml:space="preserve">A</t>
  </si>
  <si>
    <t xml:space="preserve">Monthly recurring management report</t>
  </si>
  <si>
    <t xml:space="preserve">Week</t>
  </si>
  <si>
    <t xml:space="preserve">WeekLabel</t>
  </si>
  <si>
    <t xml:space="preserve">Planned%</t>
  </si>
  <si>
    <t xml:space="preserve">Actual%</t>
  </si>
  <si>
    <t xml:space="preserve">W1</t>
  </si>
  <si>
    <t xml:space="preserve">W2</t>
  </si>
  <si>
    <t xml:space="preserve">W3</t>
  </si>
  <si>
    <t xml:space="preserve">W4</t>
  </si>
  <si>
    <t xml:space="preserve">W5</t>
  </si>
  <si>
    <t xml:space="preserve">W6</t>
  </si>
  <si>
    <t xml:space="preserve">W7</t>
  </si>
  <si>
    <t xml:space="preserve">W8 (current)</t>
  </si>
  <si>
    <t xml:space="preserve">Module</t>
  </si>
  <si>
    <t xml:space="preserve">Item</t>
  </si>
  <si>
    <t xml:space="preserve">PhaseOrder</t>
  </si>
  <si>
    <t xml:space="preserve">PhaseName</t>
  </si>
  <si>
    <t xml:space="preserve">Value%</t>
  </si>
  <si>
    <t xml:space="preserve">Cheves</t>
  </si>
  <si>
    <t xml:space="preserve">Anomaly Detection</t>
  </si>
  <si>
    <t xml:space="preserve">Business Focus</t>
  </si>
  <si>
    <t xml:space="preserve">Data Acquisition</t>
  </si>
  <si>
    <t xml:space="preserve">Data Modeling</t>
  </si>
  <si>
    <t xml:space="preserve">Data Validation</t>
  </si>
  <si>
    <t xml:space="preserve">Data Deployment</t>
  </si>
  <si>
    <t xml:space="preserve">CWS</t>
  </si>
  <si>
    <t xml:space="preserve">UH Prediction</t>
  </si>
  <si>
    <t xml:space="preserve">Rollout</t>
  </si>
  <si>
    <t xml:space="preserve">Cahua</t>
  </si>
  <si>
    <t xml:space="preserve">Yaupi</t>
  </si>
  <si>
    <t xml:space="preserve">Malpaso</t>
  </si>
  <si>
    <t xml:space="preserve">AIAgents</t>
  </si>
  <si>
    <t xml:space="preserve">Autonomous Anomaly Detection Agent</t>
  </si>
  <si>
    <t xml:space="preserve">Design</t>
  </si>
  <si>
    <t xml:space="preserve">Development</t>
  </si>
  <si>
    <t xml:space="preserve">Validation</t>
  </si>
  <si>
    <t xml:space="preserve">Deployment</t>
  </si>
  <si>
    <t xml:space="preserve">CWS Health Monitoring and Forecasting Agent</t>
  </si>
  <si>
    <t xml:space="preserve">HPU Health Monitoring and Forecasting Agent</t>
  </si>
  <si>
    <t xml:space="preserve">Vibration Monitoring Agent</t>
  </si>
  <si>
    <t xml:space="preserve">SOKnowledge</t>
  </si>
  <si>
    <t xml:space="preserve">O&amp;M Manuals Agent</t>
  </si>
  <si>
    <t xml:space="preserve">Root Cause Analysis Agent</t>
  </si>
  <si>
    <t xml:space="preserve">Cross-Functional SO Meetings Agent</t>
  </si>
  <si>
    <t xml:space="preserve">MilestoneOrder</t>
  </si>
  <si>
    <t xml:space="preserve">Milestone</t>
  </si>
  <si>
    <t xml:space="preserve">Done</t>
  </si>
  <si>
    <t xml:space="preserve">Business alignment</t>
  </si>
  <si>
    <t xml:space="preserve">Y</t>
  </si>
  <si>
    <t xml:space="preserve">Data pipeline established</t>
  </si>
  <si>
    <t xml:space="preserve">Model validated</t>
  </si>
  <si>
    <t xml:space="preserve">Operator training</t>
  </si>
  <si>
    <t xml:space="preserve">N</t>
  </si>
  <si>
    <t xml:space="preserve">Go-live</t>
  </si>
  <si>
    <t xml:space="preserve">Site assessment</t>
  </si>
  <si>
    <t xml:space="preserve">Data connectivity</t>
  </si>
  <si>
    <t xml:space="preserve">Model deployment</t>
  </si>
  <si>
    <t xml:space="preserve">Model trained</t>
  </si>
  <si>
    <t xml:space="preserve">Pilot with operators</t>
  </si>
  <si>
    <t xml:space="preserve">Integration with SCADA</t>
  </si>
  <si>
    <t xml:space="preserve">Full production</t>
  </si>
  <si>
    <t xml:space="preserve">Documents indexed</t>
  </si>
  <si>
    <t xml:space="preserve">Retrieval validated</t>
  </si>
  <si>
    <t xml:space="preserve">Delayed</t>
  </si>
  <si>
    <t xml:space="preserve">Domain</t>
  </si>
  <si>
    <t xml:space="preserve">Stage(0-4)</t>
  </si>
  <si>
    <t xml:space="preserve">Cataloged%</t>
  </si>
  <si>
    <t xml:space="preserve">OwnerAssigned%</t>
  </si>
  <si>
    <t xml:space="preserve">PlanningProgress%</t>
  </si>
  <si>
    <t xml:space="preserve">Dispatch</t>
  </si>
  <si>
    <t xml:space="preserve">Asset Management</t>
  </si>
  <si>
    <t xml:space="preserve">O&amp;M</t>
  </si>
  <si>
    <t xml:space="preserve">Dams Safety &amp; Civil</t>
  </si>
  <si>
    <t xml:space="preserve">Portfolio Average</t>
  </si>
  <si>
    <t xml:space="preserve">StageOrder</t>
  </si>
  <si>
    <t xml:space="preserve">StageName</t>
  </si>
  <si>
    <t xml:space="preserve">Inventory &amp; Prioritization</t>
  </si>
  <si>
    <t xml:space="preserve">Identify and prioritize the domain's critical datasets that must be governed first.</t>
  </si>
  <si>
    <t xml:space="preserve">Ownership Definition</t>
  </si>
  <si>
    <t xml:space="preserve">Assign an accountable data owner and steward to each prioritized dataset.</t>
  </si>
  <si>
    <t xml:space="preserve">Data Quality Rules</t>
  </si>
  <si>
    <t xml:space="preserve">Define measurable quality rules and thresholds for each critical dataset.</t>
  </si>
  <si>
    <t xml:space="preserve">Pipeline &amp; Dashboard Implementation</t>
  </si>
  <si>
    <t xml:space="preserve">Automate the data pipeline and build the dashboard that exposes the governed data.</t>
  </si>
  <si>
    <t xml:space="preserve">Monitoring &amp; Continuous Improvement</t>
  </si>
  <si>
    <t xml:space="preserve">Track data quality over time and resolve recurring issues through a backlog.</t>
  </si>
  <si>
    <t xml:space="preserve">Dataset</t>
  </si>
  <si>
    <t xml:space="preserve">Criticality</t>
  </si>
  <si>
    <t xml:space="preserve">Use</t>
  </si>
  <si>
    <t xml:space="preserve">Production / Energy</t>
  </si>
  <si>
    <t xml:space="preserve">High</t>
  </si>
  <si>
    <t xml:space="preserve">Operational</t>
  </si>
  <si>
    <t xml:space="preserve">MAuA / Availability</t>
  </si>
  <si>
    <t xml:space="preserve">Loss of Profit</t>
  </si>
  <si>
    <t xml:space="preserve">Strategic</t>
  </si>
  <si>
    <t xml:space="preserve">Hydrology</t>
  </si>
  <si>
    <t xml:space="preserve">Medium</t>
  </si>
  <si>
    <t xml:space="preserve">SCADA Generation</t>
  </si>
  <si>
    <t xml:space="preserve">Steward</t>
  </si>
  <si>
    <t xml:space="preserve">J. Ramirez</t>
  </si>
  <si>
    <t xml:space="preserve">K. Soto</t>
  </si>
  <si>
    <t xml:space="preserve">M. Diaz</t>
  </si>
  <si>
    <t xml:space="preserve">Rule</t>
  </si>
  <si>
    <t xml:space="preserve">Threshold</t>
  </si>
  <si>
    <t xml:space="preserve">Completeness &gt;= 98%</t>
  </si>
  <si>
    <t xml:space="preserve">98%</t>
  </si>
  <si>
    <t xml:space="preserve">MW &gt;= 0</t>
  </si>
  <si>
    <t xml:space="preserve">0</t>
  </si>
  <si>
    <t xml:space="preserve">PipelineStatus</t>
  </si>
  <si>
    <t xml:space="preserve">DashboardStatus</t>
  </si>
  <si>
    <t xml:space="preserve">Notes</t>
  </si>
  <si>
    <t xml:space="preserve">Automated refresh live; dashboard in UAT with the team.</t>
  </si>
  <si>
    <t xml:space="preserve">Pipeline stable; dashboard pending stakeholder validation.</t>
  </si>
  <si>
    <t xml:space="preserve">Pending</t>
  </si>
  <si>
    <t xml:space="preserve">Pipeline build not yet started.</t>
  </si>
  <si>
    <t xml:space="preserve">Domain hasn't reached this stage yet.</t>
  </si>
  <si>
    <t xml:space="preserve">DatasetsOK%</t>
  </si>
  <si>
    <t xml:space="preserve">Issues</t>
  </si>
  <si>
    <t xml:space="preserve">Backlog</t>
  </si>
  <si>
    <t xml:space="preserve">KPI_ID</t>
  </si>
  <si>
    <t xml:space="preserve">Target</t>
  </si>
  <si>
    <t xml:space="preserve">Actual</t>
  </si>
  <si>
    <t xml:space="preserve">Completed</t>
  </si>
  <si>
    <t xml:space="preserve">K1</t>
  </si>
  <si>
    <t xml:space="preserve">KPI 1 (placeholder)</t>
  </si>
  <si>
    <t xml:space="preserve">K2</t>
  </si>
  <si>
    <t xml:space="preserve">KPI 2 (placeholder)</t>
  </si>
  <si>
    <t xml:space="preserve">K3</t>
  </si>
  <si>
    <t xml:space="preserve">KPI 3 (placeholder)</t>
  </si>
  <si>
    <t xml:space="preserve">K4</t>
  </si>
  <si>
    <t xml:space="preserve">KPI 4 (placeholder)</t>
  </si>
  <si>
    <t xml:space="preserve">K5</t>
  </si>
  <si>
    <t xml:space="preserve">KPI 5 (placeholder)</t>
  </si>
  <si>
    <t xml:space="preserve">K6</t>
  </si>
  <si>
    <t xml:space="preserve">KPI 6 (placeholder)</t>
  </si>
  <si>
    <t xml:space="preserve">K7</t>
  </si>
  <si>
    <t xml:space="preserve">KPI 7 (placeholder)</t>
  </si>
  <si>
    <t xml:space="preserve">K8</t>
  </si>
  <si>
    <t xml:space="preserve">KPI 8 (placeholder)</t>
  </si>
  <si>
    <t xml:space="preserve">K9</t>
  </si>
  <si>
    <t xml:space="preserve">KPI 9 (placeholder)</t>
  </si>
  <si>
    <t xml:space="preserve">K10</t>
  </si>
  <si>
    <t xml:space="preserve">KPI 10 (placeholder)</t>
  </si>
  <si>
    <t xml:space="preserve">Order</t>
  </si>
  <si>
    <t xml:space="preserve">PlannedDayOffset</t>
  </si>
  <si>
    <t xml:space="preserve">Month-end</t>
  </si>
  <si>
    <t xml:space="preserve">Reference point: last day of the month.</t>
  </si>
  <si>
    <t xml:space="preserve">Data Updated</t>
  </si>
  <si>
    <t xml:space="preserve">Deadline for teams to update their source data.</t>
  </si>
  <si>
    <t xml:space="preserve">Dashboard Updated</t>
  </si>
  <si>
    <t xml:space="preserve">Official dashboard refresh, one day after the data deadline.</t>
  </si>
  <si>
    <t xml:space="preserve">Monthly Review</t>
  </si>
  <si>
    <t xml:space="preserve">Sustentación with Asset Management leadership.</t>
  </si>
  <si>
    <t xml:space="preserve">FAP Presentation</t>
  </si>
  <si>
    <t xml:space="preserve">Manager presents results at the FAP (4th week of the cycle).</t>
  </si>
  <si>
    <t xml:space="preserve">ActualDayOffset</t>
  </si>
  <si>
    <t xml:space="preserve">Month</t>
  </si>
  <si>
    <t xml:space="preserve">PlannedDay</t>
  </si>
  <si>
    <t xml:space="preserve">ActualDay</t>
  </si>
  <si>
    <t xml:space="preserve">DashboardOnTime</t>
  </si>
  <si>
    <t xml:space="preserve">MonthlyReviewDone</t>
  </si>
  <si>
    <t xml:space="preserve">FAPPresented</t>
  </si>
  <si>
    <t xml:space="preserve">Compliance</t>
  </si>
  <si>
    <t xml:space="preserve">Feb-26</t>
  </si>
  <si>
    <t xml:space="preserve">Mar-26</t>
  </si>
  <si>
    <t xml:space="preserve">Apr-26</t>
  </si>
  <si>
    <t xml:space="preserve">May-26</t>
  </si>
  <si>
    <t xml:space="preserve">Jun-26</t>
  </si>
  <si>
    <t xml:space="preserve">Jul-26</t>
  </si>
  <si>
    <t xml:space="preserve">KPI_Name</t>
  </si>
  <si>
    <t xml:space="preserve">KPI_Value</t>
  </si>
  <si>
    <t xml:space="preserve">Schedule Deviation</t>
  </si>
  <si>
    <t xml:space="preserve">+6 days</t>
  </si>
  <si>
    <t xml:space="preserve">Open Tickets</t>
  </si>
  <si>
    <t xml:space="preserve">14</t>
  </si>
  <si>
    <t xml:space="preserve">Closed This Week</t>
  </si>
  <si>
    <t xml:space="preserve">9</t>
  </si>
  <si>
    <t xml:space="preserve">Adoption Rate</t>
  </si>
  <si>
    <t xml:space="preserve">62%</t>
  </si>
  <si>
    <t xml:space="preserve">Documents Indexed</t>
  </si>
  <si>
    <t xml:space="preserve">212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</si>
</sst>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C0F00"/>
      <name val="Arial"/>
      <family val="0"/>
      <charset val="1"/>
    </font>
    <font>
      <b val="true"/>
      <sz val="13"/>
      <color rgb="FF2C0F0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2C0F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2C0F00"/>
        <bgColor rgb="FF000000"/>
      </patternFill>
    </fill>
    <fill>
      <patternFill patternType="solid">
        <fgColor rgb="FFEAF6FF"/>
        <bgColor rgb="FFF2F2F0"/>
      </patternFill>
    </fill>
    <fill>
      <patternFill patternType="solid">
        <fgColor rgb="FFF2F2F0"/>
        <bgColor rgb="FFEAF6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7E5DF"/>
      </left>
      <right style="thin">
        <color rgb="FFE7E5DF"/>
      </right>
      <top style="thin">
        <color rgb="FFE7E5DF"/>
      </top>
      <bottom style="thin">
        <color rgb="FFE7E5D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0"/>
      <rgbColor rgb="FFEAF6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7E5DF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2C0F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0"/>
  </cols>
  <sheetData>
    <row r="1" customFormat="false" ht="19.7" hidden="false" customHeight="false" outlineLevel="0" collapsed="false">
      <c r="A1" s="1" t="s">
        <v>0</v>
      </c>
      <c r="B1" s="1"/>
    </row>
    <row r="3" customFormat="false" ht="16.15" hidden="false" customHeight="false" outlineLevel="0" collapsed="false">
      <c r="A3" s="2" t="s">
        <v>1</v>
      </c>
    </row>
    <row r="4" customFormat="false" ht="45" hidden="false" customHeight="true" outlineLevel="0" collapsed="false">
      <c r="A4" s="3" t="s">
        <v>2</v>
      </c>
      <c r="B4" s="3"/>
    </row>
    <row r="6" customFormat="false" ht="27.75" hidden="false" customHeight="true" outlineLevel="0" collapsed="false">
      <c r="A6" s="4" t="s">
        <v>3</v>
      </c>
      <c r="B6" s="4" t="s">
        <v>4</v>
      </c>
    </row>
    <row r="7" customFormat="false" ht="30" hidden="false" customHeight="true" outlineLevel="0" collapsed="false">
      <c r="A7" s="5" t="s">
        <v>5</v>
      </c>
      <c r="B7" s="6" t="s">
        <v>6</v>
      </c>
    </row>
    <row r="8" customFormat="false" ht="30" hidden="false" customHeight="true" outlineLevel="0" collapsed="false">
      <c r="A8" s="5" t="s">
        <v>7</v>
      </c>
      <c r="B8" s="6" t="s">
        <v>8</v>
      </c>
    </row>
    <row r="9" customFormat="false" ht="30" hidden="false" customHeight="true" outlineLevel="0" collapsed="false">
      <c r="A9" s="5" t="s">
        <v>9</v>
      </c>
      <c r="B9" s="6" t="s">
        <v>10</v>
      </c>
    </row>
    <row r="11" customFormat="false" ht="16.15" hidden="false" customHeight="false" outlineLevel="0" collapsed="false">
      <c r="A11" s="2" t="s">
        <v>11</v>
      </c>
    </row>
    <row r="12" customFormat="false" ht="30" hidden="false" customHeight="true" outlineLevel="0" collapsed="false">
      <c r="A12" s="7" t="s">
        <v>12</v>
      </c>
      <c r="B12" s="6" t="s">
        <v>13</v>
      </c>
    </row>
    <row r="13" customFormat="false" ht="30" hidden="false" customHeight="true" outlineLevel="0" collapsed="false">
      <c r="A13" s="7" t="s">
        <v>14</v>
      </c>
      <c r="B13" s="6" t="s">
        <v>15</v>
      </c>
    </row>
    <row r="14" customFormat="false" ht="30" hidden="false" customHeight="true" outlineLevel="0" collapsed="false">
      <c r="A14" s="7" t="s">
        <v>16</v>
      </c>
      <c r="B14" s="6" t="s">
        <v>17</v>
      </c>
    </row>
    <row r="15" customFormat="false" ht="30" hidden="false" customHeight="true" outlineLevel="0" collapsed="false">
      <c r="A15" s="7" t="s">
        <v>18</v>
      </c>
      <c r="B15" s="6" t="s">
        <v>19</v>
      </c>
    </row>
    <row r="16" customFormat="false" ht="30" hidden="false" customHeight="true" outlineLevel="0" collapsed="false">
      <c r="A16" s="7" t="s">
        <v>20</v>
      </c>
      <c r="B16" s="6" t="s">
        <v>21</v>
      </c>
    </row>
    <row r="17" customFormat="false" ht="30" hidden="false" customHeight="true" outlineLevel="0" collapsed="false">
      <c r="A17" s="7" t="s">
        <v>22</v>
      </c>
      <c r="B17" s="6" t="s">
        <v>23</v>
      </c>
    </row>
    <row r="18" customFormat="false" ht="30" hidden="false" customHeight="true" outlineLevel="0" collapsed="false">
      <c r="A18" s="7" t="s">
        <v>24</v>
      </c>
      <c r="B18" s="6" t="s">
        <v>25</v>
      </c>
    </row>
    <row r="19" customFormat="false" ht="30" hidden="false" customHeight="true" outlineLevel="0" collapsed="false">
      <c r="A19" s="7" t="s">
        <v>26</v>
      </c>
      <c r="B19" s="6" t="s">
        <v>27</v>
      </c>
    </row>
    <row r="20" customFormat="false" ht="30" hidden="false" customHeight="true" outlineLevel="0" collapsed="false">
      <c r="A20" s="7" t="s">
        <v>28</v>
      </c>
      <c r="B20" s="6" t="s">
        <v>29</v>
      </c>
    </row>
    <row r="21" customFormat="false" ht="30" hidden="false" customHeight="true" outlineLevel="0" collapsed="false">
      <c r="A21" s="7" t="s">
        <v>30</v>
      </c>
      <c r="B21" s="6" t="s">
        <v>31</v>
      </c>
    </row>
    <row r="22" customFormat="false" ht="30" hidden="false" customHeight="true" outlineLevel="0" collapsed="false">
      <c r="A22" s="7" t="s">
        <v>32</v>
      </c>
      <c r="B22" s="6" t="s">
        <v>33</v>
      </c>
    </row>
    <row r="23" customFormat="false" ht="30" hidden="false" customHeight="true" outlineLevel="0" collapsed="false">
      <c r="A23" s="7" t="s">
        <v>34</v>
      </c>
      <c r="B23" s="6" t="s">
        <v>35</v>
      </c>
    </row>
    <row r="24" customFormat="false" ht="30" hidden="false" customHeight="true" outlineLevel="0" collapsed="false">
      <c r="A24" s="7" t="s">
        <v>36</v>
      </c>
      <c r="B24" s="6" t="s">
        <v>37</v>
      </c>
    </row>
    <row r="25" customFormat="false" ht="30" hidden="false" customHeight="true" outlineLevel="0" collapsed="false">
      <c r="A25" s="7" t="s">
        <v>38</v>
      </c>
      <c r="B25" s="6" t="s">
        <v>39</v>
      </c>
    </row>
  </sheetData>
  <mergeCells count="2">
    <mergeCell ref="A1:B1"/>
    <mergeCell ref="A4:B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0"/>
    <col collapsed="false" customWidth="true" hidden="false" outlineLevel="0" max="3" min="3" style="0" width="8"/>
    <col collapsed="false" customWidth="true" hidden="false" outlineLevel="0" max="4" min="4" style="0" width="44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13"/>
  </cols>
  <sheetData>
    <row r="1" customFormat="false" ht="27.75" hidden="false" customHeight="true" outlineLevel="0" collapsed="false">
      <c r="A1" s="4" t="s">
        <v>40</v>
      </c>
      <c r="B1" s="4" t="s">
        <v>41</v>
      </c>
      <c r="C1" s="4" t="s">
        <v>42</v>
      </c>
      <c r="D1" s="4" t="s">
        <v>43</v>
      </c>
      <c r="E1" s="4" t="s">
        <v>44</v>
      </c>
      <c r="F1" s="4" t="s">
        <v>45</v>
      </c>
      <c r="G1" s="4" t="s">
        <v>46</v>
      </c>
      <c r="H1" s="4" t="s">
        <v>47</v>
      </c>
      <c r="I1" s="4" t="s">
        <v>48</v>
      </c>
    </row>
    <row r="2" customFormat="false" ht="15" hidden="false" customHeight="false" outlineLevel="0" collapsed="false">
      <c r="A2" s="8" t="s">
        <v>49</v>
      </c>
      <c r="B2" s="8" t="s">
        <v>50</v>
      </c>
      <c r="C2" s="8" t="s">
        <v>51</v>
      </c>
      <c r="D2" s="8" t="s">
        <v>52</v>
      </c>
      <c r="E2" s="9" t="n">
        <v>68</v>
      </c>
      <c r="F2" s="9" t="s">
        <v>53</v>
      </c>
      <c r="G2" s="8" t="s">
        <v>54</v>
      </c>
      <c r="H2" s="8" t="s">
        <v>55</v>
      </c>
      <c r="I2" s="10" t="n">
        <v>46209</v>
      </c>
    </row>
    <row r="3" customFormat="false" ht="15" hidden="false" customHeight="false" outlineLevel="0" collapsed="false">
      <c r="A3" s="8" t="s">
        <v>56</v>
      </c>
      <c r="B3" s="8" t="s">
        <v>57</v>
      </c>
      <c r="C3" s="8" t="s">
        <v>51</v>
      </c>
      <c r="D3" s="8" t="s">
        <v>58</v>
      </c>
      <c r="E3" s="9" t="n">
        <v>45</v>
      </c>
      <c r="F3" s="9" t="s">
        <v>59</v>
      </c>
      <c r="G3" s="8" t="s">
        <v>54</v>
      </c>
      <c r="H3" s="8" t="s">
        <v>55</v>
      </c>
      <c r="I3" s="10" t="n">
        <v>46209</v>
      </c>
    </row>
    <row r="4" customFormat="false" ht="15" hidden="false" customHeight="false" outlineLevel="0" collapsed="false">
      <c r="A4" s="8" t="s">
        <v>60</v>
      </c>
      <c r="B4" s="8" t="s">
        <v>61</v>
      </c>
      <c r="C4" s="8" t="s">
        <v>51</v>
      </c>
      <c r="D4" s="8" t="s">
        <v>62</v>
      </c>
      <c r="E4" s="9" t="n">
        <v>61</v>
      </c>
      <c r="F4" s="9" t="s">
        <v>53</v>
      </c>
      <c r="G4" s="8" t="s">
        <v>63</v>
      </c>
      <c r="H4" s="8" t="s">
        <v>64</v>
      </c>
      <c r="I4" s="10" t="n">
        <v>46209</v>
      </c>
    </row>
    <row r="5" customFormat="false" ht="15" hidden="false" customHeight="false" outlineLevel="0" collapsed="false">
      <c r="A5" s="8" t="s">
        <v>65</v>
      </c>
      <c r="B5" s="8" t="s">
        <v>66</v>
      </c>
      <c r="C5" s="8" t="s">
        <v>51</v>
      </c>
      <c r="D5" s="8" t="s">
        <v>67</v>
      </c>
      <c r="E5" s="9" t="n">
        <v>46</v>
      </c>
      <c r="F5" s="9" t="s">
        <v>59</v>
      </c>
      <c r="G5" s="8" t="s">
        <v>63</v>
      </c>
      <c r="H5" s="8" t="s">
        <v>64</v>
      </c>
      <c r="I5" s="10" t="n">
        <v>46209</v>
      </c>
    </row>
    <row r="6" customFormat="false" ht="15" hidden="false" customHeight="false" outlineLevel="0" collapsed="false">
      <c r="A6" s="8" t="s">
        <v>68</v>
      </c>
      <c r="B6" s="8" t="s">
        <v>69</v>
      </c>
      <c r="C6" s="8" t="s">
        <v>70</v>
      </c>
      <c r="D6" s="8" t="s">
        <v>71</v>
      </c>
      <c r="E6" s="9" t="n">
        <v>54</v>
      </c>
      <c r="F6" s="9" t="s">
        <v>59</v>
      </c>
      <c r="G6" s="8" t="s">
        <v>63</v>
      </c>
      <c r="H6" s="8" t="s">
        <v>64</v>
      </c>
      <c r="I6" s="10" t="n">
        <v>46209</v>
      </c>
    </row>
    <row r="7" customFormat="false" ht="15" hidden="false" customHeight="false" outlineLevel="0" collapsed="false">
      <c r="A7" s="8" t="s">
        <v>72</v>
      </c>
      <c r="B7" s="8" t="s">
        <v>73</v>
      </c>
      <c r="C7" s="8" t="s">
        <v>74</v>
      </c>
      <c r="D7" s="8" t="s">
        <v>75</v>
      </c>
      <c r="E7" s="9" t="n">
        <v>100</v>
      </c>
      <c r="F7" s="9" t="s">
        <v>53</v>
      </c>
      <c r="G7" s="8" t="s">
        <v>63</v>
      </c>
      <c r="H7" s="8" t="s">
        <v>64</v>
      </c>
      <c r="I7" s="10" t="n">
        <v>46209</v>
      </c>
    </row>
  </sheetData>
  <dataValidations count="3">
    <dataValidation allowBlank="true" error="Selecciona un valor de la lista." errorStyle="stop" errorTitle="Valor inválido" operator="between" showDropDown="false" showErrorMessage="true" showInputMessage="false" sqref="C2:C7" type="list">
      <formula1>"A,B,C"</formula1>
      <formula2>0</formula2>
    </dataValidation>
    <dataValidation allowBlank="true" error="Selecciona un valor de la lista." errorStyle="stop" errorTitle="Valor inválido" operator="between" showDropDown="false" showErrorMessage="true" showInputMessage="false" sqref="F2:F7" type="list">
      <formula1>"On Track,At Risk,Delayed"</formula1>
      <formula2>0</formula2>
    </dataValidation>
    <dataValidation allowBlank="true" error="Selecciona un valor de la lista." errorStyle="stop" errorTitle="Valor inválido" operator="between" showDropDown="false" showErrorMessage="true" showInputMessage="false" sqref="G2:G7" type="list">
      <formula1>"Jira,Manual"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4" min="3" style="0" width="12"/>
  </cols>
  <sheetData>
    <row r="1" customFormat="false" ht="27.75" hidden="false" customHeight="true" outlineLevel="0" collapsed="false">
      <c r="A1" s="4" t="s">
        <v>76</v>
      </c>
      <c r="B1" s="4" t="s">
        <v>77</v>
      </c>
      <c r="C1" s="4" t="s">
        <v>78</v>
      </c>
      <c r="D1" s="4" t="s">
        <v>79</v>
      </c>
    </row>
    <row r="2" customFormat="false" ht="15" hidden="false" customHeight="false" outlineLevel="0" collapsed="false">
      <c r="A2" s="8" t="n">
        <v>1</v>
      </c>
      <c r="B2" s="8" t="s">
        <v>80</v>
      </c>
      <c r="C2" s="9" t="n">
        <v>36</v>
      </c>
      <c r="D2" s="9" t="n">
        <v>34</v>
      </c>
    </row>
    <row r="3" customFormat="false" ht="15" hidden="false" customHeight="false" outlineLevel="0" collapsed="false">
      <c r="A3" s="8" t="n">
        <v>2</v>
      </c>
      <c r="B3" s="8" t="s">
        <v>81</v>
      </c>
      <c r="C3" s="9" t="n">
        <v>37</v>
      </c>
      <c r="D3" s="9" t="n">
        <v>38</v>
      </c>
    </row>
    <row r="4" customFormat="false" ht="15" hidden="false" customHeight="false" outlineLevel="0" collapsed="false">
      <c r="A4" s="8" t="n">
        <v>3</v>
      </c>
      <c r="B4" s="8" t="s">
        <v>82</v>
      </c>
      <c r="C4" s="9" t="n">
        <v>40</v>
      </c>
      <c r="D4" s="9" t="n">
        <v>44</v>
      </c>
    </row>
    <row r="5" customFormat="false" ht="15" hidden="false" customHeight="false" outlineLevel="0" collapsed="false">
      <c r="A5" s="8" t="n">
        <v>4</v>
      </c>
      <c r="B5" s="8" t="s">
        <v>83</v>
      </c>
      <c r="C5" s="9" t="n">
        <v>46</v>
      </c>
      <c r="D5" s="9" t="n">
        <v>49</v>
      </c>
    </row>
    <row r="6" customFormat="false" ht="15" hidden="false" customHeight="false" outlineLevel="0" collapsed="false">
      <c r="A6" s="8" t="n">
        <v>5</v>
      </c>
      <c r="B6" s="8" t="s">
        <v>84</v>
      </c>
      <c r="C6" s="9" t="n">
        <v>54</v>
      </c>
      <c r="D6" s="9" t="n">
        <v>53</v>
      </c>
    </row>
    <row r="7" customFormat="false" ht="15" hidden="false" customHeight="false" outlineLevel="0" collapsed="false">
      <c r="A7" s="8" t="n">
        <v>6</v>
      </c>
      <c r="B7" s="8" t="s">
        <v>85</v>
      </c>
      <c r="C7" s="9" t="n">
        <v>60</v>
      </c>
      <c r="D7" s="9" t="n">
        <v>57</v>
      </c>
    </row>
    <row r="8" customFormat="false" ht="15" hidden="false" customHeight="false" outlineLevel="0" collapsed="false">
      <c r="A8" s="8" t="n">
        <v>7</v>
      </c>
      <c r="B8" s="8" t="s">
        <v>86</v>
      </c>
      <c r="C8" s="9" t="n">
        <v>63</v>
      </c>
      <c r="D8" s="9" t="n">
        <v>60</v>
      </c>
    </row>
    <row r="9" customFormat="false" ht="15" hidden="false" customHeight="false" outlineLevel="0" collapsed="false">
      <c r="A9" s="8" t="n">
        <v>8</v>
      </c>
      <c r="B9" s="8" t="s">
        <v>87</v>
      </c>
      <c r="C9" s="9" t="n">
        <v>64</v>
      </c>
      <c r="D9" s="9" t="n">
        <v>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0"/>
    <col collapsed="false" customWidth="true" hidden="false" outlineLevel="0" max="3" min="3" style="0" width="12"/>
    <col collapsed="false" customWidth="true" hidden="false" outlineLevel="0" max="4" min="4" style="0" width="20"/>
    <col collapsed="false" customWidth="true" hidden="false" outlineLevel="0" max="5" min="5" style="0" width="10"/>
  </cols>
  <sheetData>
    <row r="1" customFormat="false" ht="27.75" hidden="false" customHeight="true" outlineLevel="0" collapsed="false">
      <c r="A1" s="4" t="s">
        <v>88</v>
      </c>
      <c r="B1" s="4" t="s">
        <v>89</v>
      </c>
      <c r="C1" s="4" t="s">
        <v>90</v>
      </c>
      <c r="D1" s="4" t="s">
        <v>91</v>
      </c>
      <c r="E1" s="4" t="s">
        <v>92</v>
      </c>
    </row>
    <row r="2" customFormat="false" ht="15" hidden="false" customHeight="false" outlineLevel="0" collapsed="false">
      <c r="A2" s="8" t="s">
        <v>93</v>
      </c>
      <c r="B2" s="8" t="s">
        <v>94</v>
      </c>
      <c r="C2" s="8" t="n">
        <v>1</v>
      </c>
      <c r="D2" s="8" t="s">
        <v>95</v>
      </c>
      <c r="E2" s="9" t="n">
        <v>100</v>
      </c>
    </row>
    <row r="3" customFormat="false" ht="15" hidden="false" customHeight="false" outlineLevel="0" collapsed="false">
      <c r="A3" s="8" t="s">
        <v>93</v>
      </c>
      <c r="B3" s="8" t="s">
        <v>94</v>
      </c>
      <c r="C3" s="8" t="n">
        <v>2</v>
      </c>
      <c r="D3" s="8" t="s">
        <v>96</v>
      </c>
      <c r="E3" s="9" t="n">
        <v>100</v>
      </c>
    </row>
    <row r="4" customFormat="false" ht="15" hidden="false" customHeight="false" outlineLevel="0" collapsed="false">
      <c r="A4" s="8" t="s">
        <v>93</v>
      </c>
      <c r="B4" s="8" t="s">
        <v>94</v>
      </c>
      <c r="C4" s="8" t="n">
        <v>3</v>
      </c>
      <c r="D4" s="8" t="s">
        <v>97</v>
      </c>
      <c r="E4" s="9" t="n">
        <v>85</v>
      </c>
    </row>
    <row r="5" customFormat="false" ht="15" hidden="false" customHeight="false" outlineLevel="0" collapsed="false">
      <c r="A5" s="8" t="s">
        <v>93</v>
      </c>
      <c r="B5" s="8" t="s">
        <v>94</v>
      </c>
      <c r="C5" s="8" t="n">
        <v>4</v>
      </c>
      <c r="D5" s="8" t="s">
        <v>98</v>
      </c>
      <c r="E5" s="9" t="n">
        <v>60</v>
      </c>
    </row>
    <row r="6" customFormat="false" ht="15" hidden="false" customHeight="false" outlineLevel="0" collapsed="false">
      <c r="A6" s="8" t="s">
        <v>93</v>
      </c>
      <c r="B6" s="8" t="s">
        <v>94</v>
      </c>
      <c r="C6" s="8" t="n">
        <v>5</v>
      </c>
      <c r="D6" s="8" t="s">
        <v>99</v>
      </c>
      <c r="E6" s="9" t="n">
        <v>35</v>
      </c>
    </row>
    <row r="7" customFormat="false" ht="15" hidden="false" customHeight="false" outlineLevel="0" collapsed="false">
      <c r="A7" s="8" t="s">
        <v>93</v>
      </c>
      <c r="B7" s="8" t="s">
        <v>100</v>
      </c>
      <c r="C7" s="8" t="n">
        <v>1</v>
      </c>
      <c r="D7" s="8" t="s">
        <v>95</v>
      </c>
      <c r="E7" s="9" t="n">
        <v>100</v>
      </c>
    </row>
    <row r="8" customFormat="false" ht="15" hidden="false" customHeight="false" outlineLevel="0" collapsed="false">
      <c r="A8" s="8" t="s">
        <v>93</v>
      </c>
      <c r="B8" s="8" t="s">
        <v>100</v>
      </c>
      <c r="C8" s="8" t="n">
        <v>2</v>
      </c>
      <c r="D8" s="8" t="s">
        <v>96</v>
      </c>
      <c r="E8" s="9" t="n">
        <v>90</v>
      </c>
    </row>
    <row r="9" customFormat="false" ht="15" hidden="false" customHeight="false" outlineLevel="0" collapsed="false">
      <c r="A9" s="8" t="s">
        <v>93</v>
      </c>
      <c r="B9" s="8" t="s">
        <v>100</v>
      </c>
      <c r="C9" s="8" t="n">
        <v>3</v>
      </c>
      <c r="D9" s="8" t="s">
        <v>97</v>
      </c>
      <c r="E9" s="9" t="n">
        <v>65</v>
      </c>
    </row>
    <row r="10" customFormat="false" ht="15" hidden="false" customHeight="false" outlineLevel="0" collapsed="false">
      <c r="A10" s="8" t="s">
        <v>93</v>
      </c>
      <c r="B10" s="8" t="s">
        <v>100</v>
      </c>
      <c r="C10" s="8" t="n">
        <v>4</v>
      </c>
      <c r="D10" s="8" t="s">
        <v>98</v>
      </c>
      <c r="E10" s="9" t="n">
        <v>30</v>
      </c>
    </row>
    <row r="11" customFormat="false" ht="15" hidden="false" customHeight="false" outlineLevel="0" collapsed="false">
      <c r="A11" s="8" t="s">
        <v>93</v>
      </c>
      <c r="B11" s="8" t="s">
        <v>100</v>
      </c>
      <c r="C11" s="8" t="n">
        <v>5</v>
      </c>
      <c r="D11" s="8" t="s">
        <v>99</v>
      </c>
      <c r="E11" s="9" t="n">
        <v>5</v>
      </c>
    </row>
    <row r="12" customFormat="false" ht="15" hidden="false" customHeight="false" outlineLevel="0" collapsed="false">
      <c r="A12" s="8" t="s">
        <v>93</v>
      </c>
      <c r="B12" s="8" t="s">
        <v>101</v>
      </c>
      <c r="C12" s="8" t="n">
        <v>1</v>
      </c>
      <c r="D12" s="8" t="s">
        <v>95</v>
      </c>
      <c r="E12" s="9" t="n">
        <v>100</v>
      </c>
    </row>
    <row r="13" customFormat="false" ht="15" hidden="false" customHeight="false" outlineLevel="0" collapsed="false">
      <c r="A13" s="8" t="s">
        <v>93</v>
      </c>
      <c r="B13" s="8" t="s">
        <v>101</v>
      </c>
      <c r="C13" s="8" t="n">
        <v>2</v>
      </c>
      <c r="D13" s="8" t="s">
        <v>96</v>
      </c>
      <c r="E13" s="9" t="n">
        <v>80</v>
      </c>
    </row>
    <row r="14" customFormat="false" ht="15" hidden="false" customHeight="false" outlineLevel="0" collapsed="false">
      <c r="A14" s="8" t="s">
        <v>93</v>
      </c>
      <c r="B14" s="8" t="s">
        <v>101</v>
      </c>
      <c r="C14" s="8" t="n">
        <v>3</v>
      </c>
      <c r="D14" s="8" t="s">
        <v>97</v>
      </c>
      <c r="E14" s="9" t="n">
        <v>45</v>
      </c>
    </row>
    <row r="15" customFormat="false" ht="15" hidden="false" customHeight="false" outlineLevel="0" collapsed="false">
      <c r="A15" s="8" t="s">
        <v>93</v>
      </c>
      <c r="B15" s="8" t="s">
        <v>101</v>
      </c>
      <c r="C15" s="8" t="n">
        <v>4</v>
      </c>
      <c r="D15" s="8" t="s">
        <v>98</v>
      </c>
      <c r="E15" s="9" t="n">
        <v>15</v>
      </c>
    </row>
    <row r="16" customFormat="false" ht="15" hidden="false" customHeight="false" outlineLevel="0" collapsed="false">
      <c r="A16" s="8" t="s">
        <v>93</v>
      </c>
      <c r="B16" s="8" t="s">
        <v>101</v>
      </c>
      <c r="C16" s="8" t="n">
        <v>5</v>
      </c>
      <c r="D16" s="8" t="s">
        <v>99</v>
      </c>
      <c r="E16" s="9" t="n">
        <v>0</v>
      </c>
    </row>
    <row r="17" customFormat="false" ht="15" hidden="false" customHeight="false" outlineLevel="0" collapsed="false">
      <c r="A17" s="8" t="s">
        <v>102</v>
      </c>
      <c r="B17" s="8" t="s">
        <v>103</v>
      </c>
      <c r="C17" s="8" t="n">
        <v>1</v>
      </c>
      <c r="D17" s="8" t="s">
        <v>95</v>
      </c>
      <c r="E17" s="9" t="n">
        <v>100</v>
      </c>
    </row>
    <row r="18" customFormat="false" ht="15" hidden="false" customHeight="false" outlineLevel="0" collapsed="false">
      <c r="A18" s="8" t="s">
        <v>102</v>
      </c>
      <c r="B18" s="8" t="s">
        <v>103</v>
      </c>
      <c r="C18" s="8" t="n">
        <v>2</v>
      </c>
      <c r="D18" s="8" t="s">
        <v>96</v>
      </c>
      <c r="E18" s="9" t="n">
        <v>100</v>
      </c>
    </row>
    <row r="19" customFormat="false" ht="15" hidden="false" customHeight="false" outlineLevel="0" collapsed="false">
      <c r="A19" s="8" t="s">
        <v>102</v>
      </c>
      <c r="B19" s="8" t="s">
        <v>103</v>
      </c>
      <c r="C19" s="8" t="n">
        <v>3</v>
      </c>
      <c r="D19" s="8" t="s">
        <v>97</v>
      </c>
      <c r="E19" s="9" t="n">
        <v>80</v>
      </c>
    </row>
    <row r="20" customFormat="false" ht="15" hidden="false" customHeight="false" outlineLevel="0" collapsed="false">
      <c r="A20" s="8" t="s">
        <v>102</v>
      </c>
      <c r="B20" s="8" t="s">
        <v>103</v>
      </c>
      <c r="C20" s="8" t="n">
        <v>4</v>
      </c>
      <c r="D20" s="8" t="s">
        <v>98</v>
      </c>
      <c r="E20" s="9" t="n">
        <v>55</v>
      </c>
    </row>
    <row r="21" customFormat="false" ht="15" hidden="false" customHeight="false" outlineLevel="0" collapsed="false">
      <c r="A21" s="8" t="s">
        <v>102</v>
      </c>
      <c r="B21" s="8" t="s">
        <v>103</v>
      </c>
      <c r="C21" s="8" t="n">
        <v>5</v>
      </c>
      <c r="D21" s="8" t="s">
        <v>99</v>
      </c>
      <c r="E21" s="9" t="n">
        <v>30</v>
      </c>
    </row>
    <row r="22" customFormat="false" ht="15" hidden="false" customHeight="false" outlineLevel="0" collapsed="false">
      <c r="A22" s="8" t="s">
        <v>102</v>
      </c>
      <c r="B22" s="8" t="s">
        <v>104</v>
      </c>
      <c r="C22" s="8" t="n">
        <v>1</v>
      </c>
      <c r="D22" s="8" t="s">
        <v>95</v>
      </c>
      <c r="E22" s="9" t="n">
        <v>100</v>
      </c>
    </row>
    <row r="23" customFormat="false" ht="15" hidden="false" customHeight="false" outlineLevel="0" collapsed="false">
      <c r="A23" s="8" t="s">
        <v>102</v>
      </c>
      <c r="B23" s="8" t="s">
        <v>104</v>
      </c>
      <c r="C23" s="8" t="n">
        <v>2</v>
      </c>
      <c r="D23" s="8" t="s">
        <v>96</v>
      </c>
      <c r="E23" s="9" t="n">
        <v>90</v>
      </c>
    </row>
    <row r="24" customFormat="false" ht="15" hidden="false" customHeight="false" outlineLevel="0" collapsed="false">
      <c r="A24" s="8" t="s">
        <v>102</v>
      </c>
      <c r="B24" s="8" t="s">
        <v>104</v>
      </c>
      <c r="C24" s="8" t="n">
        <v>3</v>
      </c>
      <c r="D24" s="8" t="s">
        <v>97</v>
      </c>
      <c r="E24" s="9" t="n">
        <v>60</v>
      </c>
    </row>
    <row r="25" customFormat="false" ht="15" hidden="false" customHeight="false" outlineLevel="0" collapsed="false">
      <c r="A25" s="8" t="s">
        <v>102</v>
      </c>
      <c r="B25" s="8" t="s">
        <v>104</v>
      </c>
      <c r="C25" s="8" t="n">
        <v>4</v>
      </c>
      <c r="D25" s="8" t="s">
        <v>98</v>
      </c>
      <c r="E25" s="9" t="n">
        <v>30</v>
      </c>
    </row>
    <row r="26" customFormat="false" ht="15" hidden="false" customHeight="false" outlineLevel="0" collapsed="false">
      <c r="A26" s="8" t="s">
        <v>102</v>
      </c>
      <c r="B26" s="8" t="s">
        <v>104</v>
      </c>
      <c r="C26" s="8" t="n">
        <v>5</v>
      </c>
      <c r="D26" s="8" t="s">
        <v>99</v>
      </c>
      <c r="E26" s="9" t="n">
        <v>0</v>
      </c>
    </row>
    <row r="27" customFormat="false" ht="15" hidden="false" customHeight="false" outlineLevel="0" collapsed="false">
      <c r="A27" s="8" t="s">
        <v>102</v>
      </c>
      <c r="B27" s="8" t="s">
        <v>105</v>
      </c>
      <c r="C27" s="8" t="n">
        <v>1</v>
      </c>
      <c r="D27" s="8" t="s">
        <v>95</v>
      </c>
      <c r="E27" s="9" t="n">
        <v>80</v>
      </c>
    </row>
    <row r="28" customFormat="false" ht="15" hidden="false" customHeight="false" outlineLevel="0" collapsed="false">
      <c r="A28" s="8" t="s">
        <v>102</v>
      </c>
      <c r="B28" s="8" t="s">
        <v>105</v>
      </c>
      <c r="C28" s="8" t="n">
        <v>2</v>
      </c>
      <c r="D28" s="8" t="s">
        <v>96</v>
      </c>
      <c r="E28" s="9" t="n">
        <v>40</v>
      </c>
    </row>
    <row r="29" customFormat="false" ht="15" hidden="false" customHeight="false" outlineLevel="0" collapsed="false">
      <c r="A29" s="8" t="s">
        <v>102</v>
      </c>
      <c r="B29" s="8" t="s">
        <v>105</v>
      </c>
      <c r="C29" s="8" t="n">
        <v>3</v>
      </c>
      <c r="D29" s="8" t="s">
        <v>97</v>
      </c>
      <c r="E29" s="9" t="n">
        <v>10</v>
      </c>
    </row>
    <row r="30" customFormat="false" ht="15" hidden="false" customHeight="false" outlineLevel="0" collapsed="false">
      <c r="A30" s="8" t="s">
        <v>102</v>
      </c>
      <c r="B30" s="8" t="s">
        <v>105</v>
      </c>
      <c r="C30" s="8" t="n">
        <v>4</v>
      </c>
      <c r="D30" s="8" t="s">
        <v>98</v>
      </c>
      <c r="E30" s="9" t="n">
        <v>0</v>
      </c>
    </row>
    <row r="31" customFormat="false" ht="15" hidden="false" customHeight="false" outlineLevel="0" collapsed="false">
      <c r="A31" s="8" t="s">
        <v>102</v>
      </c>
      <c r="B31" s="8" t="s">
        <v>105</v>
      </c>
      <c r="C31" s="8" t="n">
        <v>5</v>
      </c>
      <c r="D31" s="8" t="s">
        <v>99</v>
      </c>
      <c r="E31" s="9" t="n">
        <v>0</v>
      </c>
    </row>
    <row r="32" customFormat="false" ht="15" hidden="false" customHeight="false" outlineLevel="0" collapsed="false">
      <c r="A32" s="8" t="s">
        <v>106</v>
      </c>
      <c r="B32" s="8" t="s">
        <v>107</v>
      </c>
      <c r="C32" s="8" t="n">
        <v>1</v>
      </c>
      <c r="D32" s="8" t="s">
        <v>108</v>
      </c>
      <c r="E32" s="9" t="n">
        <v>100</v>
      </c>
    </row>
    <row r="33" customFormat="false" ht="15" hidden="false" customHeight="false" outlineLevel="0" collapsed="false">
      <c r="A33" s="8" t="s">
        <v>106</v>
      </c>
      <c r="B33" s="8" t="s">
        <v>107</v>
      </c>
      <c r="C33" s="8" t="n">
        <v>2</v>
      </c>
      <c r="D33" s="8" t="s">
        <v>109</v>
      </c>
      <c r="E33" s="9" t="n">
        <v>100</v>
      </c>
    </row>
    <row r="34" customFormat="false" ht="15" hidden="false" customHeight="false" outlineLevel="0" collapsed="false">
      <c r="A34" s="8" t="s">
        <v>106</v>
      </c>
      <c r="B34" s="8" t="s">
        <v>107</v>
      </c>
      <c r="C34" s="8" t="n">
        <v>3</v>
      </c>
      <c r="D34" s="8" t="s">
        <v>110</v>
      </c>
      <c r="E34" s="9" t="n">
        <v>90</v>
      </c>
    </row>
    <row r="35" customFormat="false" ht="15" hidden="false" customHeight="false" outlineLevel="0" collapsed="false">
      <c r="A35" s="8" t="s">
        <v>106</v>
      </c>
      <c r="B35" s="8" t="s">
        <v>107</v>
      </c>
      <c r="C35" s="8" t="n">
        <v>4</v>
      </c>
      <c r="D35" s="8" t="s">
        <v>111</v>
      </c>
      <c r="E35" s="9" t="n">
        <v>75</v>
      </c>
    </row>
    <row r="36" customFormat="false" ht="15" hidden="false" customHeight="false" outlineLevel="0" collapsed="false">
      <c r="A36" s="8" t="s">
        <v>106</v>
      </c>
      <c r="B36" s="8" t="s">
        <v>112</v>
      </c>
      <c r="C36" s="8" t="n">
        <v>1</v>
      </c>
      <c r="D36" s="8" t="s">
        <v>108</v>
      </c>
      <c r="E36" s="9" t="n">
        <v>100</v>
      </c>
    </row>
    <row r="37" customFormat="false" ht="15" hidden="false" customHeight="false" outlineLevel="0" collapsed="false">
      <c r="A37" s="8" t="s">
        <v>106</v>
      </c>
      <c r="B37" s="8" t="s">
        <v>112</v>
      </c>
      <c r="C37" s="8" t="n">
        <v>2</v>
      </c>
      <c r="D37" s="8" t="s">
        <v>109</v>
      </c>
      <c r="E37" s="9" t="n">
        <v>90</v>
      </c>
    </row>
    <row r="38" customFormat="false" ht="15" hidden="false" customHeight="false" outlineLevel="0" collapsed="false">
      <c r="A38" s="8" t="s">
        <v>106</v>
      </c>
      <c r="B38" s="8" t="s">
        <v>112</v>
      </c>
      <c r="C38" s="8" t="n">
        <v>3</v>
      </c>
      <c r="D38" s="8" t="s">
        <v>110</v>
      </c>
      <c r="E38" s="9" t="n">
        <v>60</v>
      </c>
    </row>
    <row r="39" customFormat="false" ht="15" hidden="false" customHeight="false" outlineLevel="0" collapsed="false">
      <c r="A39" s="8" t="s">
        <v>106</v>
      </c>
      <c r="B39" s="8" t="s">
        <v>112</v>
      </c>
      <c r="C39" s="8" t="n">
        <v>4</v>
      </c>
      <c r="D39" s="8" t="s">
        <v>111</v>
      </c>
      <c r="E39" s="9" t="n">
        <v>20</v>
      </c>
    </row>
    <row r="40" customFormat="false" ht="15" hidden="false" customHeight="false" outlineLevel="0" collapsed="false">
      <c r="A40" s="8" t="s">
        <v>106</v>
      </c>
      <c r="B40" s="8" t="s">
        <v>113</v>
      </c>
      <c r="C40" s="8" t="n">
        <v>1</v>
      </c>
      <c r="D40" s="8" t="s">
        <v>108</v>
      </c>
      <c r="E40" s="9" t="n">
        <v>100</v>
      </c>
    </row>
    <row r="41" customFormat="false" ht="15" hidden="false" customHeight="false" outlineLevel="0" collapsed="false">
      <c r="A41" s="8" t="s">
        <v>106</v>
      </c>
      <c r="B41" s="8" t="s">
        <v>113</v>
      </c>
      <c r="C41" s="8" t="n">
        <v>2</v>
      </c>
      <c r="D41" s="8" t="s">
        <v>109</v>
      </c>
      <c r="E41" s="9" t="n">
        <v>70</v>
      </c>
    </row>
    <row r="42" customFormat="false" ht="15" hidden="false" customHeight="false" outlineLevel="0" collapsed="false">
      <c r="A42" s="8" t="s">
        <v>106</v>
      </c>
      <c r="B42" s="8" t="s">
        <v>113</v>
      </c>
      <c r="C42" s="8" t="n">
        <v>3</v>
      </c>
      <c r="D42" s="8" t="s">
        <v>110</v>
      </c>
      <c r="E42" s="9" t="n">
        <v>30</v>
      </c>
    </row>
    <row r="43" customFormat="false" ht="15" hidden="false" customHeight="false" outlineLevel="0" collapsed="false">
      <c r="A43" s="8" t="s">
        <v>106</v>
      </c>
      <c r="B43" s="8" t="s">
        <v>113</v>
      </c>
      <c r="C43" s="8" t="n">
        <v>4</v>
      </c>
      <c r="D43" s="8" t="s">
        <v>111</v>
      </c>
      <c r="E43" s="9" t="n">
        <v>0</v>
      </c>
    </row>
    <row r="44" customFormat="false" ht="15" hidden="false" customHeight="false" outlineLevel="0" collapsed="false">
      <c r="A44" s="8" t="s">
        <v>106</v>
      </c>
      <c r="B44" s="8" t="s">
        <v>114</v>
      </c>
      <c r="C44" s="8" t="n">
        <v>1</v>
      </c>
      <c r="D44" s="8" t="s">
        <v>108</v>
      </c>
      <c r="E44" s="9" t="n">
        <v>100</v>
      </c>
    </row>
    <row r="45" customFormat="false" ht="15" hidden="false" customHeight="false" outlineLevel="0" collapsed="false">
      <c r="A45" s="8" t="s">
        <v>106</v>
      </c>
      <c r="B45" s="8" t="s">
        <v>114</v>
      </c>
      <c r="C45" s="8" t="n">
        <v>2</v>
      </c>
      <c r="D45" s="8" t="s">
        <v>109</v>
      </c>
      <c r="E45" s="9" t="n">
        <v>60</v>
      </c>
    </row>
    <row r="46" customFormat="false" ht="15" hidden="false" customHeight="false" outlineLevel="0" collapsed="false">
      <c r="A46" s="8" t="s">
        <v>106</v>
      </c>
      <c r="B46" s="8" t="s">
        <v>114</v>
      </c>
      <c r="C46" s="8" t="n">
        <v>3</v>
      </c>
      <c r="D46" s="8" t="s">
        <v>110</v>
      </c>
      <c r="E46" s="9" t="n">
        <v>20</v>
      </c>
    </row>
    <row r="47" customFormat="false" ht="15" hidden="false" customHeight="false" outlineLevel="0" collapsed="false">
      <c r="A47" s="8" t="s">
        <v>106</v>
      </c>
      <c r="B47" s="8" t="s">
        <v>114</v>
      </c>
      <c r="C47" s="8" t="n">
        <v>4</v>
      </c>
      <c r="D47" s="8" t="s">
        <v>111</v>
      </c>
      <c r="E47" s="9" t="n">
        <v>0</v>
      </c>
    </row>
    <row r="48" customFormat="false" ht="15" hidden="false" customHeight="false" outlineLevel="0" collapsed="false">
      <c r="A48" s="8" t="s">
        <v>115</v>
      </c>
      <c r="B48" s="8" t="s">
        <v>116</v>
      </c>
      <c r="C48" s="8" t="n">
        <v>1</v>
      </c>
      <c r="D48" s="8" t="s">
        <v>108</v>
      </c>
      <c r="E48" s="9" t="n">
        <v>100</v>
      </c>
    </row>
    <row r="49" customFormat="false" ht="15" hidden="false" customHeight="false" outlineLevel="0" collapsed="false">
      <c r="A49" s="8" t="s">
        <v>115</v>
      </c>
      <c r="B49" s="8" t="s">
        <v>116</v>
      </c>
      <c r="C49" s="8" t="n">
        <v>2</v>
      </c>
      <c r="D49" s="8" t="s">
        <v>109</v>
      </c>
      <c r="E49" s="9" t="n">
        <v>85</v>
      </c>
    </row>
    <row r="50" customFormat="false" ht="15" hidden="false" customHeight="false" outlineLevel="0" collapsed="false">
      <c r="A50" s="8" t="s">
        <v>115</v>
      </c>
      <c r="B50" s="8" t="s">
        <v>116</v>
      </c>
      <c r="C50" s="8" t="n">
        <v>3</v>
      </c>
      <c r="D50" s="8" t="s">
        <v>110</v>
      </c>
      <c r="E50" s="9" t="n">
        <v>55</v>
      </c>
    </row>
    <row r="51" customFormat="false" ht="15" hidden="false" customHeight="false" outlineLevel="0" collapsed="false">
      <c r="A51" s="8" t="s">
        <v>115</v>
      </c>
      <c r="B51" s="8" t="s">
        <v>116</v>
      </c>
      <c r="C51" s="8" t="n">
        <v>4</v>
      </c>
      <c r="D51" s="8" t="s">
        <v>111</v>
      </c>
      <c r="E51" s="9" t="n">
        <v>25</v>
      </c>
    </row>
    <row r="52" customFormat="false" ht="15" hidden="false" customHeight="false" outlineLevel="0" collapsed="false">
      <c r="A52" s="8" t="s">
        <v>115</v>
      </c>
      <c r="B52" s="8" t="s">
        <v>117</v>
      </c>
      <c r="C52" s="8" t="n">
        <v>1</v>
      </c>
      <c r="D52" s="8" t="s">
        <v>108</v>
      </c>
      <c r="E52" s="9" t="n">
        <v>100</v>
      </c>
    </row>
    <row r="53" customFormat="false" ht="15" hidden="false" customHeight="false" outlineLevel="0" collapsed="false">
      <c r="A53" s="8" t="s">
        <v>115</v>
      </c>
      <c r="B53" s="8" t="s">
        <v>117</v>
      </c>
      <c r="C53" s="8" t="n">
        <v>2</v>
      </c>
      <c r="D53" s="8" t="s">
        <v>109</v>
      </c>
      <c r="E53" s="9" t="n">
        <v>60</v>
      </c>
    </row>
    <row r="54" customFormat="false" ht="15" hidden="false" customHeight="false" outlineLevel="0" collapsed="false">
      <c r="A54" s="8" t="s">
        <v>115</v>
      </c>
      <c r="B54" s="8" t="s">
        <v>117</v>
      </c>
      <c r="C54" s="8" t="n">
        <v>3</v>
      </c>
      <c r="D54" s="8" t="s">
        <v>110</v>
      </c>
      <c r="E54" s="9" t="n">
        <v>25</v>
      </c>
    </row>
    <row r="55" customFormat="false" ht="15" hidden="false" customHeight="false" outlineLevel="0" collapsed="false">
      <c r="A55" s="8" t="s">
        <v>115</v>
      </c>
      <c r="B55" s="8" t="s">
        <v>117</v>
      </c>
      <c r="C55" s="8" t="n">
        <v>4</v>
      </c>
      <c r="D55" s="8" t="s">
        <v>111</v>
      </c>
      <c r="E55" s="9" t="n">
        <v>0</v>
      </c>
    </row>
    <row r="56" customFormat="false" ht="15" hidden="false" customHeight="false" outlineLevel="0" collapsed="false">
      <c r="A56" s="8" t="s">
        <v>115</v>
      </c>
      <c r="B56" s="8" t="s">
        <v>118</v>
      </c>
      <c r="C56" s="8" t="n">
        <v>1</v>
      </c>
      <c r="D56" s="8" t="s">
        <v>108</v>
      </c>
      <c r="E56" s="9" t="n">
        <v>100</v>
      </c>
    </row>
    <row r="57" customFormat="false" ht="15" hidden="false" customHeight="false" outlineLevel="0" collapsed="false">
      <c r="A57" s="8" t="s">
        <v>115</v>
      </c>
      <c r="B57" s="8" t="s">
        <v>118</v>
      </c>
      <c r="C57" s="8" t="n">
        <v>2</v>
      </c>
      <c r="D57" s="8" t="s">
        <v>109</v>
      </c>
      <c r="E57" s="9" t="n">
        <v>45</v>
      </c>
    </row>
    <row r="58" customFormat="false" ht="15" hidden="false" customHeight="false" outlineLevel="0" collapsed="false">
      <c r="A58" s="8" t="s">
        <v>115</v>
      </c>
      <c r="B58" s="8" t="s">
        <v>118</v>
      </c>
      <c r="C58" s="8" t="n">
        <v>3</v>
      </c>
      <c r="D58" s="8" t="s">
        <v>110</v>
      </c>
      <c r="E58" s="9" t="n">
        <v>15</v>
      </c>
    </row>
    <row r="59" customFormat="false" ht="15" hidden="false" customHeight="false" outlineLevel="0" collapsed="false">
      <c r="A59" s="8" t="s">
        <v>115</v>
      </c>
      <c r="B59" s="8" t="s">
        <v>118</v>
      </c>
      <c r="C59" s="8" t="n">
        <v>4</v>
      </c>
      <c r="D59" s="8" t="s">
        <v>111</v>
      </c>
      <c r="E59" s="9" t="n">
        <v>0</v>
      </c>
    </row>
  </sheetData>
  <dataValidations count="1">
    <dataValidation allowBlank="true" error="Selecciona un valor de la lista." errorStyle="stop" errorTitle="Valor inválido" operator="between" showDropDown="false" showErrorMessage="true" showInputMessage="false" sqref="A2:A59" type="list">
      <formula1>"Cheves,Rollout,AIAgents,SOKnowledge"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0"/>
    <col collapsed="false" customWidth="true" hidden="false" outlineLevel="0" max="3" min="3" style="0" width="14"/>
    <col collapsed="false" customWidth="true" hidden="false" outlineLevel="0" max="4" min="4" style="0" width="32"/>
    <col collapsed="false" customWidth="true" hidden="false" outlineLevel="0" max="5" min="5" style="0" width="8"/>
  </cols>
  <sheetData>
    <row r="1" customFormat="false" ht="27.75" hidden="false" customHeight="true" outlineLevel="0" collapsed="false">
      <c r="A1" s="4" t="s">
        <v>88</v>
      </c>
      <c r="B1" s="4" t="s">
        <v>89</v>
      </c>
      <c r="C1" s="4" t="s">
        <v>119</v>
      </c>
      <c r="D1" s="4" t="s">
        <v>120</v>
      </c>
      <c r="E1" s="4" t="s">
        <v>121</v>
      </c>
    </row>
    <row r="2" customFormat="false" ht="15" hidden="false" customHeight="false" outlineLevel="0" collapsed="false">
      <c r="A2" s="8" t="s">
        <v>93</v>
      </c>
      <c r="B2" s="8" t="s">
        <v>94</v>
      </c>
      <c r="C2" s="8" t="n">
        <v>1</v>
      </c>
      <c r="D2" s="8" t="s">
        <v>122</v>
      </c>
      <c r="E2" s="9" t="s">
        <v>123</v>
      </c>
    </row>
    <row r="3" customFormat="false" ht="15" hidden="false" customHeight="false" outlineLevel="0" collapsed="false">
      <c r="A3" s="8" t="s">
        <v>93</v>
      </c>
      <c r="B3" s="8" t="s">
        <v>94</v>
      </c>
      <c r="C3" s="8" t="n">
        <v>2</v>
      </c>
      <c r="D3" s="8" t="s">
        <v>124</v>
      </c>
      <c r="E3" s="9" t="s">
        <v>123</v>
      </c>
    </row>
    <row r="4" customFormat="false" ht="15" hidden="false" customHeight="false" outlineLevel="0" collapsed="false">
      <c r="A4" s="8" t="s">
        <v>93</v>
      </c>
      <c r="B4" s="8" t="s">
        <v>94</v>
      </c>
      <c r="C4" s="8" t="n">
        <v>3</v>
      </c>
      <c r="D4" s="8" t="s">
        <v>125</v>
      </c>
      <c r="E4" s="9" t="s">
        <v>123</v>
      </c>
    </row>
    <row r="5" customFormat="false" ht="15" hidden="false" customHeight="false" outlineLevel="0" collapsed="false">
      <c r="A5" s="8" t="s">
        <v>93</v>
      </c>
      <c r="B5" s="8" t="s">
        <v>94</v>
      </c>
      <c r="C5" s="8" t="n">
        <v>4</v>
      </c>
      <c r="D5" s="8" t="s">
        <v>126</v>
      </c>
      <c r="E5" s="9" t="s">
        <v>127</v>
      </c>
    </row>
    <row r="6" customFormat="false" ht="15" hidden="false" customHeight="false" outlineLevel="0" collapsed="false">
      <c r="A6" s="8" t="s">
        <v>93</v>
      </c>
      <c r="B6" s="8" t="s">
        <v>94</v>
      </c>
      <c r="C6" s="8" t="n">
        <v>5</v>
      </c>
      <c r="D6" s="8" t="s">
        <v>128</v>
      </c>
      <c r="E6" s="9" t="s">
        <v>127</v>
      </c>
    </row>
    <row r="7" customFormat="false" ht="15" hidden="false" customHeight="false" outlineLevel="0" collapsed="false">
      <c r="A7" s="8" t="s">
        <v>93</v>
      </c>
      <c r="B7" s="8" t="s">
        <v>100</v>
      </c>
      <c r="C7" s="8" t="n">
        <v>1</v>
      </c>
      <c r="D7" s="8" t="s">
        <v>122</v>
      </c>
      <c r="E7" s="9" t="s">
        <v>123</v>
      </c>
    </row>
    <row r="8" customFormat="false" ht="15" hidden="false" customHeight="false" outlineLevel="0" collapsed="false">
      <c r="A8" s="8" t="s">
        <v>93</v>
      </c>
      <c r="B8" s="8" t="s">
        <v>100</v>
      </c>
      <c r="C8" s="8" t="n">
        <v>2</v>
      </c>
      <c r="D8" s="8" t="s">
        <v>124</v>
      </c>
      <c r="E8" s="9" t="s">
        <v>123</v>
      </c>
    </row>
    <row r="9" customFormat="false" ht="15" hidden="false" customHeight="false" outlineLevel="0" collapsed="false">
      <c r="A9" s="8" t="s">
        <v>93</v>
      </c>
      <c r="B9" s="8" t="s">
        <v>100</v>
      </c>
      <c r="C9" s="8" t="n">
        <v>3</v>
      </c>
      <c r="D9" s="8" t="s">
        <v>125</v>
      </c>
      <c r="E9" s="9" t="s">
        <v>127</v>
      </c>
    </row>
    <row r="10" customFormat="false" ht="15" hidden="false" customHeight="false" outlineLevel="0" collapsed="false">
      <c r="A10" s="8" t="s">
        <v>93</v>
      </c>
      <c r="B10" s="8" t="s">
        <v>100</v>
      </c>
      <c r="C10" s="8" t="n">
        <v>4</v>
      </c>
      <c r="D10" s="8" t="s">
        <v>126</v>
      </c>
      <c r="E10" s="9" t="s">
        <v>127</v>
      </c>
    </row>
    <row r="11" customFormat="false" ht="15" hidden="false" customHeight="false" outlineLevel="0" collapsed="false">
      <c r="A11" s="8" t="s">
        <v>93</v>
      </c>
      <c r="B11" s="8" t="s">
        <v>100</v>
      </c>
      <c r="C11" s="8" t="n">
        <v>5</v>
      </c>
      <c r="D11" s="8" t="s">
        <v>128</v>
      </c>
      <c r="E11" s="9" t="s">
        <v>127</v>
      </c>
    </row>
    <row r="12" customFormat="false" ht="15" hidden="false" customHeight="false" outlineLevel="0" collapsed="false">
      <c r="A12" s="8" t="s">
        <v>93</v>
      </c>
      <c r="B12" s="8" t="s">
        <v>101</v>
      </c>
      <c r="C12" s="8" t="n">
        <v>1</v>
      </c>
      <c r="D12" s="8" t="s">
        <v>122</v>
      </c>
      <c r="E12" s="9" t="s">
        <v>123</v>
      </c>
    </row>
    <row r="13" customFormat="false" ht="15" hidden="false" customHeight="false" outlineLevel="0" collapsed="false">
      <c r="A13" s="8" t="s">
        <v>93</v>
      </c>
      <c r="B13" s="8" t="s">
        <v>101</v>
      </c>
      <c r="C13" s="8" t="n">
        <v>2</v>
      </c>
      <c r="D13" s="8" t="s">
        <v>124</v>
      </c>
      <c r="E13" s="9" t="s">
        <v>127</v>
      </c>
    </row>
    <row r="14" customFormat="false" ht="15" hidden="false" customHeight="false" outlineLevel="0" collapsed="false">
      <c r="A14" s="8" t="s">
        <v>93</v>
      </c>
      <c r="B14" s="8" t="s">
        <v>101</v>
      </c>
      <c r="C14" s="8" t="n">
        <v>3</v>
      </c>
      <c r="D14" s="8" t="s">
        <v>125</v>
      </c>
      <c r="E14" s="9" t="s">
        <v>127</v>
      </c>
    </row>
    <row r="15" customFormat="false" ht="15" hidden="false" customHeight="false" outlineLevel="0" collapsed="false">
      <c r="A15" s="8" t="s">
        <v>93</v>
      </c>
      <c r="B15" s="8" t="s">
        <v>101</v>
      </c>
      <c r="C15" s="8" t="n">
        <v>4</v>
      </c>
      <c r="D15" s="8" t="s">
        <v>126</v>
      </c>
      <c r="E15" s="9" t="s">
        <v>127</v>
      </c>
    </row>
    <row r="16" customFormat="false" ht="15" hidden="false" customHeight="false" outlineLevel="0" collapsed="false">
      <c r="A16" s="8" t="s">
        <v>93</v>
      </c>
      <c r="B16" s="8" t="s">
        <v>101</v>
      </c>
      <c r="C16" s="8" t="n">
        <v>5</v>
      </c>
      <c r="D16" s="8" t="s">
        <v>128</v>
      </c>
      <c r="E16" s="9" t="s">
        <v>127</v>
      </c>
    </row>
    <row r="17" customFormat="false" ht="15" hidden="false" customHeight="false" outlineLevel="0" collapsed="false">
      <c r="A17" s="8" t="s">
        <v>102</v>
      </c>
      <c r="B17" s="8" t="s">
        <v>103</v>
      </c>
      <c r="C17" s="8" t="n">
        <v>1</v>
      </c>
      <c r="D17" s="8" t="s">
        <v>129</v>
      </c>
      <c r="E17" s="9" t="s">
        <v>123</v>
      </c>
    </row>
    <row r="18" customFormat="false" ht="15" hidden="false" customHeight="false" outlineLevel="0" collapsed="false">
      <c r="A18" s="8" t="s">
        <v>102</v>
      </c>
      <c r="B18" s="8" t="s">
        <v>103</v>
      </c>
      <c r="C18" s="8" t="n">
        <v>2</v>
      </c>
      <c r="D18" s="8" t="s">
        <v>130</v>
      </c>
      <c r="E18" s="9" t="s">
        <v>123</v>
      </c>
    </row>
    <row r="19" customFormat="false" ht="15" hidden="false" customHeight="false" outlineLevel="0" collapsed="false">
      <c r="A19" s="8" t="s">
        <v>102</v>
      </c>
      <c r="B19" s="8" t="s">
        <v>103</v>
      </c>
      <c r="C19" s="8" t="n">
        <v>3</v>
      </c>
      <c r="D19" s="8" t="s">
        <v>131</v>
      </c>
      <c r="E19" s="9" t="s">
        <v>123</v>
      </c>
    </row>
    <row r="20" customFormat="false" ht="15" hidden="false" customHeight="false" outlineLevel="0" collapsed="false">
      <c r="A20" s="8" t="s">
        <v>102</v>
      </c>
      <c r="B20" s="8" t="s">
        <v>103</v>
      </c>
      <c r="C20" s="8" t="n">
        <v>4</v>
      </c>
      <c r="D20" s="8" t="s">
        <v>126</v>
      </c>
      <c r="E20" s="9" t="s">
        <v>127</v>
      </c>
    </row>
    <row r="21" customFormat="false" ht="15" hidden="false" customHeight="false" outlineLevel="0" collapsed="false">
      <c r="A21" s="8" t="s">
        <v>102</v>
      </c>
      <c r="B21" s="8" t="s">
        <v>103</v>
      </c>
      <c r="C21" s="8" t="n">
        <v>5</v>
      </c>
      <c r="D21" s="8" t="s">
        <v>128</v>
      </c>
      <c r="E21" s="9" t="s">
        <v>127</v>
      </c>
    </row>
    <row r="22" customFormat="false" ht="15" hidden="false" customHeight="false" outlineLevel="0" collapsed="false">
      <c r="A22" s="8" t="s">
        <v>102</v>
      </c>
      <c r="B22" s="8" t="s">
        <v>104</v>
      </c>
      <c r="C22" s="8" t="n">
        <v>1</v>
      </c>
      <c r="D22" s="8" t="s">
        <v>129</v>
      </c>
      <c r="E22" s="9" t="s">
        <v>123</v>
      </c>
    </row>
    <row r="23" customFormat="false" ht="15" hidden="false" customHeight="false" outlineLevel="0" collapsed="false">
      <c r="A23" s="8" t="s">
        <v>102</v>
      </c>
      <c r="B23" s="8" t="s">
        <v>104</v>
      </c>
      <c r="C23" s="8" t="n">
        <v>2</v>
      </c>
      <c r="D23" s="8" t="s">
        <v>130</v>
      </c>
      <c r="E23" s="9" t="s">
        <v>123</v>
      </c>
    </row>
    <row r="24" customFormat="false" ht="15" hidden="false" customHeight="false" outlineLevel="0" collapsed="false">
      <c r="A24" s="8" t="s">
        <v>102</v>
      </c>
      <c r="B24" s="8" t="s">
        <v>104</v>
      </c>
      <c r="C24" s="8" t="n">
        <v>3</v>
      </c>
      <c r="D24" s="8" t="s">
        <v>131</v>
      </c>
      <c r="E24" s="9" t="s">
        <v>127</v>
      </c>
    </row>
    <row r="25" customFormat="false" ht="15" hidden="false" customHeight="false" outlineLevel="0" collapsed="false">
      <c r="A25" s="8" t="s">
        <v>102</v>
      </c>
      <c r="B25" s="8" t="s">
        <v>104</v>
      </c>
      <c r="C25" s="8" t="n">
        <v>4</v>
      </c>
      <c r="D25" s="8" t="s">
        <v>126</v>
      </c>
      <c r="E25" s="9" t="s">
        <v>127</v>
      </c>
    </row>
    <row r="26" customFormat="false" ht="15" hidden="false" customHeight="false" outlineLevel="0" collapsed="false">
      <c r="A26" s="8" t="s">
        <v>102</v>
      </c>
      <c r="B26" s="8" t="s">
        <v>104</v>
      </c>
      <c r="C26" s="8" t="n">
        <v>5</v>
      </c>
      <c r="D26" s="8" t="s">
        <v>128</v>
      </c>
      <c r="E26" s="9" t="s">
        <v>127</v>
      </c>
    </row>
    <row r="27" customFormat="false" ht="15" hidden="false" customHeight="false" outlineLevel="0" collapsed="false">
      <c r="A27" s="8" t="s">
        <v>102</v>
      </c>
      <c r="B27" s="8" t="s">
        <v>105</v>
      </c>
      <c r="C27" s="8" t="n">
        <v>1</v>
      </c>
      <c r="D27" s="8" t="s">
        <v>129</v>
      </c>
      <c r="E27" s="9" t="s">
        <v>123</v>
      </c>
    </row>
    <row r="28" customFormat="false" ht="15" hidden="false" customHeight="false" outlineLevel="0" collapsed="false">
      <c r="A28" s="8" t="s">
        <v>102</v>
      </c>
      <c r="B28" s="8" t="s">
        <v>105</v>
      </c>
      <c r="C28" s="8" t="n">
        <v>2</v>
      </c>
      <c r="D28" s="8" t="s">
        <v>130</v>
      </c>
      <c r="E28" s="9" t="s">
        <v>127</v>
      </c>
    </row>
    <row r="29" customFormat="false" ht="15" hidden="false" customHeight="false" outlineLevel="0" collapsed="false">
      <c r="A29" s="8" t="s">
        <v>102</v>
      </c>
      <c r="B29" s="8" t="s">
        <v>105</v>
      </c>
      <c r="C29" s="8" t="n">
        <v>3</v>
      </c>
      <c r="D29" s="8" t="s">
        <v>131</v>
      </c>
      <c r="E29" s="9" t="s">
        <v>127</v>
      </c>
    </row>
    <row r="30" customFormat="false" ht="15" hidden="false" customHeight="false" outlineLevel="0" collapsed="false">
      <c r="A30" s="8" t="s">
        <v>102</v>
      </c>
      <c r="B30" s="8" t="s">
        <v>105</v>
      </c>
      <c r="C30" s="8" t="n">
        <v>4</v>
      </c>
      <c r="D30" s="8" t="s">
        <v>126</v>
      </c>
      <c r="E30" s="9" t="s">
        <v>127</v>
      </c>
    </row>
    <row r="31" customFormat="false" ht="15" hidden="false" customHeight="false" outlineLevel="0" collapsed="false">
      <c r="A31" s="8" t="s">
        <v>102</v>
      </c>
      <c r="B31" s="8" t="s">
        <v>105</v>
      </c>
      <c r="C31" s="8" t="n">
        <v>5</v>
      </c>
      <c r="D31" s="8" t="s">
        <v>128</v>
      </c>
      <c r="E31" s="9" t="s">
        <v>127</v>
      </c>
    </row>
    <row r="32" customFormat="false" ht="15" hidden="false" customHeight="false" outlineLevel="0" collapsed="false">
      <c r="A32" s="8" t="s">
        <v>106</v>
      </c>
      <c r="B32" s="8" t="s">
        <v>107</v>
      </c>
      <c r="C32" s="8" t="n">
        <v>1</v>
      </c>
      <c r="D32" s="8" t="s">
        <v>132</v>
      </c>
      <c r="E32" s="9" t="s">
        <v>123</v>
      </c>
    </row>
    <row r="33" customFormat="false" ht="15" hidden="false" customHeight="false" outlineLevel="0" collapsed="false">
      <c r="A33" s="8" t="s">
        <v>106</v>
      </c>
      <c r="B33" s="8" t="s">
        <v>107</v>
      </c>
      <c r="C33" s="8" t="n">
        <v>2</v>
      </c>
      <c r="D33" s="8" t="s">
        <v>133</v>
      </c>
      <c r="E33" s="9" t="s">
        <v>123</v>
      </c>
    </row>
    <row r="34" customFormat="false" ht="15" hidden="false" customHeight="false" outlineLevel="0" collapsed="false">
      <c r="A34" s="8" t="s">
        <v>106</v>
      </c>
      <c r="B34" s="8" t="s">
        <v>107</v>
      </c>
      <c r="C34" s="8" t="n">
        <v>3</v>
      </c>
      <c r="D34" s="8" t="s">
        <v>134</v>
      </c>
      <c r="E34" s="9" t="s">
        <v>123</v>
      </c>
    </row>
    <row r="35" customFormat="false" ht="15" hidden="false" customHeight="false" outlineLevel="0" collapsed="false">
      <c r="A35" s="8" t="s">
        <v>106</v>
      </c>
      <c r="B35" s="8" t="s">
        <v>107</v>
      </c>
      <c r="C35" s="8" t="n">
        <v>4</v>
      </c>
      <c r="D35" s="8" t="s">
        <v>135</v>
      </c>
      <c r="E35" s="9" t="s">
        <v>127</v>
      </c>
    </row>
    <row r="36" customFormat="false" ht="15" hidden="false" customHeight="false" outlineLevel="0" collapsed="false">
      <c r="A36" s="8" t="s">
        <v>106</v>
      </c>
      <c r="B36" s="8" t="s">
        <v>112</v>
      </c>
      <c r="C36" s="8" t="n">
        <v>1</v>
      </c>
      <c r="D36" s="8" t="s">
        <v>132</v>
      </c>
      <c r="E36" s="9" t="s">
        <v>123</v>
      </c>
    </row>
    <row r="37" customFormat="false" ht="15" hidden="false" customHeight="false" outlineLevel="0" collapsed="false">
      <c r="A37" s="8" t="s">
        <v>106</v>
      </c>
      <c r="B37" s="8" t="s">
        <v>112</v>
      </c>
      <c r="C37" s="8" t="n">
        <v>2</v>
      </c>
      <c r="D37" s="8" t="s">
        <v>133</v>
      </c>
      <c r="E37" s="9" t="s">
        <v>123</v>
      </c>
    </row>
    <row r="38" customFormat="false" ht="15" hidden="false" customHeight="false" outlineLevel="0" collapsed="false">
      <c r="A38" s="8" t="s">
        <v>106</v>
      </c>
      <c r="B38" s="8" t="s">
        <v>112</v>
      </c>
      <c r="C38" s="8" t="n">
        <v>3</v>
      </c>
      <c r="D38" s="8" t="s">
        <v>134</v>
      </c>
      <c r="E38" s="9" t="s">
        <v>127</v>
      </c>
    </row>
    <row r="39" customFormat="false" ht="15" hidden="false" customHeight="false" outlineLevel="0" collapsed="false">
      <c r="A39" s="8" t="s">
        <v>106</v>
      </c>
      <c r="B39" s="8" t="s">
        <v>112</v>
      </c>
      <c r="C39" s="8" t="n">
        <v>4</v>
      </c>
      <c r="D39" s="8" t="s">
        <v>135</v>
      </c>
      <c r="E39" s="9" t="s">
        <v>127</v>
      </c>
    </row>
    <row r="40" customFormat="false" ht="15" hidden="false" customHeight="false" outlineLevel="0" collapsed="false">
      <c r="A40" s="8" t="s">
        <v>106</v>
      </c>
      <c r="B40" s="8" t="s">
        <v>113</v>
      </c>
      <c r="C40" s="8" t="n">
        <v>1</v>
      </c>
      <c r="D40" s="8" t="s">
        <v>132</v>
      </c>
      <c r="E40" s="9" t="s">
        <v>123</v>
      </c>
    </row>
    <row r="41" customFormat="false" ht="15" hidden="false" customHeight="false" outlineLevel="0" collapsed="false">
      <c r="A41" s="8" t="s">
        <v>106</v>
      </c>
      <c r="B41" s="8" t="s">
        <v>113</v>
      </c>
      <c r="C41" s="8" t="n">
        <v>2</v>
      </c>
      <c r="D41" s="8" t="s">
        <v>133</v>
      </c>
      <c r="E41" s="9" t="s">
        <v>127</v>
      </c>
    </row>
    <row r="42" customFormat="false" ht="15" hidden="false" customHeight="false" outlineLevel="0" collapsed="false">
      <c r="A42" s="8" t="s">
        <v>106</v>
      </c>
      <c r="B42" s="8" t="s">
        <v>113</v>
      </c>
      <c r="C42" s="8" t="n">
        <v>3</v>
      </c>
      <c r="D42" s="8" t="s">
        <v>134</v>
      </c>
      <c r="E42" s="9" t="s">
        <v>127</v>
      </c>
    </row>
    <row r="43" customFormat="false" ht="15" hidden="false" customHeight="false" outlineLevel="0" collapsed="false">
      <c r="A43" s="8" t="s">
        <v>106</v>
      </c>
      <c r="B43" s="8" t="s">
        <v>113</v>
      </c>
      <c r="C43" s="8" t="n">
        <v>4</v>
      </c>
      <c r="D43" s="8" t="s">
        <v>135</v>
      </c>
      <c r="E43" s="9" t="s">
        <v>127</v>
      </c>
    </row>
    <row r="44" customFormat="false" ht="15" hidden="false" customHeight="false" outlineLevel="0" collapsed="false">
      <c r="A44" s="8" t="s">
        <v>106</v>
      </c>
      <c r="B44" s="8" t="s">
        <v>114</v>
      </c>
      <c r="C44" s="8" t="n">
        <v>1</v>
      </c>
      <c r="D44" s="8" t="s">
        <v>132</v>
      </c>
      <c r="E44" s="9" t="s">
        <v>123</v>
      </c>
    </row>
    <row r="45" customFormat="false" ht="15" hidden="false" customHeight="false" outlineLevel="0" collapsed="false">
      <c r="A45" s="8" t="s">
        <v>106</v>
      </c>
      <c r="B45" s="8" t="s">
        <v>114</v>
      </c>
      <c r="C45" s="8" t="n">
        <v>2</v>
      </c>
      <c r="D45" s="8" t="s">
        <v>133</v>
      </c>
      <c r="E45" s="9" t="s">
        <v>127</v>
      </c>
    </row>
    <row r="46" customFormat="false" ht="15" hidden="false" customHeight="false" outlineLevel="0" collapsed="false">
      <c r="A46" s="8" t="s">
        <v>106</v>
      </c>
      <c r="B46" s="8" t="s">
        <v>114</v>
      </c>
      <c r="C46" s="8" t="n">
        <v>3</v>
      </c>
      <c r="D46" s="8" t="s">
        <v>134</v>
      </c>
      <c r="E46" s="9" t="s">
        <v>127</v>
      </c>
    </row>
    <row r="47" customFormat="false" ht="15" hidden="false" customHeight="false" outlineLevel="0" collapsed="false">
      <c r="A47" s="8" t="s">
        <v>106</v>
      </c>
      <c r="B47" s="8" t="s">
        <v>114</v>
      </c>
      <c r="C47" s="8" t="n">
        <v>4</v>
      </c>
      <c r="D47" s="8" t="s">
        <v>135</v>
      </c>
      <c r="E47" s="9" t="s">
        <v>127</v>
      </c>
    </row>
    <row r="48" customFormat="false" ht="15" hidden="false" customHeight="false" outlineLevel="0" collapsed="false">
      <c r="A48" s="8" t="s">
        <v>115</v>
      </c>
      <c r="B48" s="8" t="s">
        <v>116</v>
      </c>
      <c r="C48" s="8" t="n">
        <v>1</v>
      </c>
      <c r="D48" s="8" t="s">
        <v>136</v>
      </c>
      <c r="E48" s="9" t="s">
        <v>123</v>
      </c>
    </row>
    <row r="49" customFormat="false" ht="15" hidden="false" customHeight="false" outlineLevel="0" collapsed="false">
      <c r="A49" s="8" t="s">
        <v>115</v>
      </c>
      <c r="B49" s="8" t="s">
        <v>116</v>
      </c>
      <c r="C49" s="8" t="n">
        <v>2</v>
      </c>
      <c r="D49" s="8" t="s">
        <v>137</v>
      </c>
      <c r="E49" s="9" t="s">
        <v>123</v>
      </c>
    </row>
    <row r="50" customFormat="false" ht="15" hidden="false" customHeight="false" outlineLevel="0" collapsed="false">
      <c r="A50" s="8" t="s">
        <v>115</v>
      </c>
      <c r="B50" s="8" t="s">
        <v>116</v>
      </c>
      <c r="C50" s="8" t="n">
        <v>3</v>
      </c>
      <c r="D50" s="8" t="s">
        <v>133</v>
      </c>
      <c r="E50" s="9" t="s">
        <v>123</v>
      </c>
    </row>
    <row r="51" customFormat="false" ht="15" hidden="false" customHeight="false" outlineLevel="0" collapsed="false">
      <c r="A51" s="8" t="s">
        <v>115</v>
      </c>
      <c r="B51" s="8" t="s">
        <v>116</v>
      </c>
      <c r="C51" s="8" t="n">
        <v>4</v>
      </c>
      <c r="D51" s="8" t="s">
        <v>135</v>
      </c>
      <c r="E51" s="9" t="s">
        <v>127</v>
      </c>
    </row>
    <row r="52" customFormat="false" ht="15" hidden="false" customHeight="false" outlineLevel="0" collapsed="false">
      <c r="A52" s="8" t="s">
        <v>115</v>
      </c>
      <c r="B52" s="8" t="s">
        <v>117</v>
      </c>
      <c r="C52" s="8" t="n">
        <v>1</v>
      </c>
      <c r="D52" s="8" t="s">
        <v>136</v>
      </c>
      <c r="E52" s="9" t="s">
        <v>123</v>
      </c>
    </row>
    <row r="53" customFormat="false" ht="15" hidden="false" customHeight="false" outlineLevel="0" collapsed="false">
      <c r="A53" s="8" t="s">
        <v>115</v>
      </c>
      <c r="B53" s="8" t="s">
        <v>117</v>
      </c>
      <c r="C53" s="8" t="n">
        <v>2</v>
      </c>
      <c r="D53" s="8" t="s">
        <v>137</v>
      </c>
      <c r="E53" s="9" t="s">
        <v>127</v>
      </c>
    </row>
    <row r="54" customFormat="false" ht="15" hidden="false" customHeight="false" outlineLevel="0" collapsed="false">
      <c r="A54" s="8" t="s">
        <v>115</v>
      </c>
      <c r="B54" s="8" t="s">
        <v>117</v>
      </c>
      <c r="C54" s="8" t="n">
        <v>3</v>
      </c>
      <c r="D54" s="8" t="s">
        <v>133</v>
      </c>
      <c r="E54" s="9" t="s">
        <v>127</v>
      </c>
    </row>
    <row r="55" customFormat="false" ht="15" hidden="false" customHeight="false" outlineLevel="0" collapsed="false">
      <c r="A55" s="8" t="s">
        <v>115</v>
      </c>
      <c r="B55" s="8" t="s">
        <v>117</v>
      </c>
      <c r="C55" s="8" t="n">
        <v>4</v>
      </c>
      <c r="D55" s="8" t="s">
        <v>135</v>
      </c>
      <c r="E55" s="9" t="s">
        <v>127</v>
      </c>
    </row>
    <row r="56" customFormat="false" ht="15" hidden="false" customHeight="false" outlineLevel="0" collapsed="false">
      <c r="A56" s="8" t="s">
        <v>115</v>
      </c>
      <c r="B56" s="8" t="s">
        <v>118</v>
      </c>
      <c r="C56" s="8" t="n">
        <v>1</v>
      </c>
      <c r="D56" s="8" t="s">
        <v>136</v>
      </c>
      <c r="E56" s="9" t="s">
        <v>123</v>
      </c>
    </row>
    <row r="57" customFormat="false" ht="15" hidden="false" customHeight="false" outlineLevel="0" collapsed="false">
      <c r="A57" s="8" t="s">
        <v>115</v>
      </c>
      <c r="B57" s="8" t="s">
        <v>118</v>
      </c>
      <c r="C57" s="8" t="n">
        <v>2</v>
      </c>
      <c r="D57" s="8" t="s">
        <v>137</v>
      </c>
      <c r="E57" s="9" t="s">
        <v>127</v>
      </c>
    </row>
    <row r="58" customFormat="false" ht="15" hidden="false" customHeight="false" outlineLevel="0" collapsed="false">
      <c r="A58" s="8" t="s">
        <v>115</v>
      </c>
      <c r="B58" s="8" t="s">
        <v>118</v>
      </c>
      <c r="C58" s="8" t="n">
        <v>3</v>
      </c>
      <c r="D58" s="8" t="s">
        <v>133</v>
      </c>
      <c r="E58" s="9" t="s">
        <v>127</v>
      </c>
    </row>
    <row r="59" customFormat="false" ht="15" hidden="false" customHeight="false" outlineLevel="0" collapsed="false">
      <c r="A59" s="8" t="s">
        <v>115</v>
      </c>
      <c r="B59" s="8" t="s">
        <v>118</v>
      </c>
      <c r="C59" s="8" t="n">
        <v>4</v>
      </c>
      <c r="D59" s="8" t="s">
        <v>135</v>
      </c>
      <c r="E59" s="9" t="s">
        <v>127</v>
      </c>
    </row>
  </sheetData>
  <dataValidations count="1">
    <dataValidation allowBlank="true" error="Selecciona un valor de la lista." errorStyle="stop" errorTitle="Valor inválido" operator="between" showDropDown="false" showErrorMessage="true" showInputMessage="false" sqref="E2:E59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2"/>
    <col collapsed="false" customWidth="true" hidden="false" outlineLevel="0" max="3" min="3" style="0" width="12"/>
  </cols>
  <sheetData>
    <row r="1" customFormat="false" ht="27.75" hidden="false" customHeight="true" outlineLevel="0" collapsed="false">
      <c r="A1" s="4" t="s">
        <v>88</v>
      </c>
      <c r="B1" s="4" t="s">
        <v>89</v>
      </c>
      <c r="C1" s="4" t="s">
        <v>45</v>
      </c>
    </row>
    <row r="2" customFormat="false" ht="15" hidden="false" customHeight="false" outlineLevel="0" collapsed="false">
      <c r="A2" s="8" t="s">
        <v>93</v>
      </c>
      <c r="B2" s="8" t="s">
        <v>94</v>
      </c>
      <c r="C2" s="9" t="s">
        <v>53</v>
      </c>
    </row>
    <row r="3" customFormat="false" ht="15" hidden="false" customHeight="false" outlineLevel="0" collapsed="false">
      <c r="A3" s="8" t="s">
        <v>93</v>
      </c>
      <c r="B3" s="8" t="s">
        <v>100</v>
      </c>
      <c r="C3" s="9" t="s">
        <v>59</v>
      </c>
    </row>
    <row r="4" customFormat="false" ht="15" hidden="false" customHeight="false" outlineLevel="0" collapsed="false">
      <c r="A4" s="8" t="s">
        <v>93</v>
      </c>
      <c r="B4" s="8" t="s">
        <v>101</v>
      </c>
      <c r="C4" s="9" t="s">
        <v>138</v>
      </c>
    </row>
    <row r="5" customFormat="false" ht="15" hidden="false" customHeight="false" outlineLevel="0" collapsed="false">
      <c r="A5" s="8" t="s">
        <v>102</v>
      </c>
      <c r="B5" s="8" t="s">
        <v>103</v>
      </c>
      <c r="C5" s="9" t="s">
        <v>53</v>
      </c>
    </row>
    <row r="6" customFormat="false" ht="15" hidden="false" customHeight="false" outlineLevel="0" collapsed="false">
      <c r="A6" s="8" t="s">
        <v>102</v>
      </c>
      <c r="B6" s="8" t="s">
        <v>104</v>
      </c>
      <c r="C6" s="9" t="s">
        <v>59</v>
      </c>
    </row>
    <row r="7" customFormat="false" ht="15" hidden="false" customHeight="false" outlineLevel="0" collapsed="false">
      <c r="A7" s="8" t="s">
        <v>102</v>
      </c>
      <c r="B7" s="8" t="s">
        <v>105</v>
      </c>
      <c r="C7" s="9" t="s">
        <v>138</v>
      </c>
    </row>
    <row r="8" customFormat="false" ht="15" hidden="false" customHeight="false" outlineLevel="0" collapsed="false">
      <c r="A8" s="8" t="s">
        <v>106</v>
      </c>
      <c r="B8" s="8" t="s">
        <v>107</v>
      </c>
      <c r="C8" s="9" t="s">
        <v>53</v>
      </c>
    </row>
    <row r="9" customFormat="false" ht="15" hidden="false" customHeight="false" outlineLevel="0" collapsed="false">
      <c r="A9" s="8" t="s">
        <v>106</v>
      </c>
      <c r="B9" s="8" t="s">
        <v>112</v>
      </c>
      <c r="C9" s="9" t="s">
        <v>53</v>
      </c>
    </row>
    <row r="10" customFormat="false" ht="15" hidden="false" customHeight="false" outlineLevel="0" collapsed="false">
      <c r="A10" s="8" t="s">
        <v>106</v>
      </c>
      <c r="B10" s="8" t="s">
        <v>113</v>
      </c>
      <c r="C10" s="9" t="s">
        <v>59</v>
      </c>
    </row>
    <row r="11" customFormat="false" ht="15" hidden="false" customHeight="false" outlineLevel="0" collapsed="false">
      <c r="A11" s="8" t="s">
        <v>106</v>
      </c>
      <c r="B11" s="8" t="s">
        <v>114</v>
      </c>
      <c r="C11" s="9" t="s">
        <v>138</v>
      </c>
    </row>
    <row r="12" customFormat="false" ht="15" hidden="false" customHeight="false" outlineLevel="0" collapsed="false">
      <c r="A12" s="8" t="s">
        <v>115</v>
      </c>
      <c r="B12" s="8" t="s">
        <v>116</v>
      </c>
      <c r="C12" s="9" t="s">
        <v>53</v>
      </c>
    </row>
    <row r="13" customFormat="false" ht="15" hidden="false" customHeight="false" outlineLevel="0" collapsed="false">
      <c r="A13" s="8" t="s">
        <v>115</v>
      </c>
      <c r="B13" s="8" t="s">
        <v>117</v>
      </c>
      <c r="C13" s="9" t="s">
        <v>59</v>
      </c>
    </row>
    <row r="14" customFormat="false" ht="15" hidden="false" customHeight="false" outlineLevel="0" collapsed="false">
      <c r="A14" s="8" t="s">
        <v>115</v>
      </c>
      <c r="B14" s="8" t="s">
        <v>118</v>
      </c>
      <c r="C14" s="9" t="s">
        <v>138</v>
      </c>
    </row>
  </sheetData>
  <dataValidations count="1">
    <dataValidation allowBlank="true" error="Selecciona un valor de la lista." errorStyle="stop" errorTitle="Valor inválido" operator="between" showDropDown="false" showErrorMessage="true" showInputMessage="false" sqref="C2:C14" type="list">
      <formula1>"On Track,At Risk,Delayed"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2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6" min="5" style="0" width="12"/>
  </cols>
  <sheetData>
    <row r="1" customFormat="false" ht="27.75" hidden="false" customHeight="true" outlineLevel="0" collapsed="false">
      <c r="A1" s="4" t="s">
        <v>88</v>
      </c>
      <c r="B1" s="4" t="s">
        <v>89</v>
      </c>
      <c r="C1" s="4" t="s">
        <v>76</v>
      </c>
      <c r="D1" s="4" t="s">
        <v>77</v>
      </c>
      <c r="E1" s="4" t="s">
        <v>78</v>
      </c>
      <c r="F1" s="4" t="s">
        <v>79</v>
      </c>
    </row>
    <row r="2" customFormat="false" ht="15" hidden="false" customHeight="false" outlineLevel="0" collapsed="false">
      <c r="A2" s="8" t="s">
        <v>93</v>
      </c>
      <c r="B2" s="8" t="s">
        <v>94</v>
      </c>
      <c r="C2" s="8" t="n">
        <v>1</v>
      </c>
      <c r="D2" s="8" t="s">
        <v>80</v>
      </c>
      <c r="E2" s="9" t="n">
        <v>40</v>
      </c>
      <c r="F2" s="9" t="n">
        <v>38</v>
      </c>
    </row>
    <row r="3" customFormat="false" ht="15" hidden="false" customHeight="false" outlineLevel="0" collapsed="false">
      <c r="A3" s="8" t="s">
        <v>93</v>
      </c>
      <c r="B3" s="8" t="s">
        <v>94</v>
      </c>
      <c r="C3" s="8" t="n">
        <v>2</v>
      </c>
      <c r="D3" s="8" t="s">
        <v>81</v>
      </c>
      <c r="E3" s="9" t="n">
        <v>42</v>
      </c>
      <c r="F3" s="9" t="n">
        <v>45</v>
      </c>
    </row>
    <row r="4" customFormat="false" ht="15" hidden="false" customHeight="false" outlineLevel="0" collapsed="false">
      <c r="A4" s="8" t="s">
        <v>93</v>
      </c>
      <c r="B4" s="8" t="s">
        <v>94</v>
      </c>
      <c r="C4" s="8" t="n">
        <v>3</v>
      </c>
      <c r="D4" s="8" t="s">
        <v>82</v>
      </c>
      <c r="E4" s="9" t="n">
        <v>47</v>
      </c>
      <c r="F4" s="9" t="n">
        <v>52</v>
      </c>
    </row>
    <row r="5" customFormat="false" ht="15" hidden="false" customHeight="false" outlineLevel="0" collapsed="false">
      <c r="A5" s="8" t="s">
        <v>93</v>
      </c>
      <c r="B5" s="8" t="s">
        <v>94</v>
      </c>
      <c r="C5" s="8" t="n">
        <v>4</v>
      </c>
      <c r="D5" s="8" t="s">
        <v>83</v>
      </c>
      <c r="E5" s="9" t="n">
        <v>56</v>
      </c>
      <c r="F5" s="9" t="n">
        <v>58</v>
      </c>
    </row>
    <row r="6" customFormat="false" ht="15" hidden="false" customHeight="false" outlineLevel="0" collapsed="false">
      <c r="A6" s="8" t="s">
        <v>93</v>
      </c>
      <c r="B6" s="8" t="s">
        <v>94</v>
      </c>
      <c r="C6" s="8" t="n">
        <v>5</v>
      </c>
      <c r="D6" s="8" t="s">
        <v>84</v>
      </c>
      <c r="E6" s="9" t="n">
        <v>65</v>
      </c>
      <c r="F6" s="9" t="n">
        <v>63</v>
      </c>
    </row>
    <row r="7" customFormat="false" ht="15" hidden="false" customHeight="false" outlineLevel="0" collapsed="false">
      <c r="A7" s="8" t="s">
        <v>93</v>
      </c>
      <c r="B7" s="8" t="s">
        <v>94</v>
      </c>
      <c r="C7" s="8" t="n">
        <v>6</v>
      </c>
      <c r="D7" s="8" t="s">
        <v>85</v>
      </c>
      <c r="E7" s="9" t="n">
        <v>71</v>
      </c>
      <c r="F7" s="9" t="n">
        <v>67</v>
      </c>
    </row>
    <row r="8" customFormat="false" ht="15" hidden="false" customHeight="false" outlineLevel="0" collapsed="false">
      <c r="A8" s="8" t="s">
        <v>93</v>
      </c>
      <c r="B8" s="8" t="s">
        <v>94</v>
      </c>
      <c r="C8" s="8" t="n">
        <v>7</v>
      </c>
      <c r="D8" s="8" t="s">
        <v>86</v>
      </c>
      <c r="E8" s="9" t="n">
        <v>75</v>
      </c>
      <c r="F8" s="9" t="n">
        <v>70</v>
      </c>
    </row>
    <row r="9" customFormat="false" ht="15" hidden="false" customHeight="false" outlineLevel="0" collapsed="false">
      <c r="A9" s="8" t="s">
        <v>93</v>
      </c>
      <c r="B9" s="8" t="s">
        <v>94</v>
      </c>
      <c r="C9" s="8" t="n">
        <v>8</v>
      </c>
      <c r="D9" s="8" t="s">
        <v>87</v>
      </c>
      <c r="E9" s="9" t="n">
        <v>76</v>
      </c>
      <c r="F9" s="9" t="n">
        <v>73</v>
      </c>
    </row>
    <row r="10" customFormat="false" ht="15" hidden="false" customHeight="false" outlineLevel="0" collapsed="false">
      <c r="A10" s="8" t="s">
        <v>93</v>
      </c>
      <c r="B10" s="8" t="s">
        <v>100</v>
      </c>
      <c r="C10" s="8" t="n">
        <v>1</v>
      </c>
      <c r="D10" s="8" t="s">
        <v>80</v>
      </c>
      <c r="E10" s="9" t="n">
        <v>22</v>
      </c>
      <c r="F10" s="9" t="n">
        <v>20</v>
      </c>
    </row>
    <row r="11" customFormat="false" ht="15" hidden="false" customHeight="false" outlineLevel="0" collapsed="false">
      <c r="A11" s="8" t="s">
        <v>93</v>
      </c>
      <c r="B11" s="8" t="s">
        <v>100</v>
      </c>
      <c r="C11" s="8" t="n">
        <v>2</v>
      </c>
      <c r="D11" s="8" t="s">
        <v>81</v>
      </c>
      <c r="E11" s="9" t="n">
        <v>24</v>
      </c>
      <c r="F11" s="9" t="n">
        <v>25</v>
      </c>
    </row>
    <row r="12" customFormat="false" ht="15" hidden="false" customHeight="false" outlineLevel="0" collapsed="false">
      <c r="A12" s="8" t="s">
        <v>93</v>
      </c>
      <c r="B12" s="8" t="s">
        <v>100</v>
      </c>
      <c r="C12" s="8" t="n">
        <v>3</v>
      </c>
      <c r="D12" s="8" t="s">
        <v>82</v>
      </c>
      <c r="E12" s="9" t="n">
        <v>30</v>
      </c>
      <c r="F12" s="9" t="n">
        <v>30</v>
      </c>
    </row>
    <row r="13" customFormat="false" ht="15" hidden="false" customHeight="false" outlineLevel="0" collapsed="false">
      <c r="A13" s="8" t="s">
        <v>93</v>
      </c>
      <c r="B13" s="8" t="s">
        <v>100</v>
      </c>
      <c r="C13" s="8" t="n">
        <v>4</v>
      </c>
      <c r="D13" s="8" t="s">
        <v>83</v>
      </c>
      <c r="E13" s="9" t="n">
        <v>39</v>
      </c>
      <c r="F13" s="9" t="n">
        <v>35</v>
      </c>
    </row>
    <row r="14" customFormat="false" ht="15" hidden="false" customHeight="false" outlineLevel="0" collapsed="false">
      <c r="A14" s="8" t="s">
        <v>93</v>
      </c>
      <c r="B14" s="8" t="s">
        <v>100</v>
      </c>
      <c r="C14" s="8" t="n">
        <v>5</v>
      </c>
      <c r="D14" s="8" t="s">
        <v>84</v>
      </c>
      <c r="E14" s="9" t="n">
        <v>50</v>
      </c>
      <c r="F14" s="9" t="n">
        <v>40</v>
      </c>
    </row>
    <row r="15" customFormat="false" ht="15" hidden="false" customHeight="false" outlineLevel="0" collapsed="false">
      <c r="A15" s="8" t="s">
        <v>93</v>
      </c>
      <c r="B15" s="8" t="s">
        <v>100</v>
      </c>
      <c r="C15" s="8" t="n">
        <v>6</v>
      </c>
      <c r="D15" s="8" t="s">
        <v>85</v>
      </c>
      <c r="E15" s="9" t="n">
        <v>57</v>
      </c>
      <c r="F15" s="9" t="n">
        <v>44</v>
      </c>
    </row>
    <row r="16" customFormat="false" ht="15" hidden="false" customHeight="false" outlineLevel="0" collapsed="false">
      <c r="A16" s="8" t="s">
        <v>93</v>
      </c>
      <c r="B16" s="8" t="s">
        <v>100</v>
      </c>
      <c r="C16" s="8" t="n">
        <v>7</v>
      </c>
      <c r="D16" s="8" t="s">
        <v>86</v>
      </c>
      <c r="E16" s="9" t="n">
        <v>61</v>
      </c>
      <c r="F16" s="9" t="n">
        <v>48</v>
      </c>
    </row>
    <row r="17" customFormat="false" ht="15" hidden="false" customHeight="false" outlineLevel="0" collapsed="false">
      <c r="A17" s="8" t="s">
        <v>93</v>
      </c>
      <c r="B17" s="8" t="s">
        <v>100</v>
      </c>
      <c r="C17" s="8" t="n">
        <v>8</v>
      </c>
      <c r="D17" s="8" t="s">
        <v>87</v>
      </c>
      <c r="E17" s="9" t="n">
        <v>62</v>
      </c>
      <c r="F17" s="9" t="n">
        <v>51</v>
      </c>
    </row>
    <row r="18" customFormat="false" ht="15" hidden="false" customHeight="false" outlineLevel="0" collapsed="false">
      <c r="A18" s="8" t="s">
        <v>93</v>
      </c>
      <c r="B18" s="8" t="s">
        <v>101</v>
      </c>
      <c r="C18" s="8" t="n">
        <v>1</v>
      </c>
      <c r="D18" s="8" t="s">
        <v>80</v>
      </c>
      <c r="E18" s="9" t="n">
        <v>12</v>
      </c>
      <c r="F18" s="9" t="n">
        <v>10</v>
      </c>
    </row>
    <row r="19" customFormat="false" ht="15" hidden="false" customHeight="false" outlineLevel="0" collapsed="false">
      <c r="A19" s="8" t="s">
        <v>93</v>
      </c>
      <c r="B19" s="8" t="s">
        <v>101</v>
      </c>
      <c r="C19" s="8" t="n">
        <v>2</v>
      </c>
      <c r="D19" s="8" t="s">
        <v>81</v>
      </c>
      <c r="E19" s="9" t="n">
        <v>15</v>
      </c>
      <c r="F19" s="9" t="n">
        <v>14</v>
      </c>
    </row>
    <row r="20" customFormat="false" ht="15" hidden="false" customHeight="false" outlineLevel="0" collapsed="false">
      <c r="A20" s="8" t="s">
        <v>93</v>
      </c>
      <c r="B20" s="8" t="s">
        <v>101</v>
      </c>
      <c r="C20" s="8" t="n">
        <v>3</v>
      </c>
      <c r="D20" s="8" t="s">
        <v>82</v>
      </c>
      <c r="E20" s="9" t="n">
        <v>22</v>
      </c>
      <c r="F20" s="9" t="n">
        <v>18</v>
      </c>
    </row>
    <row r="21" customFormat="false" ht="15" hidden="false" customHeight="false" outlineLevel="0" collapsed="false">
      <c r="A21" s="8" t="s">
        <v>93</v>
      </c>
      <c r="B21" s="8" t="s">
        <v>101</v>
      </c>
      <c r="C21" s="8" t="n">
        <v>4</v>
      </c>
      <c r="D21" s="8" t="s">
        <v>83</v>
      </c>
      <c r="E21" s="9" t="n">
        <v>33</v>
      </c>
      <c r="F21" s="9" t="n">
        <v>22</v>
      </c>
    </row>
    <row r="22" customFormat="false" ht="15" hidden="false" customHeight="false" outlineLevel="0" collapsed="false">
      <c r="A22" s="8" t="s">
        <v>93</v>
      </c>
      <c r="B22" s="8" t="s">
        <v>101</v>
      </c>
      <c r="C22" s="8" t="n">
        <v>5</v>
      </c>
      <c r="D22" s="8" t="s">
        <v>84</v>
      </c>
      <c r="E22" s="9" t="n">
        <v>44</v>
      </c>
      <c r="F22" s="9" t="n">
        <v>26</v>
      </c>
    </row>
    <row r="23" customFormat="false" ht="15" hidden="false" customHeight="false" outlineLevel="0" collapsed="false">
      <c r="A23" s="8" t="s">
        <v>93</v>
      </c>
      <c r="B23" s="8" t="s">
        <v>101</v>
      </c>
      <c r="C23" s="8" t="n">
        <v>6</v>
      </c>
      <c r="D23" s="8" t="s">
        <v>85</v>
      </c>
      <c r="E23" s="9" t="n">
        <v>53</v>
      </c>
      <c r="F23" s="9" t="n">
        <v>30</v>
      </c>
    </row>
    <row r="24" customFormat="false" ht="15" hidden="false" customHeight="false" outlineLevel="0" collapsed="false">
      <c r="A24" s="8" t="s">
        <v>93</v>
      </c>
      <c r="B24" s="8" t="s">
        <v>101</v>
      </c>
      <c r="C24" s="8" t="n">
        <v>7</v>
      </c>
      <c r="D24" s="8" t="s">
        <v>86</v>
      </c>
      <c r="E24" s="9" t="n">
        <v>57</v>
      </c>
      <c r="F24" s="9" t="n">
        <v>33</v>
      </c>
    </row>
    <row r="25" customFormat="false" ht="15" hidden="false" customHeight="false" outlineLevel="0" collapsed="false">
      <c r="A25" s="8" t="s">
        <v>93</v>
      </c>
      <c r="B25" s="8" t="s">
        <v>101</v>
      </c>
      <c r="C25" s="8" t="n">
        <v>8</v>
      </c>
      <c r="D25" s="8" t="s">
        <v>87</v>
      </c>
      <c r="E25" s="9" t="n">
        <v>59</v>
      </c>
      <c r="F25" s="9" t="n">
        <v>36</v>
      </c>
    </row>
    <row r="26" customFormat="false" ht="15" hidden="false" customHeight="false" outlineLevel="0" collapsed="false">
      <c r="A26" s="8" t="s">
        <v>102</v>
      </c>
      <c r="B26" s="8" t="s">
        <v>103</v>
      </c>
      <c r="C26" s="8" t="n">
        <v>1</v>
      </c>
      <c r="D26" s="8" t="s">
        <v>80</v>
      </c>
      <c r="E26" s="9" t="n">
        <v>32</v>
      </c>
      <c r="F26" s="9" t="n">
        <v>30</v>
      </c>
    </row>
    <row r="27" customFormat="false" ht="15" hidden="false" customHeight="false" outlineLevel="0" collapsed="false">
      <c r="A27" s="8" t="s">
        <v>102</v>
      </c>
      <c r="B27" s="8" t="s">
        <v>103</v>
      </c>
      <c r="C27" s="8" t="n">
        <v>2</v>
      </c>
      <c r="D27" s="8" t="s">
        <v>81</v>
      </c>
      <c r="E27" s="9" t="n">
        <v>34</v>
      </c>
      <c r="F27" s="9" t="n">
        <v>38</v>
      </c>
    </row>
    <row r="28" customFormat="false" ht="15" hidden="false" customHeight="false" outlineLevel="0" collapsed="false">
      <c r="A28" s="8" t="s">
        <v>102</v>
      </c>
      <c r="B28" s="8" t="s">
        <v>103</v>
      </c>
      <c r="C28" s="8" t="n">
        <v>3</v>
      </c>
      <c r="D28" s="8" t="s">
        <v>82</v>
      </c>
      <c r="E28" s="9" t="n">
        <v>40</v>
      </c>
      <c r="F28" s="9" t="n">
        <v>44</v>
      </c>
    </row>
    <row r="29" customFormat="false" ht="15" hidden="false" customHeight="false" outlineLevel="0" collapsed="false">
      <c r="A29" s="8" t="s">
        <v>102</v>
      </c>
      <c r="B29" s="8" t="s">
        <v>103</v>
      </c>
      <c r="C29" s="8" t="n">
        <v>4</v>
      </c>
      <c r="D29" s="8" t="s">
        <v>83</v>
      </c>
      <c r="E29" s="9" t="n">
        <v>49</v>
      </c>
      <c r="F29" s="9" t="n">
        <v>50</v>
      </c>
    </row>
    <row r="30" customFormat="false" ht="15" hidden="false" customHeight="false" outlineLevel="0" collapsed="false">
      <c r="A30" s="8" t="s">
        <v>102</v>
      </c>
      <c r="B30" s="8" t="s">
        <v>103</v>
      </c>
      <c r="C30" s="8" t="n">
        <v>5</v>
      </c>
      <c r="D30" s="8" t="s">
        <v>84</v>
      </c>
      <c r="E30" s="9" t="n">
        <v>59</v>
      </c>
      <c r="F30" s="9" t="n">
        <v>55</v>
      </c>
    </row>
    <row r="31" customFormat="false" ht="15" hidden="false" customHeight="false" outlineLevel="0" collapsed="false">
      <c r="A31" s="8" t="s">
        <v>102</v>
      </c>
      <c r="B31" s="8" t="s">
        <v>103</v>
      </c>
      <c r="C31" s="8" t="n">
        <v>6</v>
      </c>
      <c r="D31" s="8" t="s">
        <v>85</v>
      </c>
      <c r="E31" s="9" t="n">
        <v>66</v>
      </c>
      <c r="F31" s="9" t="n">
        <v>60</v>
      </c>
    </row>
    <row r="32" customFormat="false" ht="15" hidden="false" customHeight="false" outlineLevel="0" collapsed="false">
      <c r="A32" s="8" t="s">
        <v>102</v>
      </c>
      <c r="B32" s="8" t="s">
        <v>103</v>
      </c>
      <c r="C32" s="8" t="n">
        <v>7</v>
      </c>
      <c r="D32" s="8" t="s">
        <v>86</v>
      </c>
      <c r="E32" s="9" t="n">
        <v>70</v>
      </c>
      <c r="F32" s="9" t="n">
        <v>64</v>
      </c>
    </row>
    <row r="33" customFormat="false" ht="15" hidden="false" customHeight="false" outlineLevel="0" collapsed="false">
      <c r="A33" s="8" t="s">
        <v>102</v>
      </c>
      <c r="B33" s="8" t="s">
        <v>103</v>
      </c>
      <c r="C33" s="8" t="n">
        <v>8</v>
      </c>
      <c r="D33" s="8" t="s">
        <v>87</v>
      </c>
      <c r="E33" s="9" t="n">
        <v>71</v>
      </c>
      <c r="F33" s="9" t="n">
        <v>68</v>
      </c>
    </row>
    <row r="34" customFormat="false" ht="15" hidden="false" customHeight="false" outlineLevel="0" collapsed="false">
      <c r="A34" s="8" t="s">
        <v>102</v>
      </c>
      <c r="B34" s="8" t="s">
        <v>104</v>
      </c>
      <c r="C34" s="8" t="n">
        <v>1</v>
      </c>
      <c r="D34" s="8" t="s">
        <v>80</v>
      </c>
      <c r="E34" s="9" t="n">
        <v>22</v>
      </c>
      <c r="F34" s="9" t="n">
        <v>20</v>
      </c>
    </row>
    <row r="35" customFormat="false" ht="15" hidden="false" customHeight="false" outlineLevel="0" collapsed="false">
      <c r="A35" s="8" t="s">
        <v>102</v>
      </c>
      <c r="B35" s="8" t="s">
        <v>104</v>
      </c>
      <c r="C35" s="8" t="n">
        <v>2</v>
      </c>
      <c r="D35" s="8" t="s">
        <v>81</v>
      </c>
      <c r="E35" s="9" t="n">
        <v>24</v>
      </c>
      <c r="F35" s="9" t="n">
        <v>25</v>
      </c>
    </row>
    <row r="36" customFormat="false" ht="15" hidden="false" customHeight="false" outlineLevel="0" collapsed="false">
      <c r="A36" s="8" t="s">
        <v>102</v>
      </c>
      <c r="B36" s="8" t="s">
        <v>104</v>
      </c>
      <c r="C36" s="8" t="n">
        <v>3</v>
      </c>
      <c r="D36" s="8" t="s">
        <v>82</v>
      </c>
      <c r="E36" s="9" t="n">
        <v>29</v>
      </c>
      <c r="F36" s="9" t="n">
        <v>30</v>
      </c>
    </row>
    <row r="37" customFormat="false" ht="15" hidden="false" customHeight="false" outlineLevel="0" collapsed="false">
      <c r="A37" s="8" t="s">
        <v>102</v>
      </c>
      <c r="B37" s="8" t="s">
        <v>104</v>
      </c>
      <c r="C37" s="8" t="n">
        <v>4</v>
      </c>
      <c r="D37" s="8" t="s">
        <v>83</v>
      </c>
      <c r="E37" s="9" t="n">
        <v>38</v>
      </c>
      <c r="F37" s="9" t="n">
        <v>34</v>
      </c>
    </row>
    <row r="38" customFormat="false" ht="15" hidden="false" customHeight="false" outlineLevel="0" collapsed="false">
      <c r="A38" s="8" t="s">
        <v>102</v>
      </c>
      <c r="B38" s="8" t="s">
        <v>104</v>
      </c>
      <c r="C38" s="8" t="n">
        <v>5</v>
      </c>
      <c r="D38" s="8" t="s">
        <v>84</v>
      </c>
      <c r="E38" s="9" t="n">
        <v>48</v>
      </c>
      <c r="F38" s="9" t="n">
        <v>38</v>
      </c>
    </row>
    <row r="39" customFormat="false" ht="15" hidden="false" customHeight="false" outlineLevel="0" collapsed="false">
      <c r="A39" s="8" t="s">
        <v>102</v>
      </c>
      <c r="B39" s="8" t="s">
        <v>104</v>
      </c>
      <c r="C39" s="8" t="n">
        <v>6</v>
      </c>
      <c r="D39" s="8" t="s">
        <v>85</v>
      </c>
      <c r="E39" s="9" t="n">
        <v>54</v>
      </c>
      <c r="F39" s="9" t="n">
        <v>42</v>
      </c>
    </row>
    <row r="40" customFormat="false" ht="15" hidden="false" customHeight="false" outlineLevel="0" collapsed="false">
      <c r="A40" s="8" t="s">
        <v>102</v>
      </c>
      <c r="B40" s="8" t="s">
        <v>104</v>
      </c>
      <c r="C40" s="8" t="n">
        <v>7</v>
      </c>
      <c r="D40" s="8" t="s">
        <v>86</v>
      </c>
      <c r="E40" s="9" t="n">
        <v>58</v>
      </c>
      <c r="F40" s="9" t="n">
        <v>45</v>
      </c>
    </row>
    <row r="41" customFormat="false" ht="15" hidden="false" customHeight="false" outlineLevel="0" collapsed="false">
      <c r="A41" s="8" t="s">
        <v>102</v>
      </c>
      <c r="B41" s="8" t="s">
        <v>104</v>
      </c>
      <c r="C41" s="8" t="n">
        <v>8</v>
      </c>
      <c r="D41" s="8" t="s">
        <v>87</v>
      </c>
      <c r="E41" s="9" t="n">
        <v>59</v>
      </c>
      <c r="F41" s="9" t="n">
        <v>48</v>
      </c>
    </row>
    <row r="42" customFormat="false" ht="15" hidden="false" customHeight="false" outlineLevel="0" collapsed="false">
      <c r="A42" s="8" t="s">
        <v>102</v>
      </c>
      <c r="B42" s="8" t="s">
        <v>105</v>
      </c>
      <c r="C42" s="8" t="n">
        <v>1</v>
      </c>
      <c r="D42" s="8" t="s">
        <v>80</v>
      </c>
      <c r="E42" s="9" t="n">
        <v>7</v>
      </c>
      <c r="F42" s="9" t="n">
        <v>5</v>
      </c>
    </row>
    <row r="43" customFormat="false" ht="15" hidden="false" customHeight="false" outlineLevel="0" collapsed="false">
      <c r="A43" s="8" t="s">
        <v>102</v>
      </c>
      <c r="B43" s="8" t="s">
        <v>105</v>
      </c>
      <c r="C43" s="8" t="n">
        <v>2</v>
      </c>
      <c r="D43" s="8" t="s">
        <v>81</v>
      </c>
      <c r="E43" s="9" t="n">
        <v>9</v>
      </c>
      <c r="F43" s="9" t="n">
        <v>8</v>
      </c>
    </row>
    <row r="44" customFormat="false" ht="15" hidden="false" customHeight="false" outlineLevel="0" collapsed="false">
      <c r="A44" s="8" t="s">
        <v>102</v>
      </c>
      <c r="B44" s="8" t="s">
        <v>105</v>
      </c>
      <c r="C44" s="8" t="n">
        <v>3</v>
      </c>
      <c r="D44" s="8" t="s">
        <v>82</v>
      </c>
      <c r="E44" s="9" t="n">
        <v>15</v>
      </c>
      <c r="F44" s="9" t="n">
        <v>12</v>
      </c>
    </row>
    <row r="45" customFormat="false" ht="15" hidden="false" customHeight="false" outlineLevel="0" collapsed="false">
      <c r="A45" s="8" t="s">
        <v>102</v>
      </c>
      <c r="B45" s="8" t="s">
        <v>105</v>
      </c>
      <c r="C45" s="8" t="n">
        <v>4</v>
      </c>
      <c r="D45" s="8" t="s">
        <v>83</v>
      </c>
      <c r="E45" s="9" t="n">
        <v>25</v>
      </c>
      <c r="F45" s="9" t="n">
        <v>15</v>
      </c>
    </row>
    <row r="46" customFormat="false" ht="15" hidden="false" customHeight="false" outlineLevel="0" collapsed="false">
      <c r="A46" s="8" t="s">
        <v>102</v>
      </c>
      <c r="B46" s="8" t="s">
        <v>105</v>
      </c>
      <c r="C46" s="8" t="n">
        <v>5</v>
      </c>
      <c r="D46" s="8" t="s">
        <v>84</v>
      </c>
      <c r="E46" s="9" t="n">
        <v>36</v>
      </c>
      <c r="F46" s="9" t="n">
        <v>18</v>
      </c>
    </row>
    <row r="47" customFormat="false" ht="15" hidden="false" customHeight="false" outlineLevel="0" collapsed="false">
      <c r="A47" s="8" t="s">
        <v>102</v>
      </c>
      <c r="B47" s="8" t="s">
        <v>105</v>
      </c>
      <c r="C47" s="8" t="n">
        <v>6</v>
      </c>
      <c r="D47" s="8" t="s">
        <v>85</v>
      </c>
      <c r="E47" s="9" t="n">
        <v>44</v>
      </c>
      <c r="F47" s="9" t="n">
        <v>20</v>
      </c>
    </row>
    <row r="48" customFormat="false" ht="15" hidden="false" customHeight="false" outlineLevel="0" collapsed="false">
      <c r="A48" s="8" t="s">
        <v>102</v>
      </c>
      <c r="B48" s="8" t="s">
        <v>105</v>
      </c>
      <c r="C48" s="8" t="n">
        <v>7</v>
      </c>
      <c r="D48" s="8" t="s">
        <v>86</v>
      </c>
      <c r="E48" s="9" t="n">
        <v>47</v>
      </c>
      <c r="F48" s="9" t="n">
        <v>23</v>
      </c>
    </row>
    <row r="49" customFormat="false" ht="15" hidden="false" customHeight="false" outlineLevel="0" collapsed="false">
      <c r="A49" s="8" t="s">
        <v>102</v>
      </c>
      <c r="B49" s="8" t="s">
        <v>105</v>
      </c>
      <c r="C49" s="8" t="n">
        <v>8</v>
      </c>
      <c r="D49" s="8" t="s">
        <v>87</v>
      </c>
      <c r="E49" s="9" t="n">
        <v>49</v>
      </c>
      <c r="F49" s="9" t="n">
        <v>26</v>
      </c>
    </row>
    <row r="50" customFormat="false" ht="15" hidden="false" customHeight="false" outlineLevel="0" collapsed="false">
      <c r="A50" s="8" t="s">
        <v>106</v>
      </c>
      <c r="B50" s="8" t="s">
        <v>107</v>
      </c>
      <c r="C50" s="8" t="n">
        <v>1</v>
      </c>
      <c r="D50" s="8" t="s">
        <v>80</v>
      </c>
      <c r="E50" s="9" t="n">
        <v>46</v>
      </c>
      <c r="F50" s="9" t="n">
        <v>45</v>
      </c>
    </row>
    <row r="51" customFormat="false" ht="15" hidden="false" customHeight="false" outlineLevel="0" collapsed="false">
      <c r="A51" s="8" t="s">
        <v>106</v>
      </c>
      <c r="B51" s="8" t="s">
        <v>107</v>
      </c>
      <c r="C51" s="8" t="n">
        <v>2</v>
      </c>
      <c r="D51" s="8" t="s">
        <v>81</v>
      </c>
      <c r="E51" s="9" t="n">
        <v>49</v>
      </c>
      <c r="F51" s="9" t="n">
        <v>52</v>
      </c>
    </row>
    <row r="52" customFormat="false" ht="15" hidden="false" customHeight="false" outlineLevel="0" collapsed="false">
      <c r="A52" s="8" t="s">
        <v>106</v>
      </c>
      <c r="B52" s="8" t="s">
        <v>107</v>
      </c>
      <c r="C52" s="8" t="n">
        <v>3</v>
      </c>
      <c r="D52" s="8" t="s">
        <v>82</v>
      </c>
      <c r="E52" s="9" t="n">
        <v>54</v>
      </c>
      <c r="F52" s="9" t="n">
        <v>58</v>
      </c>
    </row>
    <row r="53" customFormat="false" ht="15" hidden="false" customHeight="false" outlineLevel="0" collapsed="false">
      <c r="A53" s="8" t="s">
        <v>106</v>
      </c>
      <c r="B53" s="8" t="s">
        <v>107</v>
      </c>
      <c r="C53" s="8" t="n">
        <v>4</v>
      </c>
      <c r="D53" s="8" t="s">
        <v>83</v>
      </c>
      <c r="E53" s="9" t="n">
        <v>62</v>
      </c>
      <c r="F53" s="9" t="n">
        <v>63</v>
      </c>
    </row>
    <row r="54" customFormat="false" ht="15" hidden="false" customHeight="false" outlineLevel="0" collapsed="false">
      <c r="A54" s="8" t="s">
        <v>106</v>
      </c>
      <c r="B54" s="8" t="s">
        <v>107</v>
      </c>
      <c r="C54" s="8" t="n">
        <v>5</v>
      </c>
      <c r="D54" s="8" t="s">
        <v>84</v>
      </c>
      <c r="E54" s="9" t="n">
        <v>71</v>
      </c>
      <c r="F54" s="9" t="n">
        <v>68</v>
      </c>
    </row>
    <row r="55" customFormat="false" ht="15" hidden="false" customHeight="false" outlineLevel="0" collapsed="false">
      <c r="A55" s="8" t="s">
        <v>106</v>
      </c>
      <c r="B55" s="8" t="s">
        <v>107</v>
      </c>
      <c r="C55" s="8" t="n">
        <v>6</v>
      </c>
      <c r="D55" s="8" t="s">
        <v>85</v>
      </c>
      <c r="E55" s="9" t="n">
        <v>77</v>
      </c>
      <c r="F55" s="9" t="n">
        <v>72</v>
      </c>
    </row>
    <row r="56" customFormat="false" ht="15" hidden="false" customHeight="false" outlineLevel="0" collapsed="false">
      <c r="A56" s="8" t="s">
        <v>106</v>
      </c>
      <c r="B56" s="8" t="s">
        <v>107</v>
      </c>
      <c r="C56" s="8" t="n">
        <v>7</v>
      </c>
      <c r="D56" s="8" t="s">
        <v>86</v>
      </c>
      <c r="E56" s="9" t="n">
        <v>80</v>
      </c>
      <c r="F56" s="9" t="n">
        <v>75</v>
      </c>
    </row>
    <row r="57" customFormat="false" ht="15" hidden="false" customHeight="false" outlineLevel="0" collapsed="false">
      <c r="A57" s="8" t="s">
        <v>106</v>
      </c>
      <c r="B57" s="8" t="s">
        <v>107</v>
      </c>
      <c r="C57" s="8" t="n">
        <v>8</v>
      </c>
      <c r="D57" s="8" t="s">
        <v>87</v>
      </c>
      <c r="E57" s="9" t="n">
        <v>81</v>
      </c>
      <c r="F57" s="9" t="n">
        <v>78</v>
      </c>
    </row>
    <row r="58" customFormat="false" ht="15" hidden="false" customHeight="false" outlineLevel="0" collapsed="false">
      <c r="A58" s="8" t="s">
        <v>106</v>
      </c>
      <c r="B58" s="8" t="s">
        <v>112</v>
      </c>
      <c r="C58" s="8" t="n">
        <v>1</v>
      </c>
      <c r="D58" s="8" t="s">
        <v>80</v>
      </c>
      <c r="E58" s="9" t="n">
        <v>27</v>
      </c>
      <c r="F58" s="9" t="n">
        <v>25</v>
      </c>
    </row>
    <row r="59" customFormat="false" ht="15" hidden="false" customHeight="false" outlineLevel="0" collapsed="false">
      <c r="A59" s="8" t="s">
        <v>106</v>
      </c>
      <c r="B59" s="8" t="s">
        <v>112</v>
      </c>
      <c r="C59" s="8" t="n">
        <v>2</v>
      </c>
      <c r="D59" s="8" t="s">
        <v>81</v>
      </c>
      <c r="E59" s="9" t="n">
        <v>30</v>
      </c>
      <c r="F59" s="9" t="n">
        <v>32</v>
      </c>
    </row>
    <row r="60" customFormat="false" ht="15" hidden="false" customHeight="false" outlineLevel="0" collapsed="false">
      <c r="A60" s="8" t="s">
        <v>106</v>
      </c>
      <c r="B60" s="8" t="s">
        <v>112</v>
      </c>
      <c r="C60" s="8" t="n">
        <v>3</v>
      </c>
      <c r="D60" s="8" t="s">
        <v>82</v>
      </c>
      <c r="E60" s="9" t="n">
        <v>36</v>
      </c>
      <c r="F60" s="9" t="n">
        <v>40</v>
      </c>
    </row>
    <row r="61" customFormat="false" ht="15" hidden="false" customHeight="false" outlineLevel="0" collapsed="false">
      <c r="A61" s="8" t="s">
        <v>106</v>
      </c>
      <c r="B61" s="8" t="s">
        <v>112</v>
      </c>
      <c r="C61" s="8" t="n">
        <v>4</v>
      </c>
      <c r="D61" s="8" t="s">
        <v>83</v>
      </c>
      <c r="E61" s="9" t="n">
        <v>46</v>
      </c>
      <c r="F61" s="9" t="n">
        <v>48</v>
      </c>
    </row>
    <row r="62" customFormat="false" ht="15" hidden="false" customHeight="false" outlineLevel="0" collapsed="false">
      <c r="A62" s="8" t="s">
        <v>106</v>
      </c>
      <c r="B62" s="8" t="s">
        <v>112</v>
      </c>
      <c r="C62" s="8" t="n">
        <v>5</v>
      </c>
      <c r="D62" s="8" t="s">
        <v>84</v>
      </c>
      <c r="E62" s="9" t="n">
        <v>57</v>
      </c>
      <c r="F62" s="9" t="n">
        <v>55</v>
      </c>
    </row>
    <row r="63" customFormat="false" ht="15" hidden="false" customHeight="false" outlineLevel="0" collapsed="false">
      <c r="A63" s="8" t="s">
        <v>106</v>
      </c>
      <c r="B63" s="8" t="s">
        <v>112</v>
      </c>
      <c r="C63" s="8" t="n">
        <v>6</v>
      </c>
      <c r="D63" s="8" t="s">
        <v>85</v>
      </c>
      <c r="E63" s="9" t="n">
        <v>64</v>
      </c>
      <c r="F63" s="9" t="n">
        <v>60</v>
      </c>
    </row>
    <row r="64" customFormat="false" ht="15" hidden="false" customHeight="false" outlineLevel="0" collapsed="false">
      <c r="A64" s="8" t="s">
        <v>106</v>
      </c>
      <c r="B64" s="8" t="s">
        <v>112</v>
      </c>
      <c r="C64" s="8" t="n">
        <v>7</v>
      </c>
      <c r="D64" s="8" t="s">
        <v>86</v>
      </c>
      <c r="E64" s="9" t="n">
        <v>68</v>
      </c>
      <c r="F64" s="9" t="n">
        <v>63</v>
      </c>
    </row>
    <row r="65" customFormat="false" ht="15" hidden="false" customHeight="false" outlineLevel="0" collapsed="false">
      <c r="A65" s="8" t="s">
        <v>106</v>
      </c>
      <c r="B65" s="8" t="s">
        <v>112</v>
      </c>
      <c r="C65" s="8" t="n">
        <v>8</v>
      </c>
      <c r="D65" s="8" t="s">
        <v>87</v>
      </c>
      <c r="E65" s="9" t="n">
        <v>70</v>
      </c>
      <c r="F65" s="9" t="n">
        <v>67</v>
      </c>
    </row>
    <row r="66" customFormat="false" ht="15" hidden="false" customHeight="false" outlineLevel="0" collapsed="false">
      <c r="A66" s="8" t="s">
        <v>106</v>
      </c>
      <c r="B66" s="8" t="s">
        <v>113</v>
      </c>
      <c r="C66" s="8" t="n">
        <v>1</v>
      </c>
      <c r="D66" s="8" t="s">
        <v>80</v>
      </c>
      <c r="E66" s="9" t="n">
        <v>17</v>
      </c>
      <c r="F66" s="9" t="n">
        <v>15</v>
      </c>
    </row>
    <row r="67" customFormat="false" ht="15" hidden="false" customHeight="false" outlineLevel="0" collapsed="false">
      <c r="A67" s="8" t="s">
        <v>106</v>
      </c>
      <c r="B67" s="8" t="s">
        <v>113</v>
      </c>
      <c r="C67" s="8" t="n">
        <v>2</v>
      </c>
      <c r="D67" s="8" t="s">
        <v>81</v>
      </c>
      <c r="E67" s="9" t="n">
        <v>20</v>
      </c>
      <c r="F67" s="9" t="n">
        <v>20</v>
      </c>
    </row>
    <row r="68" customFormat="false" ht="15" hidden="false" customHeight="false" outlineLevel="0" collapsed="false">
      <c r="A68" s="8" t="s">
        <v>106</v>
      </c>
      <c r="B68" s="8" t="s">
        <v>113</v>
      </c>
      <c r="C68" s="8" t="n">
        <v>3</v>
      </c>
      <c r="D68" s="8" t="s">
        <v>82</v>
      </c>
      <c r="E68" s="9" t="n">
        <v>26</v>
      </c>
      <c r="F68" s="9" t="n">
        <v>25</v>
      </c>
    </row>
    <row r="69" customFormat="false" ht="15" hidden="false" customHeight="false" outlineLevel="0" collapsed="false">
      <c r="A69" s="8" t="s">
        <v>106</v>
      </c>
      <c r="B69" s="8" t="s">
        <v>113</v>
      </c>
      <c r="C69" s="8" t="n">
        <v>4</v>
      </c>
      <c r="D69" s="8" t="s">
        <v>83</v>
      </c>
      <c r="E69" s="9" t="n">
        <v>36</v>
      </c>
      <c r="F69" s="9" t="n">
        <v>30</v>
      </c>
    </row>
    <row r="70" customFormat="false" ht="15" hidden="false" customHeight="false" outlineLevel="0" collapsed="false">
      <c r="A70" s="8" t="s">
        <v>106</v>
      </c>
      <c r="B70" s="8" t="s">
        <v>113</v>
      </c>
      <c r="C70" s="8" t="n">
        <v>5</v>
      </c>
      <c r="D70" s="8" t="s">
        <v>84</v>
      </c>
      <c r="E70" s="9" t="n">
        <v>47</v>
      </c>
      <c r="F70" s="9" t="n">
        <v>35</v>
      </c>
    </row>
    <row r="71" customFormat="false" ht="15" hidden="false" customHeight="false" outlineLevel="0" collapsed="false">
      <c r="A71" s="8" t="s">
        <v>106</v>
      </c>
      <c r="B71" s="8" t="s">
        <v>113</v>
      </c>
      <c r="C71" s="8" t="n">
        <v>6</v>
      </c>
      <c r="D71" s="8" t="s">
        <v>85</v>
      </c>
      <c r="E71" s="9" t="n">
        <v>55</v>
      </c>
      <c r="F71" s="9" t="n">
        <v>40</v>
      </c>
    </row>
    <row r="72" customFormat="false" ht="15" hidden="false" customHeight="false" outlineLevel="0" collapsed="false">
      <c r="A72" s="8" t="s">
        <v>106</v>
      </c>
      <c r="B72" s="8" t="s">
        <v>113</v>
      </c>
      <c r="C72" s="8" t="n">
        <v>7</v>
      </c>
      <c r="D72" s="8" t="s">
        <v>86</v>
      </c>
      <c r="E72" s="9" t="n">
        <v>59</v>
      </c>
      <c r="F72" s="9" t="n">
        <v>45</v>
      </c>
    </row>
    <row r="73" customFormat="false" ht="15" hidden="false" customHeight="false" outlineLevel="0" collapsed="false">
      <c r="A73" s="8" t="s">
        <v>106</v>
      </c>
      <c r="B73" s="8" t="s">
        <v>113</v>
      </c>
      <c r="C73" s="8" t="n">
        <v>8</v>
      </c>
      <c r="D73" s="8" t="s">
        <v>87</v>
      </c>
      <c r="E73" s="9" t="n">
        <v>61</v>
      </c>
      <c r="F73" s="9" t="n">
        <v>50</v>
      </c>
    </row>
    <row r="74" customFormat="false" ht="15" hidden="false" customHeight="false" outlineLevel="0" collapsed="false">
      <c r="A74" s="8" t="s">
        <v>106</v>
      </c>
      <c r="B74" s="8" t="s">
        <v>114</v>
      </c>
      <c r="C74" s="8" t="n">
        <v>1</v>
      </c>
      <c r="D74" s="8" t="s">
        <v>80</v>
      </c>
      <c r="E74" s="9" t="n">
        <v>12</v>
      </c>
      <c r="F74" s="9" t="n">
        <v>10</v>
      </c>
    </row>
    <row r="75" customFormat="false" ht="15" hidden="false" customHeight="false" outlineLevel="0" collapsed="false">
      <c r="A75" s="8" t="s">
        <v>106</v>
      </c>
      <c r="B75" s="8" t="s">
        <v>114</v>
      </c>
      <c r="C75" s="8" t="n">
        <v>2</v>
      </c>
      <c r="D75" s="8" t="s">
        <v>81</v>
      </c>
      <c r="E75" s="9" t="n">
        <v>16</v>
      </c>
      <c r="F75" s="9" t="n">
        <v>15</v>
      </c>
    </row>
    <row r="76" customFormat="false" ht="15" hidden="false" customHeight="false" outlineLevel="0" collapsed="false">
      <c r="A76" s="8" t="s">
        <v>106</v>
      </c>
      <c r="B76" s="8" t="s">
        <v>114</v>
      </c>
      <c r="C76" s="8" t="n">
        <v>3</v>
      </c>
      <c r="D76" s="8" t="s">
        <v>82</v>
      </c>
      <c r="E76" s="9" t="n">
        <v>23</v>
      </c>
      <c r="F76" s="9" t="n">
        <v>20</v>
      </c>
    </row>
    <row r="77" customFormat="false" ht="15" hidden="false" customHeight="false" outlineLevel="0" collapsed="false">
      <c r="A77" s="8" t="s">
        <v>106</v>
      </c>
      <c r="B77" s="8" t="s">
        <v>114</v>
      </c>
      <c r="C77" s="8" t="n">
        <v>4</v>
      </c>
      <c r="D77" s="8" t="s">
        <v>83</v>
      </c>
      <c r="E77" s="9" t="n">
        <v>35</v>
      </c>
      <c r="F77" s="9" t="n">
        <v>25</v>
      </c>
    </row>
    <row r="78" customFormat="false" ht="15" hidden="false" customHeight="false" outlineLevel="0" collapsed="false">
      <c r="A78" s="8" t="s">
        <v>106</v>
      </c>
      <c r="B78" s="8" t="s">
        <v>114</v>
      </c>
      <c r="C78" s="8" t="n">
        <v>5</v>
      </c>
      <c r="D78" s="8" t="s">
        <v>84</v>
      </c>
      <c r="E78" s="9" t="n">
        <v>49</v>
      </c>
      <c r="F78" s="9" t="n">
        <v>30</v>
      </c>
    </row>
    <row r="79" customFormat="false" ht="15" hidden="false" customHeight="false" outlineLevel="0" collapsed="false">
      <c r="A79" s="8" t="s">
        <v>106</v>
      </c>
      <c r="B79" s="8" t="s">
        <v>114</v>
      </c>
      <c r="C79" s="8" t="n">
        <v>6</v>
      </c>
      <c r="D79" s="8" t="s">
        <v>85</v>
      </c>
      <c r="E79" s="9" t="n">
        <v>58</v>
      </c>
      <c r="F79" s="9" t="n">
        <v>35</v>
      </c>
    </row>
    <row r="80" customFormat="false" ht="15" hidden="false" customHeight="false" outlineLevel="0" collapsed="false">
      <c r="A80" s="8" t="s">
        <v>106</v>
      </c>
      <c r="B80" s="8" t="s">
        <v>114</v>
      </c>
      <c r="C80" s="8" t="n">
        <v>7</v>
      </c>
      <c r="D80" s="8" t="s">
        <v>86</v>
      </c>
      <c r="E80" s="9" t="n">
        <v>63</v>
      </c>
      <c r="F80" s="9" t="n">
        <v>38</v>
      </c>
    </row>
    <row r="81" customFormat="false" ht="15" hidden="false" customHeight="false" outlineLevel="0" collapsed="false">
      <c r="A81" s="8" t="s">
        <v>106</v>
      </c>
      <c r="B81" s="8" t="s">
        <v>114</v>
      </c>
      <c r="C81" s="8" t="n">
        <v>8</v>
      </c>
      <c r="D81" s="8" t="s">
        <v>87</v>
      </c>
      <c r="E81" s="9" t="n">
        <v>65</v>
      </c>
      <c r="F81" s="9" t="n">
        <v>42</v>
      </c>
    </row>
    <row r="82" customFormat="false" ht="15" hidden="false" customHeight="false" outlineLevel="0" collapsed="false">
      <c r="A82" s="8" t="s">
        <v>115</v>
      </c>
      <c r="B82" s="8" t="s">
        <v>116</v>
      </c>
      <c r="C82" s="8" t="n">
        <v>1</v>
      </c>
      <c r="D82" s="8" t="s">
        <v>80</v>
      </c>
      <c r="E82" s="9" t="n">
        <v>22</v>
      </c>
      <c r="F82" s="9" t="n">
        <v>20</v>
      </c>
    </row>
    <row r="83" customFormat="false" ht="15" hidden="false" customHeight="false" outlineLevel="0" collapsed="false">
      <c r="A83" s="8" t="s">
        <v>115</v>
      </c>
      <c r="B83" s="8" t="s">
        <v>116</v>
      </c>
      <c r="C83" s="8" t="n">
        <v>2</v>
      </c>
      <c r="D83" s="8" t="s">
        <v>81</v>
      </c>
      <c r="E83" s="9" t="n">
        <v>25</v>
      </c>
      <c r="F83" s="9" t="n">
        <v>28</v>
      </c>
    </row>
    <row r="84" customFormat="false" ht="15" hidden="false" customHeight="false" outlineLevel="0" collapsed="false">
      <c r="A84" s="8" t="s">
        <v>115</v>
      </c>
      <c r="B84" s="8" t="s">
        <v>116</v>
      </c>
      <c r="C84" s="8" t="n">
        <v>3</v>
      </c>
      <c r="D84" s="8" t="s">
        <v>82</v>
      </c>
      <c r="E84" s="9" t="n">
        <v>31</v>
      </c>
      <c r="F84" s="9" t="n">
        <v>35</v>
      </c>
    </row>
    <row r="85" customFormat="false" ht="15" hidden="false" customHeight="false" outlineLevel="0" collapsed="false">
      <c r="A85" s="8" t="s">
        <v>115</v>
      </c>
      <c r="B85" s="8" t="s">
        <v>116</v>
      </c>
      <c r="C85" s="8" t="n">
        <v>4</v>
      </c>
      <c r="D85" s="8" t="s">
        <v>83</v>
      </c>
      <c r="E85" s="9" t="n">
        <v>42</v>
      </c>
      <c r="F85" s="9" t="n">
        <v>42</v>
      </c>
    </row>
    <row r="86" customFormat="false" ht="15" hidden="false" customHeight="false" outlineLevel="0" collapsed="false">
      <c r="A86" s="8" t="s">
        <v>115</v>
      </c>
      <c r="B86" s="8" t="s">
        <v>116</v>
      </c>
      <c r="C86" s="8" t="n">
        <v>5</v>
      </c>
      <c r="D86" s="8" t="s">
        <v>84</v>
      </c>
      <c r="E86" s="9" t="n">
        <v>54</v>
      </c>
      <c r="F86" s="9" t="n">
        <v>48</v>
      </c>
    </row>
    <row r="87" customFormat="false" ht="15" hidden="false" customHeight="false" outlineLevel="0" collapsed="false">
      <c r="A87" s="8" t="s">
        <v>115</v>
      </c>
      <c r="B87" s="8" t="s">
        <v>116</v>
      </c>
      <c r="C87" s="8" t="n">
        <v>6</v>
      </c>
      <c r="D87" s="8" t="s">
        <v>85</v>
      </c>
      <c r="E87" s="9" t="n">
        <v>62</v>
      </c>
      <c r="F87" s="9" t="n">
        <v>55</v>
      </c>
    </row>
    <row r="88" customFormat="false" ht="15" hidden="false" customHeight="false" outlineLevel="0" collapsed="false">
      <c r="A88" s="8" t="s">
        <v>115</v>
      </c>
      <c r="B88" s="8" t="s">
        <v>116</v>
      </c>
      <c r="C88" s="8" t="n">
        <v>7</v>
      </c>
      <c r="D88" s="8" t="s">
        <v>86</v>
      </c>
      <c r="E88" s="9" t="n">
        <v>66</v>
      </c>
      <c r="F88" s="9" t="n">
        <v>60</v>
      </c>
    </row>
    <row r="89" customFormat="false" ht="15" hidden="false" customHeight="false" outlineLevel="0" collapsed="false">
      <c r="A89" s="8" t="s">
        <v>115</v>
      </c>
      <c r="B89" s="8" t="s">
        <v>116</v>
      </c>
      <c r="C89" s="8" t="n">
        <v>8</v>
      </c>
      <c r="D89" s="8" t="s">
        <v>87</v>
      </c>
      <c r="E89" s="9" t="n">
        <v>68</v>
      </c>
      <c r="F89" s="9" t="n">
        <v>65</v>
      </c>
    </row>
    <row r="90" customFormat="false" ht="15" hidden="false" customHeight="false" outlineLevel="0" collapsed="false">
      <c r="A90" s="8" t="s">
        <v>115</v>
      </c>
      <c r="B90" s="8" t="s">
        <v>117</v>
      </c>
      <c r="C90" s="8" t="n">
        <v>1</v>
      </c>
      <c r="D90" s="8" t="s">
        <v>80</v>
      </c>
      <c r="E90" s="9" t="n">
        <v>12</v>
      </c>
      <c r="F90" s="9" t="n">
        <v>10</v>
      </c>
    </row>
    <row r="91" customFormat="false" ht="15" hidden="false" customHeight="false" outlineLevel="0" collapsed="false">
      <c r="A91" s="8" t="s">
        <v>115</v>
      </c>
      <c r="B91" s="8" t="s">
        <v>117</v>
      </c>
      <c r="C91" s="8" t="n">
        <v>2</v>
      </c>
      <c r="D91" s="8" t="s">
        <v>81</v>
      </c>
      <c r="E91" s="9" t="n">
        <v>14</v>
      </c>
      <c r="F91" s="9" t="n">
        <v>15</v>
      </c>
    </row>
    <row r="92" customFormat="false" ht="15" hidden="false" customHeight="false" outlineLevel="0" collapsed="false">
      <c r="A92" s="8" t="s">
        <v>115</v>
      </c>
      <c r="B92" s="8" t="s">
        <v>117</v>
      </c>
      <c r="C92" s="8" t="n">
        <v>3</v>
      </c>
      <c r="D92" s="8" t="s">
        <v>82</v>
      </c>
      <c r="E92" s="9" t="n">
        <v>20</v>
      </c>
      <c r="F92" s="9" t="n">
        <v>20</v>
      </c>
    </row>
    <row r="93" customFormat="false" ht="15" hidden="false" customHeight="false" outlineLevel="0" collapsed="false">
      <c r="A93" s="8" t="s">
        <v>115</v>
      </c>
      <c r="B93" s="8" t="s">
        <v>117</v>
      </c>
      <c r="C93" s="8" t="n">
        <v>4</v>
      </c>
      <c r="D93" s="8" t="s">
        <v>83</v>
      </c>
      <c r="E93" s="9" t="n">
        <v>30</v>
      </c>
      <c r="F93" s="9" t="n">
        <v>25</v>
      </c>
    </row>
    <row r="94" customFormat="false" ht="15" hidden="false" customHeight="false" outlineLevel="0" collapsed="false">
      <c r="A94" s="8" t="s">
        <v>115</v>
      </c>
      <c r="B94" s="8" t="s">
        <v>117</v>
      </c>
      <c r="C94" s="8" t="n">
        <v>5</v>
      </c>
      <c r="D94" s="8" t="s">
        <v>84</v>
      </c>
      <c r="E94" s="9" t="n">
        <v>40</v>
      </c>
      <c r="F94" s="9" t="n">
        <v>30</v>
      </c>
    </row>
    <row r="95" customFormat="false" ht="15" hidden="false" customHeight="false" outlineLevel="0" collapsed="false">
      <c r="A95" s="8" t="s">
        <v>115</v>
      </c>
      <c r="B95" s="8" t="s">
        <v>117</v>
      </c>
      <c r="C95" s="8" t="n">
        <v>6</v>
      </c>
      <c r="D95" s="8" t="s">
        <v>85</v>
      </c>
      <c r="E95" s="9" t="n">
        <v>48</v>
      </c>
      <c r="F95" s="9" t="n">
        <v>33</v>
      </c>
    </row>
    <row r="96" customFormat="false" ht="15" hidden="false" customHeight="false" outlineLevel="0" collapsed="false">
      <c r="A96" s="8" t="s">
        <v>115</v>
      </c>
      <c r="B96" s="8" t="s">
        <v>117</v>
      </c>
      <c r="C96" s="8" t="n">
        <v>7</v>
      </c>
      <c r="D96" s="8" t="s">
        <v>86</v>
      </c>
      <c r="E96" s="9" t="n">
        <v>51</v>
      </c>
      <c r="F96" s="9" t="n">
        <v>37</v>
      </c>
    </row>
    <row r="97" customFormat="false" ht="15" hidden="false" customHeight="false" outlineLevel="0" collapsed="false">
      <c r="A97" s="8" t="s">
        <v>115</v>
      </c>
      <c r="B97" s="8" t="s">
        <v>117</v>
      </c>
      <c r="C97" s="8" t="n">
        <v>8</v>
      </c>
      <c r="D97" s="8" t="s">
        <v>87</v>
      </c>
      <c r="E97" s="9" t="n">
        <v>53</v>
      </c>
      <c r="F97" s="9" t="n">
        <v>42</v>
      </c>
    </row>
    <row r="98" customFormat="false" ht="15" hidden="false" customHeight="false" outlineLevel="0" collapsed="false">
      <c r="A98" s="8" t="s">
        <v>115</v>
      </c>
      <c r="B98" s="8" t="s">
        <v>118</v>
      </c>
      <c r="C98" s="8" t="n">
        <v>1</v>
      </c>
      <c r="D98" s="8" t="s">
        <v>80</v>
      </c>
      <c r="E98" s="9" t="n">
        <v>7</v>
      </c>
      <c r="F98" s="9" t="n">
        <v>5</v>
      </c>
    </row>
    <row r="99" customFormat="false" ht="15" hidden="false" customHeight="false" outlineLevel="0" collapsed="false">
      <c r="A99" s="8" t="s">
        <v>115</v>
      </c>
      <c r="B99" s="8" t="s">
        <v>118</v>
      </c>
      <c r="C99" s="8" t="n">
        <v>2</v>
      </c>
      <c r="D99" s="8" t="s">
        <v>81</v>
      </c>
      <c r="E99" s="9" t="n">
        <v>10</v>
      </c>
      <c r="F99" s="9" t="n">
        <v>10</v>
      </c>
    </row>
    <row r="100" customFormat="false" ht="15" hidden="false" customHeight="false" outlineLevel="0" collapsed="false">
      <c r="A100" s="8" t="s">
        <v>115</v>
      </c>
      <c r="B100" s="8" t="s">
        <v>118</v>
      </c>
      <c r="C100" s="8" t="n">
        <v>3</v>
      </c>
      <c r="D100" s="8" t="s">
        <v>82</v>
      </c>
      <c r="E100" s="9" t="n">
        <v>17</v>
      </c>
      <c r="F100" s="9" t="n">
        <v>15</v>
      </c>
    </row>
    <row r="101" customFormat="false" ht="15" hidden="false" customHeight="false" outlineLevel="0" collapsed="false">
      <c r="A101" s="8" t="s">
        <v>115</v>
      </c>
      <c r="B101" s="8" t="s">
        <v>118</v>
      </c>
      <c r="C101" s="8" t="n">
        <v>4</v>
      </c>
      <c r="D101" s="8" t="s">
        <v>83</v>
      </c>
      <c r="E101" s="9" t="n">
        <v>28</v>
      </c>
      <c r="F101" s="9" t="n">
        <v>18</v>
      </c>
    </row>
    <row r="102" customFormat="false" ht="15" hidden="false" customHeight="false" outlineLevel="0" collapsed="false">
      <c r="A102" s="8" t="s">
        <v>115</v>
      </c>
      <c r="B102" s="8" t="s">
        <v>118</v>
      </c>
      <c r="C102" s="8" t="n">
        <v>5</v>
      </c>
      <c r="D102" s="8" t="s">
        <v>84</v>
      </c>
      <c r="E102" s="9" t="n">
        <v>40</v>
      </c>
      <c r="F102" s="9" t="n">
        <v>22</v>
      </c>
    </row>
    <row r="103" customFormat="false" ht="15" hidden="false" customHeight="false" outlineLevel="0" collapsed="false">
      <c r="A103" s="8" t="s">
        <v>115</v>
      </c>
      <c r="B103" s="8" t="s">
        <v>118</v>
      </c>
      <c r="C103" s="8" t="n">
        <v>6</v>
      </c>
      <c r="D103" s="8" t="s">
        <v>85</v>
      </c>
      <c r="E103" s="9" t="n">
        <v>49</v>
      </c>
      <c r="F103" s="9" t="n">
        <v>26</v>
      </c>
    </row>
    <row r="104" customFormat="false" ht="15" hidden="false" customHeight="false" outlineLevel="0" collapsed="false">
      <c r="A104" s="8" t="s">
        <v>115</v>
      </c>
      <c r="B104" s="8" t="s">
        <v>118</v>
      </c>
      <c r="C104" s="8" t="n">
        <v>7</v>
      </c>
      <c r="D104" s="8" t="s">
        <v>86</v>
      </c>
      <c r="E104" s="9" t="n">
        <v>53</v>
      </c>
      <c r="F104" s="9" t="n">
        <v>28</v>
      </c>
    </row>
    <row r="105" customFormat="false" ht="15" hidden="false" customHeight="false" outlineLevel="0" collapsed="false">
      <c r="A105" s="8" t="s">
        <v>115</v>
      </c>
      <c r="B105" s="8" t="s">
        <v>118</v>
      </c>
      <c r="C105" s="8" t="n">
        <v>8</v>
      </c>
      <c r="D105" s="8" t="s">
        <v>87</v>
      </c>
      <c r="E105" s="9" t="n">
        <v>55</v>
      </c>
      <c r="F105" s="9" t="n">
        <v>32</v>
      </c>
    </row>
  </sheetData>
  <dataValidations count="1">
    <dataValidation allowBlank="true" error="Selecciona un valor de la lista." errorStyle="stop" errorTitle="Valor inválido" operator="between" showDropDown="false" showErrorMessage="true" showInputMessage="false" sqref="A2:A105" type="list">
      <formula1>"Cheves,Rollout,AIAgents,SOKnowledge"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2"/>
    <col collapsed="false" customWidth="true" hidden="false" outlineLevel="0" max="4" min="4" style="0" width="15"/>
    <col collapsed="false" customWidth="true" hidden="false" outlineLevel="0" max="5" min="5" style="0" width="18"/>
  </cols>
  <sheetData>
    <row r="1" customFormat="false" ht="27.75" hidden="false" customHeight="true" outlineLevel="0" collapsed="false">
      <c r="A1" s="4" t="s">
        <v>139</v>
      </c>
      <c r="B1" s="4" t="s">
        <v>140</v>
      </c>
      <c r="C1" s="4" t="s">
        <v>141</v>
      </c>
      <c r="D1" s="4" t="s">
        <v>142</v>
      </c>
      <c r="E1" s="4" t="s">
        <v>143</v>
      </c>
    </row>
    <row r="2" customFormat="false" ht="15" hidden="false" customHeight="false" outlineLevel="0" collapsed="false">
      <c r="A2" s="8" t="s">
        <v>144</v>
      </c>
      <c r="B2" s="9" t="n">
        <v>2</v>
      </c>
      <c r="C2" s="9" t="n">
        <v>70</v>
      </c>
      <c r="D2" s="9" t="n">
        <v>100</v>
      </c>
      <c r="E2" s="9" t="n">
        <v>75</v>
      </c>
    </row>
    <row r="3" customFormat="false" ht="15" hidden="false" customHeight="false" outlineLevel="0" collapsed="false">
      <c r="A3" s="8" t="s">
        <v>145</v>
      </c>
      <c r="B3" s="9" t="n">
        <v>3</v>
      </c>
      <c r="C3" s="9" t="n">
        <v>55</v>
      </c>
      <c r="D3" s="9" t="n">
        <v>80</v>
      </c>
      <c r="E3" s="9" t="n">
        <v>65</v>
      </c>
    </row>
    <row r="4" customFormat="false" ht="15" hidden="false" customHeight="false" outlineLevel="0" collapsed="false">
      <c r="A4" s="8" t="s">
        <v>146</v>
      </c>
      <c r="B4" s="9" t="n">
        <v>1</v>
      </c>
      <c r="C4" s="9" t="n">
        <v>40</v>
      </c>
      <c r="D4" s="9" t="n">
        <v>60</v>
      </c>
      <c r="E4" s="9" t="n">
        <v>45</v>
      </c>
    </row>
    <row r="5" customFormat="false" ht="15" hidden="false" customHeight="false" outlineLevel="0" collapsed="false">
      <c r="A5" s="8" t="s">
        <v>147</v>
      </c>
      <c r="B5" s="9" t="n">
        <v>0</v>
      </c>
      <c r="C5" s="9" t="n">
        <v>15</v>
      </c>
      <c r="D5" s="9" t="n">
        <v>20</v>
      </c>
      <c r="E5" s="9" t="n">
        <v>15</v>
      </c>
    </row>
    <row r="7" customFormat="false" ht="15" hidden="false" customHeight="false" outlineLevel="0" collapsed="false">
      <c r="A7" s="11" t="s">
        <v>148</v>
      </c>
      <c r="E7" s="12" t="n">
        <f aca="false">AVERAGE(E2:E5)</f>
        <v>50</v>
      </c>
    </row>
  </sheetData>
  <dataValidations count="1">
    <dataValidation allowBlank="true" error="Selecciona un valor de la lista." errorStyle="stop" errorTitle="Valor inválido" operator="between" showDropDown="false" showErrorMessage="true" showInputMessage="false" sqref="B2:B5" type="list">
      <formula1>"0,1,2,3,4"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70"/>
  </cols>
  <sheetData>
    <row r="1" customFormat="false" ht="27.75" hidden="false" customHeight="true" outlineLevel="0" collapsed="false">
      <c r="A1" s="4" t="s">
        <v>149</v>
      </c>
      <c r="B1" s="4" t="s">
        <v>150</v>
      </c>
      <c r="C1" s="4" t="s">
        <v>43</v>
      </c>
    </row>
    <row r="2" customFormat="false" ht="31.5" hidden="false" customHeight="true" outlineLevel="0" collapsed="false">
      <c r="A2" s="8" t="n">
        <v>1</v>
      </c>
      <c r="B2" s="8" t="s">
        <v>151</v>
      </c>
      <c r="C2" s="13" t="s">
        <v>152</v>
      </c>
    </row>
    <row r="3" customFormat="false" ht="31.5" hidden="false" customHeight="true" outlineLevel="0" collapsed="false">
      <c r="A3" s="8" t="n">
        <v>2</v>
      </c>
      <c r="B3" s="8" t="s">
        <v>153</v>
      </c>
      <c r="C3" s="13" t="s">
        <v>154</v>
      </c>
    </row>
    <row r="4" customFormat="false" ht="31.5" hidden="false" customHeight="true" outlineLevel="0" collapsed="false">
      <c r="A4" s="8" t="n">
        <v>3</v>
      </c>
      <c r="B4" s="8" t="s">
        <v>155</v>
      </c>
      <c r="C4" s="13" t="s">
        <v>156</v>
      </c>
    </row>
    <row r="5" customFormat="false" ht="31.5" hidden="false" customHeight="true" outlineLevel="0" collapsed="false">
      <c r="A5" s="8" t="n">
        <v>4</v>
      </c>
      <c r="B5" s="8" t="s">
        <v>157</v>
      </c>
      <c r="C5" s="13" t="s">
        <v>158</v>
      </c>
    </row>
    <row r="6" customFormat="false" ht="31.5" hidden="false" customHeight="true" outlineLevel="0" collapsed="false">
      <c r="A6" s="8" t="n">
        <v>5</v>
      </c>
      <c r="B6" s="8" t="s">
        <v>159</v>
      </c>
      <c r="C6" s="13" t="s">
        <v>160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6"/>
    <col collapsed="false" customWidth="true" hidden="false" outlineLevel="0" max="4" min="3" style="0" width="14"/>
  </cols>
  <sheetData>
    <row r="1" customFormat="false" ht="27.75" hidden="false" customHeight="true" outlineLevel="0" collapsed="false">
      <c r="A1" s="4" t="s">
        <v>139</v>
      </c>
      <c r="B1" s="4" t="s">
        <v>161</v>
      </c>
      <c r="C1" s="4" t="s">
        <v>162</v>
      </c>
      <c r="D1" s="4" t="s">
        <v>163</v>
      </c>
    </row>
    <row r="2" customFormat="false" ht="15" hidden="false" customHeight="false" outlineLevel="0" collapsed="false">
      <c r="A2" s="8" t="s">
        <v>146</v>
      </c>
      <c r="B2" s="9" t="s">
        <v>164</v>
      </c>
      <c r="C2" s="9" t="s">
        <v>165</v>
      </c>
      <c r="D2" s="9" t="s">
        <v>166</v>
      </c>
    </row>
    <row r="3" customFormat="false" ht="15" hidden="false" customHeight="false" outlineLevel="0" collapsed="false">
      <c r="A3" s="8" t="s">
        <v>145</v>
      </c>
      <c r="B3" s="9" t="s">
        <v>167</v>
      </c>
      <c r="C3" s="9" t="s">
        <v>165</v>
      </c>
      <c r="D3" s="9" t="s">
        <v>166</v>
      </c>
    </row>
    <row r="4" customFormat="false" ht="15" hidden="false" customHeight="false" outlineLevel="0" collapsed="false">
      <c r="A4" s="8" t="s">
        <v>144</v>
      </c>
      <c r="B4" s="9" t="s">
        <v>168</v>
      </c>
      <c r="C4" s="9" t="s">
        <v>165</v>
      </c>
      <c r="D4" s="9" t="s">
        <v>169</v>
      </c>
    </row>
    <row r="5" customFormat="false" ht="15" hidden="false" customHeight="false" outlineLevel="0" collapsed="false">
      <c r="A5" s="8" t="s">
        <v>146</v>
      </c>
      <c r="B5" s="9" t="s">
        <v>170</v>
      </c>
      <c r="C5" s="9" t="s">
        <v>171</v>
      </c>
      <c r="D5" s="9" t="s">
        <v>166</v>
      </c>
    </row>
    <row r="6" customFormat="false" ht="15" hidden="false" customHeight="false" outlineLevel="0" collapsed="false">
      <c r="A6" s="8" t="s">
        <v>144</v>
      </c>
      <c r="B6" s="9" t="s">
        <v>172</v>
      </c>
      <c r="C6" s="9" t="s">
        <v>165</v>
      </c>
      <c r="D6" s="9" t="s">
        <v>166</v>
      </c>
    </row>
  </sheetData>
  <dataValidations count="1">
    <dataValidation allowBlank="true" error="Selecciona un valor de la lista." errorStyle="stop" errorTitle="Valor inválido" operator="between" showDropDown="false" showErrorMessage="true" showInputMessage="false" sqref="C2:C6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6"/>
    <col collapsed="false" customWidth="true" hidden="false" outlineLevel="0" max="3" min="3" style="0" width="20"/>
    <col collapsed="false" customWidth="true" hidden="false" outlineLevel="0" max="4" min="4" style="0" width="16"/>
  </cols>
  <sheetData>
    <row r="1" customFormat="false" ht="27.75" hidden="false" customHeight="true" outlineLevel="0" collapsed="false">
      <c r="A1" s="4" t="s">
        <v>139</v>
      </c>
      <c r="B1" s="4" t="s">
        <v>161</v>
      </c>
      <c r="C1" s="4" t="s">
        <v>47</v>
      </c>
      <c r="D1" s="4" t="s">
        <v>173</v>
      </c>
    </row>
    <row r="2" customFormat="false" ht="15" hidden="false" customHeight="false" outlineLevel="0" collapsed="false">
      <c r="A2" s="8" t="s">
        <v>146</v>
      </c>
      <c r="B2" s="9" t="s">
        <v>164</v>
      </c>
      <c r="C2" s="9" t="s">
        <v>146</v>
      </c>
      <c r="D2" s="9" t="s">
        <v>174</v>
      </c>
    </row>
    <row r="3" customFormat="false" ht="15" hidden="false" customHeight="false" outlineLevel="0" collapsed="false">
      <c r="A3" s="8" t="s">
        <v>145</v>
      </c>
      <c r="B3" s="9" t="s">
        <v>167</v>
      </c>
      <c r="C3" s="9" t="s">
        <v>145</v>
      </c>
      <c r="D3" s="9" t="s">
        <v>175</v>
      </c>
    </row>
    <row r="4" customFormat="false" ht="15" hidden="false" customHeight="false" outlineLevel="0" collapsed="false">
      <c r="A4" s="8" t="s">
        <v>144</v>
      </c>
      <c r="B4" s="9" t="s">
        <v>168</v>
      </c>
      <c r="C4" s="9" t="s">
        <v>144</v>
      </c>
      <c r="D4" s="9" t="s">
        <v>176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6"/>
    <col collapsed="false" customWidth="true" hidden="false" outlineLevel="0" max="3" min="3" style="0" width="24"/>
    <col collapsed="false" customWidth="true" hidden="false" outlineLevel="0" max="4" min="4" style="0" width="12"/>
    <col collapsed="false" customWidth="true" hidden="false" outlineLevel="0" max="5" min="5" style="0" width="18"/>
  </cols>
  <sheetData>
    <row r="1" customFormat="false" ht="27.75" hidden="false" customHeight="true" outlineLevel="0" collapsed="false">
      <c r="A1" s="4" t="s">
        <v>139</v>
      </c>
      <c r="B1" s="4" t="s">
        <v>161</v>
      </c>
      <c r="C1" s="4" t="s">
        <v>177</v>
      </c>
      <c r="D1" s="4" t="s">
        <v>178</v>
      </c>
      <c r="E1" s="4" t="s">
        <v>47</v>
      </c>
    </row>
    <row r="2" customFormat="false" ht="15" hidden="false" customHeight="false" outlineLevel="0" collapsed="false">
      <c r="A2" s="8" t="s">
        <v>146</v>
      </c>
      <c r="B2" s="9" t="s">
        <v>164</v>
      </c>
      <c r="C2" s="9" t="s">
        <v>179</v>
      </c>
      <c r="D2" s="9" t="s">
        <v>180</v>
      </c>
      <c r="E2" s="9" t="s">
        <v>146</v>
      </c>
    </row>
    <row r="3" customFormat="false" ht="15" hidden="false" customHeight="false" outlineLevel="0" collapsed="false">
      <c r="A3" s="8" t="s">
        <v>145</v>
      </c>
      <c r="B3" s="9" t="s">
        <v>167</v>
      </c>
      <c r="C3" s="9" t="s">
        <v>181</v>
      </c>
      <c r="D3" s="9" t="s">
        <v>182</v>
      </c>
      <c r="E3" s="9" t="s">
        <v>145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5"/>
    <col collapsed="false" customWidth="true" hidden="false" outlineLevel="0" max="3" min="3" style="0" width="16"/>
    <col collapsed="false" customWidth="true" hidden="false" outlineLevel="0" max="4" min="4" style="0" width="50"/>
  </cols>
  <sheetData>
    <row r="1" customFormat="false" ht="27.75" hidden="false" customHeight="true" outlineLevel="0" collapsed="false">
      <c r="A1" s="4" t="s">
        <v>139</v>
      </c>
      <c r="B1" s="4" t="s">
        <v>183</v>
      </c>
      <c r="C1" s="4" t="s">
        <v>184</v>
      </c>
      <c r="D1" s="4" t="s">
        <v>185</v>
      </c>
    </row>
    <row r="2" customFormat="false" ht="15" hidden="false" customHeight="false" outlineLevel="0" collapsed="false">
      <c r="A2" s="8" t="s">
        <v>144</v>
      </c>
      <c r="B2" s="9" t="s">
        <v>53</v>
      </c>
      <c r="C2" s="9" t="s">
        <v>53</v>
      </c>
      <c r="D2" s="9" t="s">
        <v>186</v>
      </c>
    </row>
    <row r="3" customFormat="false" ht="15" hidden="false" customHeight="false" outlineLevel="0" collapsed="false">
      <c r="A3" s="8" t="s">
        <v>145</v>
      </c>
      <c r="B3" s="9" t="s">
        <v>53</v>
      </c>
      <c r="C3" s="9" t="s">
        <v>59</v>
      </c>
      <c r="D3" s="9" t="s">
        <v>187</v>
      </c>
    </row>
    <row r="4" customFormat="false" ht="15" hidden="false" customHeight="false" outlineLevel="0" collapsed="false">
      <c r="A4" s="8" t="s">
        <v>146</v>
      </c>
      <c r="B4" s="9" t="s">
        <v>188</v>
      </c>
      <c r="C4" s="9" t="s">
        <v>188</v>
      </c>
      <c r="D4" s="9" t="s">
        <v>189</v>
      </c>
    </row>
    <row r="5" customFormat="false" ht="15" hidden="false" customHeight="false" outlineLevel="0" collapsed="false">
      <c r="A5" s="8" t="s">
        <v>147</v>
      </c>
      <c r="B5" s="9" t="s">
        <v>188</v>
      </c>
      <c r="C5" s="9" t="s">
        <v>188</v>
      </c>
      <c r="D5" s="9" t="s">
        <v>190</v>
      </c>
    </row>
  </sheetData>
  <dataValidations count="2">
    <dataValidation allowBlank="true" error="Selecciona un valor de la lista." errorStyle="stop" errorTitle="Valor inválido" operator="between" showDropDown="false" showErrorMessage="true" showInputMessage="false" sqref="B2:B5" type="list">
      <formula1>"On Track,At Risk,Delayed,Pending"</formula1>
      <formula2>0</formula2>
    </dataValidation>
    <dataValidation allowBlank="true" error="Selecciona un valor de la lista." errorStyle="stop" errorTitle="Valor inválido" operator="between" showDropDown="false" showErrorMessage="true" showInputMessage="false" sqref="C2:C5" type="list">
      <formula1>"On Track,At Risk,Delayed,Pending"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4"/>
    <col collapsed="false" customWidth="true" hidden="false" outlineLevel="0" max="4" min="3" style="0" width="10"/>
  </cols>
  <sheetData>
    <row r="1" customFormat="false" ht="27.75" hidden="false" customHeight="true" outlineLevel="0" collapsed="false">
      <c r="A1" s="4" t="s">
        <v>139</v>
      </c>
      <c r="B1" s="4" t="s">
        <v>191</v>
      </c>
      <c r="C1" s="4" t="s">
        <v>192</v>
      </c>
      <c r="D1" s="4" t="s">
        <v>193</v>
      </c>
    </row>
    <row r="2" customFormat="false" ht="15" hidden="false" customHeight="false" outlineLevel="0" collapsed="false">
      <c r="A2" s="8" t="s">
        <v>144</v>
      </c>
      <c r="B2" s="9" t="n">
        <v>85</v>
      </c>
      <c r="C2" s="9" t="n">
        <v>1</v>
      </c>
      <c r="D2" s="9" t="n">
        <v>2</v>
      </c>
    </row>
    <row r="3" customFormat="false" ht="15" hidden="false" customHeight="false" outlineLevel="0" collapsed="false">
      <c r="A3" s="8" t="s">
        <v>145</v>
      </c>
      <c r="B3" s="9" t="n">
        <v>78</v>
      </c>
      <c r="C3" s="9" t="n">
        <v>3</v>
      </c>
      <c r="D3" s="9" t="n">
        <v>5</v>
      </c>
    </row>
    <row r="4" customFormat="false" ht="15" hidden="false" customHeight="false" outlineLevel="0" collapsed="false">
      <c r="A4" s="8" t="s">
        <v>146</v>
      </c>
      <c r="B4" s="9" t="n">
        <v>0</v>
      </c>
      <c r="C4" s="9" t="n">
        <v>0</v>
      </c>
      <c r="D4" s="9" t="n">
        <v>0</v>
      </c>
    </row>
    <row r="5" customFormat="false" ht="15" hidden="false" customHeight="false" outlineLevel="0" collapsed="false">
      <c r="A5" s="8" t="s">
        <v>147</v>
      </c>
      <c r="B5" s="9" t="n">
        <v>0</v>
      </c>
      <c r="C5" s="9" t="n">
        <v>0</v>
      </c>
      <c r="D5" s="9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4" min="3" style="0" width="10"/>
    <col collapsed="false" customWidth="true" hidden="false" outlineLevel="0" max="5" min="5" style="0" width="12"/>
  </cols>
  <sheetData>
    <row r="1" customFormat="false" ht="27.75" hidden="false" customHeight="true" outlineLevel="0" collapsed="false">
      <c r="A1" s="4" t="s">
        <v>194</v>
      </c>
      <c r="B1" s="4" t="s">
        <v>41</v>
      </c>
      <c r="C1" s="4" t="s">
        <v>195</v>
      </c>
      <c r="D1" s="4" t="s">
        <v>196</v>
      </c>
      <c r="E1" s="4" t="s">
        <v>197</v>
      </c>
    </row>
    <row r="2" customFormat="false" ht="15" hidden="false" customHeight="false" outlineLevel="0" collapsed="false">
      <c r="A2" s="8" t="s">
        <v>198</v>
      </c>
      <c r="B2" s="9" t="s">
        <v>199</v>
      </c>
      <c r="C2" s="9" t="n">
        <v>100</v>
      </c>
      <c r="D2" s="9" t="n">
        <v>0</v>
      </c>
      <c r="E2" s="14" t="str">
        <f aca="false">IF(D2&gt;=C2,"Y","N")</f>
        <v>N</v>
      </c>
    </row>
    <row r="3" customFormat="false" ht="15" hidden="false" customHeight="false" outlineLevel="0" collapsed="false">
      <c r="A3" s="8" t="s">
        <v>200</v>
      </c>
      <c r="B3" s="9" t="s">
        <v>201</v>
      </c>
      <c r="C3" s="9" t="n">
        <v>100</v>
      </c>
      <c r="D3" s="9" t="n">
        <v>0</v>
      </c>
      <c r="E3" s="14" t="str">
        <f aca="false">IF(D3&gt;=C3,"Y","N")</f>
        <v>N</v>
      </c>
    </row>
    <row r="4" customFormat="false" ht="15" hidden="false" customHeight="false" outlineLevel="0" collapsed="false">
      <c r="A4" s="8" t="s">
        <v>202</v>
      </c>
      <c r="B4" s="9" t="s">
        <v>203</v>
      </c>
      <c r="C4" s="9" t="n">
        <v>100</v>
      </c>
      <c r="D4" s="9" t="n">
        <v>0</v>
      </c>
      <c r="E4" s="14" t="str">
        <f aca="false">IF(D4&gt;=C4,"Y","N")</f>
        <v>N</v>
      </c>
    </row>
    <row r="5" customFormat="false" ht="15" hidden="false" customHeight="false" outlineLevel="0" collapsed="false">
      <c r="A5" s="8" t="s">
        <v>204</v>
      </c>
      <c r="B5" s="9" t="s">
        <v>205</v>
      </c>
      <c r="C5" s="9" t="n">
        <v>100</v>
      </c>
      <c r="D5" s="9" t="n">
        <v>0</v>
      </c>
      <c r="E5" s="14" t="str">
        <f aca="false">IF(D5&gt;=C5,"Y","N")</f>
        <v>N</v>
      </c>
    </row>
    <row r="6" customFormat="false" ht="15" hidden="false" customHeight="false" outlineLevel="0" collapsed="false">
      <c r="A6" s="8" t="s">
        <v>206</v>
      </c>
      <c r="B6" s="9" t="s">
        <v>207</v>
      </c>
      <c r="C6" s="9" t="n">
        <v>100</v>
      </c>
      <c r="D6" s="9" t="n">
        <v>0</v>
      </c>
      <c r="E6" s="14" t="str">
        <f aca="false">IF(D6&gt;=C6,"Y","N")</f>
        <v>N</v>
      </c>
    </row>
    <row r="7" customFormat="false" ht="15" hidden="false" customHeight="false" outlineLevel="0" collapsed="false">
      <c r="A7" s="8" t="s">
        <v>208</v>
      </c>
      <c r="B7" s="9" t="s">
        <v>209</v>
      </c>
      <c r="C7" s="9" t="n">
        <v>100</v>
      </c>
      <c r="D7" s="9" t="n">
        <v>0</v>
      </c>
      <c r="E7" s="14" t="str">
        <f aca="false">IF(D7&gt;=C7,"Y","N")</f>
        <v>N</v>
      </c>
    </row>
    <row r="8" customFormat="false" ht="15" hidden="false" customHeight="false" outlineLevel="0" collapsed="false">
      <c r="A8" s="8" t="s">
        <v>210</v>
      </c>
      <c r="B8" s="9" t="s">
        <v>211</v>
      </c>
      <c r="C8" s="9" t="n">
        <v>100</v>
      </c>
      <c r="D8" s="9" t="n">
        <v>0</v>
      </c>
      <c r="E8" s="14" t="str">
        <f aca="false">IF(D8&gt;=C8,"Y","N")</f>
        <v>N</v>
      </c>
    </row>
    <row r="9" customFormat="false" ht="15" hidden="false" customHeight="false" outlineLevel="0" collapsed="false">
      <c r="A9" s="8" t="s">
        <v>212</v>
      </c>
      <c r="B9" s="9" t="s">
        <v>213</v>
      </c>
      <c r="C9" s="9" t="n">
        <v>100</v>
      </c>
      <c r="D9" s="9" t="n">
        <v>0</v>
      </c>
      <c r="E9" s="14" t="str">
        <f aca="false">IF(D9&gt;=C9,"Y","N")</f>
        <v>N</v>
      </c>
    </row>
    <row r="10" customFormat="false" ht="15" hidden="false" customHeight="false" outlineLevel="0" collapsed="false">
      <c r="A10" s="8" t="s">
        <v>214</v>
      </c>
      <c r="B10" s="9" t="s">
        <v>215</v>
      </c>
      <c r="C10" s="9" t="n">
        <v>100</v>
      </c>
      <c r="D10" s="9" t="n">
        <v>0</v>
      </c>
      <c r="E10" s="14" t="str">
        <f aca="false">IF(D10&gt;=C10,"Y","N")</f>
        <v>N</v>
      </c>
    </row>
    <row r="11" customFormat="false" ht="15" hidden="false" customHeight="false" outlineLevel="0" collapsed="false">
      <c r="A11" s="8" t="s">
        <v>216</v>
      </c>
      <c r="B11" s="9" t="s">
        <v>217</v>
      </c>
      <c r="C11" s="9" t="n">
        <v>100</v>
      </c>
      <c r="D11" s="9" t="n">
        <v>0</v>
      </c>
      <c r="E11" s="14" t="str">
        <f aca="false">IF(D11&gt;=C11,"Y","N")</f>
        <v>N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3" min="3" style="0" width="18"/>
    <col collapsed="false" customWidth="true" hidden="false" outlineLevel="0" max="4" min="4" style="0" width="46"/>
  </cols>
  <sheetData>
    <row r="1" customFormat="false" ht="27.75" hidden="false" customHeight="true" outlineLevel="0" collapsed="false">
      <c r="A1" s="4" t="s">
        <v>218</v>
      </c>
      <c r="B1" s="4" t="s">
        <v>120</v>
      </c>
      <c r="C1" s="4" t="s">
        <v>219</v>
      </c>
      <c r="D1" s="4" t="s">
        <v>43</v>
      </c>
    </row>
    <row r="2" customFormat="false" ht="15" hidden="false" customHeight="false" outlineLevel="0" collapsed="false">
      <c r="A2" s="8" t="n">
        <v>1</v>
      </c>
      <c r="B2" s="8" t="s">
        <v>220</v>
      </c>
      <c r="C2" s="9" t="n">
        <v>0</v>
      </c>
      <c r="D2" s="13" t="s">
        <v>221</v>
      </c>
    </row>
    <row r="3" customFormat="false" ht="15" hidden="false" customHeight="false" outlineLevel="0" collapsed="false">
      <c r="A3" s="8" t="n">
        <v>2</v>
      </c>
      <c r="B3" s="8" t="s">
        <v>222</v>
      </c>
      <c r="C3" s="9" t="n">
        <v>14</v>
      </c>
      <c r="D3" s="13" t="s">
        <v>223</v>
      </c>
    </row>
    <row r="4" customFormat="false" ht="23.85" hidden="false" customHeight="false" outlineLevel="0" collapsed="false">
      <c r="A4" s="8" t="n">
        <v>3</v>
      </c>
      <c r="B4" s="8" t="s">
        <v>224</v>
      </c>
      <c r="C4" s="9" t="n">
        <v>15</v>
      </c>
      <c r="D4" s="13" t="s">
        <v>225</v>
      </c>
    </row>
    <row r="5" customFormat="false" ht="15" hidden="false" customHeight="false" outlineLevel="0" collapsed="false">
      <c r="A5" s="8" t="n">
        <v>4</v>
      </c>
      <c r="B5" s="8" t="s">
        <v>226</v>
      </c>
      <c r="C5" s="9" t="n">
        <v>15</v>
      </c>
      <c r="D5" s="13" t="s">
        <v>227</v>
      </c>
    </row>
    <row r="6" customFormat="false" ht="23.85" hidden="false" customHeight="false" outlineLevel="0" collapsed="false">
      <c r="A6" s="8" t="n">
        <v>5</v>
      </c>
      <c r="B6" s="8" t="s">
        <v>228</v>
      </c>
      <c r="C6" s="9" t="n">
        <v>30</v>
      </c>
      <c r="D6" s="13" t="s">
        <v>229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"/>
    <col collapsed="false" customWidth="true" hidden="false" outlineLevel="0" max="3" min="3" style="0" width="16"/>
  </cols>
  <sheetData>
    <row r="1" customFormat="false" ht="27.75" hidden="false" customHeight="true" outlineLevel="0" collapsed="false">
      <c r="A1" s="4" t="s">
        <v>120</v>
      </c>
      <c r="B1" s="4" t="s">
        <v>121</v>
      </c>
      <c r="C1" s="4" t="s">
        <v>230</v>
      </c>
    </row>
    <row r="2" customFormat="false" ht="15" hidden="false" customHeight="false" outlineLevel="0" collapsed="false">
      <c r="A2" s="8" t="s">
        <v>220</v>
      </c>
      <c r="B2" s="9" t="s">
        <v>123</v>
      </c>
      <c r="C2" s="9" t="n">
        <v>0</v>
      </c>
    </row>
    <row r="3" customFormat="false" ht="15" hidden="false" customHeight="false" outlineLevel="0" collapsed="false">
      <c r="A3" s="8" t="s">
        <v>222</v>
      </c>
      <c r="B3" s="9" t="s">
        <v>123</v>
      </c>
      <c r="C3" s="9" t="n">
        <v>14</v>
      </c>
    </row>
    <row r="4" customFormat="false" ht="15" hidden="false" customHeight="false" outlineLevel="0" collapsed="false">
      <c r="A4" s="8" t="s">
        <v>224</v>
      </c>
      <c r="B4" s="9" t="s">
        <v>123</v>
      </c>
      <c r="C4" s="9" t="n">
        <v>15</v>
      </c>
    </row>
    <row r="5" customFormat="false" ht="15" hidden="false" customHeight="false" outlineLevel="0" collapsed="false">
      <c r="A5" s="8" t="s">
        <v>226</v>
      </c>
      <c r="B5" s="9" t="s">
        <v>127</v>
      </c>
      <c r="C5" s="9"/>
    </row>
    <row r="6" customFormat="false" ht="15" hidden="false" customHeight="false" outlineLevel="0" collapsed="false">
      <c r="A6" s="8" t="s">
        <v>228</v>
      </c>
      <c r="B6" s="9" t="s">
        <v>127</v>
      </c>
      <c r="C6" s="9"/>
    </row>
  </sheetData>
  <dataValidations count="1">
    <dataValidation allowBlank="true" error="Selecciona un valor de la lista." errorStyle="stop" errorTitle="Valor inválido" operator="between" showDropDown="false" showErrorMessage="true" showInputMessage="false" sqref="B2:B6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7" min="6" style="0" width="14"/>
  </cols>
  <sheetData>
    <row r="1" customFormat="false" ht="27.75" hidden="false" customHeight="true" outlineLevel="0" collapsed="false">
      <c r="A1" s="4" t="s">
        <v>231</v>
      </c>
      <c r="B1" s="4" t="s">
        <v>232</v>
      </c>
      <c r="C1" s="4" t="s">
        <v>233</v>
      </c>
      <c r="D1" s="4" t="s">
        <v>234</v>
      </c>
      <c r="E1" s="4" t="s">
        <v>235</v>
      </c>
      <c r="F1" s="4" t="s">
        <v>236</v>
      </c>
      <c r="G1" s="4" t="s">
        <v>237</v>
      </c>
    </row>
    <row r="2" customFormat="false" ht="15" hidden="false" customHeight="false" outlineLevel="0" collapsed="false">
      <c r="A2" s="8" t="s">
        <v>238</v>
      </c>
      <c r="B2" s="9" t="n">
        <v>14</v>
      </c>
      <c r="C2" s="9" t="n">
        <v>14</v>
      </c>
      <c r="D2" s="9" t="s">
        <v>123</v>
      </c>
      <c r="E2" s="9" t="s">
        <v>123</v>
      </c>
      <c r="F2" s="9" t="s">
        <v>123</v>
      </c>
      <c r="G2" s="14" t="str">
        <f aca="false">IF(C2&lt;=B2,"On time","Delayed")</f>
        <v>On time</v>
      </c>
    </row>
    <row r="3" customFormat="false" ht="15" hidden="false" customHeight="false" outlineLevel="0" collapsed="false">
      <c r="A3" s="8" t="s">
        <v>239</v>
      </c>
      <c r="B3" s="9" t="n">
        <v>14</v>
      </c>
      <c r="C3" s="9" t="n">
        <v>16</v>
      </c>
      <c r="D3" s="9" t="s">
        <v>127</v>
      </c>
      <c r="E3" s="9" t="s">
        <v>123</v>
      </c>
      <c r="F3" s="9" t="s">
        <v>123</v>
      </c>
      <c r="G3" s="14" t="str">
        <f aca="false">IF(C3&lt;=B3,"On time","Delayed")</f>
        <v>Delayed</v>
      </c>
    </row>
    <row r="4" customFormat="false" ht="15" hidden="false" customHeight="false" outlineLevel="0" collapsed="false">
      <c r="A4" s="8" t="s">
        <v>240</v>
      </c>
      <c r="B4" s="9" t="n">
        <v>14</v>
      </c>
      <c r="C4" s="9" t="n">
        <v>15</v>
      </c>
      <c r="D4" s="9" t="s">
        <v>123</v>
      </c>
      <c r="E4" s="9" t="s">
        <v>123</v>
      </c>
      <c r="F4" s="9" t="s">
        <v>123</v>
      </c>
      <c r="G4" s="14" t="str">
        <f aca="false">IF(C4&lt;=B4,"On time","Delayed")</f>
        <v>Delayed</v>
      </c>
    </row>
    <row r="5" customFormat="false" ht="15" hidden="false" customHeight="false" outlineLevel="0" collapsed="false">
      <c r="A5" s="8" t="s">
        <v>241</v>
      </c>
      <c r="B5" s="9" t="n">
        <v>14</v>
      </c>
      <c r="C5" s="9" t="n">
        <v>18</v>
      </c>
      <c r="D5" s="9" t="s">
        <v>127</v>
      </c>
      <c r="E5" s="9" t="s">
        <v>123</v>
      </c>
      <c r="F5" s="9" t="s">
        <v>123</v>
      </c>
      <c r="G5" s="14" t="str">
        <f aca="false">IF(C5&lt;=B5,"On time","Delayed")</f>
        <v>Delayed</v>
      </c>
    </row>
    <row r="6" customFormat="false" ht="15" hidden="false" customHeight="false" outlineLevel="0" collapsed="false">
      <c r="A6" s="8" t="s">
        <v>242</v>
      </c>
      <c r="B6" s="9" t="n">
        <v>14</v>
      </c>
      <c r="C6" s="9" t="n">
        <v>14</v>
      </c>
      <c r="D6" s="9" t="s">
        <v>123</v>
      </c>
      <c r="E6" s="9" t="s">
        <v>123</v>
      </c>
      <c r="F6" s="9" t="s">
        <v>127</v>
      </c>
      <c r="G6" s="14" t="str">
        <f aca="false">IF(C6&lt;=B6,"On time","Delayed")</f>
        <v>On time</v>
      </c>
    </row>
    <row r="7" customFormat="false" ht="15" hidden="false" customHeight="false" outlineLevel="0" collapsed="false">
      <c r="A7" s="8" t="s">
        <v>243</v>
      </c>
      <c r="B7" s="9" t="n">
        <v>14</v>
      </c>
      <c r="C7" s="9" t="n">
        <v>15</v>
      </c>
      <c r="D7" s="9" t="s">
        <v>123</v>
      </c>
      <c r="E7" s="9" t="s">
        <v>127</v>
      </c>
      <c r="F7" s="9" t="s">
        <v>127</v>
      </c>
      <c r="G7" s="14" t="str">
        <f aca="false">IF(C7&lt;=B7,"On time","Delayed")</f>
        <v>Delayed</v>
      </c>
    </row>
  </sheetData>
  <dataValidations count="3">
    <dataValidation allowBlank="true" error="Selecciona un valor de la lista." errorStyle="stop" errorTitle="Valor inválido" operator="between" showDropDown="false" showErrorMessage="true" showInputMessage="false" sqref="D2:D7" type="list">
      <formula1>"Y,N"</formula1>
      <formula2>0</formula2>
    </dataValidation>
    <dataValidation allowBlank="true" error="Selecciona un valor de la lista." errorStyle="stop" errorTitle="Valor inválido" operator="between" showDropDown="false" showErrorMessage="true" showInputMessage="false" sqref="E2:E7" type="list">
      <formula1>"Y,N"</formula1>
      <formula2>0</formula2>
    </dataValidation>
    <dataValidation allowBlank="true" error="Selecciona un valor de la lista." errorStyle="stop" errorTitle="Valor inválido" operator="between" showDropDown="false" showErrorMessage="true" showInputMessage="false" sqref="F2:F7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" min="3" style="0" width="16"/>
  </cols>
  <sheetData>
    <row r="1" customFormat="false" ht="27.75" hidden="false" customHeight="true" outlineLevel="0" collapsed="false">
      <c r="A1" s="4" t="s">
        <v>88</v>
      </c>
      <c r="B1" s="4" t="s">
        <v>244</v>
      </c>
      <c r="C1" s="4" t="s">
        <v>245</v>
      </c>
    </row>
    <row r="2" customFormat="false" ht="15" hidden="false" customHeight="false" outlineLevel="0" collapsed="false">
      <c r="A2" s="8" t="s">
        <v>93</v>
      </c>
      <c r="B2" s="8" t="s">
        <v>246</v>
      </c>
      <c r="C2" s="9" t="s">
        <v>247</v>
      </c>
    </row>
    <row r="3" customFormat="false" ht="15" hidden="false" customHeight="false" outlineLevel="0" collapsed="false">
      <c r="A3" s="8" t="s">
        <v>93</v>
      </c>
      <c r="B3" s="8" t="s">
        <v>248</v>
      </c>
      <c r="C3" s="9" t="s">
        <v>249</v>
      </c>
    </row>
    <row r="4" customFormat="false" ht="15" hidden="false" customHeight="false" outlineLevel="0" collapsed="false">
      <c r="A4" s="8" t="s">
        <v>93</v>
      </c>
      <c r="B4" s="8" t="s">
        <v>250</v>
      </c>
      <c r="C4" s="9" t="s">
        <v>251</v>
      </c>
    </row>
    <row r="5" customFormat="false" ht="15" hidden="false" customHeight="false" outlineLevel="0" collapsed="false">
      <c r="A5" s="8" t="s">
        <v>106</v>
      </c>
      <c r="B5" s="8" t="s">
        <v>252</v>
      </c>
      <c r="C5" s="9" t="s">
        <v>253</v>
      </c>
    </row>
    <row r="6" customFormat="false" ht="15" hidden="false" customHeight="false" outlineLevel="0" collapsed="false">
      <c r="A6" s="8" t="s">
        <v>115</v>
      </c>
      <c r="B6" s="8" t="s">
        <v>254</v>
      </c>
      <c r="C6" s="9" t="s">
        <v>255</v>
      </c>
    </row>
  </sheetData>
  <dataValidations count="1">
    <dataValidation allowBlank="true" error="Selecciona un valor de la lista." errorStyle="stop" errorTitle="Valor inválido" operator="between" showDropDown="false" showErrorMessage="true" showInputMessage="false" sqref="A2:A6" type="list">
      <formula1>"Cheves,Rollout,AIAgents,SOKnowledge"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2026-07-08T15:59:05Z</dcterms:created>
  <dc:creator>openpyxl</dc:creator>
  <dc:description/>
  <dc:language>en-US</dc:language>
  <cp:lastModifiedBy/>
  <dcterms:modified xsi:type="dcterms:W3CDTF">2026-07-08T15:59:05Z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